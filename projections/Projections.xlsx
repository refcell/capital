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SPI" sheetId="1" state="visible" r:id="rId1"/>
    <sheet name="CELH" sheetId="2" state="visible" r:id="rId2"/>
    <sheet name="ELF" sheetId="3" state="visible" r:id="rId3"/>
    <sheet name="SOFI" sheetId="4" state="visible" r:id="rId4"/>
    <sheet name="CRM" sheetId="5" state="visible" r:id="rId5"/>
    <sheet name="FISV" sheetId="6" state="visible" r:id="rId6"/>
    <sheet name="ZETA" sheetId="7" state="visible" r:id="rId7"/>
    <sheet name="HOOD" sheetId="8" state="visible" r:id="rId8"/>
    <sheet name="NFLX" sheetId="9" state="visible" r:id="rId9"/>
    <sheet name="NOW" sheetId="10" state="visible" r:id="rId10"/>
    <sheet name="QXO" sheetId="11" state="visible" r:id="rId11"/>
    <sheet name="CE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/>
  </fonts>
  <fills count="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1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2" fillId="2" borderId="3" pivotButton="0" quotePrefix="0" xfId="0"/>
    <xf numFmtId="0" fontId="1" fillId="2" borderId="4" pivotButton="0" quotePrefix="0" xfId="0"/>
    <xf numFmtId="0" fontId="1" fillId="2" borderId="0" pivotButton="0" quotePrefix="0" xfId="0"/>
    <xf numFmtId="0" fontId="1" fillId="2" borderId="5" pivotButton="0" quotePrefix="0" xfId="0"/>
    <xf numFmtId="3" fontId="2" fillId="2" borderId="0" pivotButton="0" quotePrefix="0" xfId="0"/>
    <xf numFmtId="3" fontId="2" fillId="2" borderId="0" pivotButton="0" quotePrefix="0" xfId="0"/>
    <xf numFmtId="3" fontId="2" fillId="2" borderId="5" pivotButton="0" quotePrefix="0" xfId="0"/>
    <xf numFmtId="9" fontId="2" fillId="2" borderId="0" pivotButton="0" quotePrefix="0" xfId="0"/>
    <xf numFmtId="9" fontId="2" fillId="2" borderId="0" pivotButton="0" quotePrefix="0" xfId="0"/>
    <xf numFmtId="9" fontId="2" fillId="2" borderId="5" pivotButton="0" quotePrefix="0" xfId="0"/>
    <xf numFmtId="0" fontId="1" fillId="2" borderId="4" pivotButton="0" quotePrefix="0" xfId="0"/>
    <xf numFmtId="0" fontId="2" fillId="2" borderId="0" pivotButton="0" quotePrefix="0" xfId="0"/>
    <xf numFmtId="0" fontId="2" fillId="2" borderId="5" pivotButton="0" quotePrefix="0" xfId="0"/>
    <xf numFmtId="1" fontId="2" fillId="2" borderId="0" pivotButton="0" quotePrefix="0" xfId="0"/>
    <xf numFmtId="1" fontId="2" fillId="2" borderId="5" pivotButton="0" quotePrefix="0" xfId="0"/>
    <xf numFmtId="10" fontId="2" fillId="2" borderId="0" pivotButton="0" quotePrefix="0" xfId="0"/>
    <xf numFmtId="10" fontId="2" fillId="2" borderId="5" pivotButton="0" quotePrefix="0" xfId="0"/>
    <xf numFmtId="2" fontId="2" fillId="2" borderId="0" pivotButton="0" quotePrefix="0" xfId="0"/>
    <xf numFmtId="2" fontId="2" fillId="2" borderId="5" pivotButton="0" quotePrefix="0" xfId="0"/>
    <xf numFmtId="0" fontId="2" fillId="2" borderId="0" pivotButton="0" quotePrefix="0" xfId="0"/>
    <xf numFmtId="0" fontId="2" fillId="2" borderId="5" pivotButton="0" quotePrefix="0" xfId="0"/>
    <xf numFmtId="1" fontId="1" fillId="2" borderId="5" pivotButton="0" quotePrefix="0" xfId="0"/>
    <xf numFmtId="9" fontId="1" fillId="2" borderId="5" pivotButton="0" quotePrefix="0" xfId="0"/>
    <xf numFmtId="0" fontId="1" fillId="2" borderId="6" pivotButton="0" quotePrefix="0" xfId="0"/>
    <xf numFmtId="0" fontId="2" fillId="2" borderId="7" pivotButton="0" quotePrefix="0" xfId="0"/>
    <xf numFmtId="9" fontId="2" fillId="2" borderId="7" pivotButton="0" quotePrefix="0" xfId="0"/>
    <xf numFmtId="9" fontId="1" fillId="2" borderId="8" pivotButton="0" quotePrefix="0" xfId="0"/>
    <xf numFmtId="0" fontId="1" fillId="3" borderId="1" pivotButton="0" quotePrefix="0" xfId="0"/>
    <xf numFmtId="0" fontId="3" fillId="0" borderId="2" pivotButton="0" quotePrefix="0" xfId="0"/>
    <xf numFmtId="0" fontId="2" fillId="3" borderId="3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3" fontId="2" fillId="3" borderId="0" pivotButton="0" quotePrefix="0" xfId="0"/>
    <xf numFmtId="3" fontId="2" fillId="3" borderId="0" pivotButton="0" quotePrefix="0" xfId="0"/>
    <xf numFmtId="3" fontId="2" fillId="3" borderId="5" pivotButton="0" quotePrefix="0" xfId="0"/>
    <xf numFmtId="9" fontId="2" fillId="3" borderId="0" pivotButton="0" quotePrefix="0" xfId="0"/>
    <xf numFmtId="9" fontId="2" fillId="3" borderId="5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1" fontId="2" fillId="3" borderId="0" pivotButton="0" quotePrefix="0" xfId="0"/>
    <xf numFmtId="1" fontId="2" fillId="3" borderId="5" pivotButton="0" quotePrefix="0" xfId="0"/>
    <xf numFmtId="10" fontId="2" fillId="3" borderId="0" pivotButton="0" quotePrefix="0" xfId="0"/>
    <xf numFmtId="10" fontId="2" fillId="3" borderId="5" pivotButton="0" quotePrefix="0" xfId="0"/>
    <xf numFmtId="2" fontId="2" fillId="3" borderId="0" pivotButton="0" quotePrefix="0" xfId="0"/>
    <xf numFmtId="2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1" fontId="1" fillId="3" borderId="5" pivotButton="0" quotePrefix="0" xfId="0"/>
    <xf numFmtId="9" fontId="2" fillId="3" borderId="0" pivotButton="0" quotePrefix="0" xfId="0"/>
    <xf numFmtId="9" fontId="1" fillId="3" borderId="5" pivotButton="0" quotePrefix="0" xfId="0"/>
    <xf numFmtId="0" fontId="1" fillId="3" borderId="6" pivotButton="0" quotePrefix="0" xfId="0"/>
    <xf numFmtId="0" fontId="2" fillId="3" borderId="7" pivotButton="0" quotePrefix="0" xfId="0"/>
    <xf numFmtId="9" fontId="2" fillId="3" borderId="7" pivotButton="0" quotePrefix="0" xfId="0"/>
    <xf numFmtId="9" fontId="1" fillId="3" borderId="8" pivotButton="0" quotePrefix="0" xfId="0"/>
    <xf numFmtId="0" fontId="1" fillId="4" borderId="1" pivotButton="0" quotePrefix="0" xfId="0"/>
    <xf numFmtId="0" fontId="2" fillId="4" borderId="3" pivotButton="0" quotePrefix="0" xfId="0"/>
    <xf numFmtId="0" fontId="1" fillId="4" borderId="4" pivotButton="0" quotePrefix="0" xfId="0"/>
    <xf numFmtId="0" fontId="1" fillId="4" borderId="0" pivotButton="0" quotePrefix="0" xfId="0"/>
    <xf numFmtId="0" fontId="1" fillId="4" borderId="5" pivotButton="0" quotePrefix="0" xfId="0"/>
    <xf numFmtId="3" fontId="2" fillId="4" borderId="0" pivotButton="0" quotePrefix="0" xfId="0"/>
    <xf numFmtId="3" fontId="2" fillId="4" borderId="0" pivotButton="0" quotePrefix="0" xfId="0"/>
    <xf numFmtId="3" fontId="2" fillId="4" borderId="5" pivotButton="0" quotePrefix="0" xfId="0"/>
    <xf numFmtId="9" fontId="2" fillId="4" borderId="0" pivotButton="0" quotePrefix="0" xfId="0"/>
    <xf numFmtId="9" fontId="2" fillId="4" borderId="5" pivotButton="0" quotePrefix="0" xfId="0"/>
    <xf numFmtId="0" fontId="1" fillId="4" borderId="4" pivotButton="0" quotePrefix="0" xfId="0"/>
    <xf numFmtId="0" fontId="2" fillId="4" borderId="0" pivotButton="0" quotePrefix="0" xfId="0"/>
    <xf numFmtId="0" fontId="2" fillId="4" borderId="5" pivotButton="0" quotePrefix="0" xfId="0"/>
    <xf numFmtId="1" fontId="2" fillId="4" borderId="0" pivotButton="0" quotePrefix="0" xfId="0"/>
    <xf numFmtId="1" fontId="2" fillId="4" borderId="5" pivotButton="0" quotePrefix="0" xfId="0"/>
    <xf numFmtId="10" fontId="2" fillId="4" borderId="0" pivotButton="0" quotePrefix="0" xfId="0"/>
    <xf numFmtId="10" fontId="2" fillId="4" borderId="5" pivotButton="0" quotePrefix="0" xfId="0"/>
    <xf numFmtId="2" fontId="2" fillId="4" borderId="0" pivotButton="0" quotePrefix="0" xfId="0"/>
    <xf numFmtId="2" fontId="2" fillId="4" borderId="5" pivotButton="0" quotePrefix="0" xfId="0"/>
    <xf numFmtId="0" fontId="2" fillId="4" borderId="0" pivotButton="0" quotePrefix="0" xfId="0"/>
    <xf numFmtId="0" fontId="2" fillId="4" borderId="5" pivotButton="0" quotePrefix="0" xfId="0"/>
    <xf numFmtId="1" fontId="1" fillId="4" borderId="5" pivotButton="0" quotePrefix="0" xfId="0"/>
    <xf numFmtId="9" fontId="2" fillId="4" borderId="0" pivotButton="0" quotePrefix="0" xfId="0"/>
    <xf numFmtId="9" fontId="1" fillId="4" borderId="5" pivotButton="0" quotePrefix="0" xfId="0"/>
    <xf numFmtId="0" fontId="1" fillId="4" borderId="6" pivotButton="0" quotePrefix="0" xfId="0"/>
    <xf numFmtId="0" fontId="2" fillId="4" borderId="7" pivotButton="0" quotePrefix="0" xfId="0"/>
    <xf numFmtId="9" fontId="2" fillId="4" borderId="7" pivotButton="0" quotePrefix="0" xfId="0"/>
    <xf numFmtId="9" fontId="1" fillId="4" borderId="8" pivotButton="0" quotePrefix="0" xfId="0"/>
    <xf numFmtId="0" fontId="0" fillId="0" borderId="0" pivotButton="0" quotePrefix="0" xfId="0"/>
    <xf numFmtId="0" fontId="0" fillId="0" borderId="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2:J73"/>
  <sheetViews>
    <sheetView showGridLines="0"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KSPI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190.2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7982.1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0.4</v>
      </c>
      <c r="D7" s="14">
        <f>(C7*C8) + C7</f>
        <v/>
      </c>
      <c r="E7" s="14" t="n">
        <v>0.35</v>
      </c>
      <c r="F7" s="14" t="n">
        <v>0.3</v>
      </c>
      <c r="G7" s="14" t="n">
        <v>0.25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2117.2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2239.89</v>
      </c>
      <c r="D12" s="11" t="n">
        <v>2161.41</v>
      </c>
      <c r="E12" s="11" t="n">
        <v>2481.27</v>
      </c>
      <c r="F12" s="11" t="n">
        <v>3001.09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0.28</v>
      </c>
      <c r="G14" s="14" t="n">
        <v>0.29</v>
      </c>
      <c r="H14" s="15" t="n">
        <v>0.3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8</v>
      </c>
      <c r="D18" s="25" t="n">
        <v>8</v>
      </c>
      <c r="E18" s="25" t="n">
        <v>8</v>
      </c>
      <c r="F18" s="25" t="n">
        <v>8</v>
      </c>
      <c r="G18" s="25" t="n">
        <v>8</v>
      </c>
      <c r="H18" s="26" t="n">
        <v>8</v>
      </c>
    </row>
    <row r="19" ht="16.5" customHeight="1" s="92">
      <c r="B19" s="16" t="inlineStr">
        <is>
          <t>PE High Est</t>
        </is>
      </c>
      <c r="C19" s="25" t="n">
        <v>8</v>
      </c>
      <c r="D19" s="25" t="n">
        <v>8</v>
      </c>
      <c r="E19" s="25" t="n">
        <v>10</v>
      </c>
      <c r="F19" s="25" t="n">
        <v>12</v>
      </c>
      <c r="G19" s="25" t="n">
        <v>14</v>
      </c>
      <c r="H19" s="26" t="n">
        <v>15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190.2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7982.1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0.3</v>
      </c>
      <c r="E31" s="58" t="n">
        <v>0.3</v>
      </c>
      <c r="F31" s="58" t="n">
        <v>0.3</v>
      </c>
      <c r="G31" s="58" t="n">
        <v>0.25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2117.2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2239.89</v>
      </c>
      <c r="D36" s="40" t="n">
        <v>2161.41</v>
      </c>
      <c r="E36" s="40" t="n">
        <v>2481.27</v>
      </c>
      <c r="F36" s="40" t="n">
        <v>3001.09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0.18</v>
      </c>
      <c r="F38" s="58" t="n">
        <v>0.18</v>
      </c>
      <c r="G38" s="58" t="n">
        <v>0.16</v>
      </c>
      <c r="H38" s="43" t="n">
        <v>0.16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8</v>
      </c>
      <c r="D42" s="55" t="n">
        <v>8</v>
      </c>
      <c r="E42" s="55" t="n">
        <v>8</v>
      </c>
      <c r="F42" s="55" t="n">
        <v>8</v>
      </c>
      <c r="G42" s="55" t="n">
        <v>8</v>
      </c>
      <c r="H42" s="56" t="n">
        <v>8</v>
      </c>
    </row>
    <row r="43" ht="16.5" customHeight="1" s="92">
      <c r="B43" s="44" t="inlineStr">
        <is>
          <t>PE High Est</t>
        </is>
      </c>
      <c r="C43" s="55" t="n">
        <v>8</v>
      </c>
      <c r="D43" s="55" t="n">
        <v>8</v>
      </c>
      <c r="E43" s="55" t="n">
        <v>9</v>
      </c>
      <c r="F43" s="55" t="n">
        <v>10</v>
      </c>
      <c r="G43" s="55" t="n">
        <v>11</v>
      </c>
      <c r="H43" s="56" t="n">
        <v>12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190.2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7982.1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</v>
      </c>
      <c r="D55" s="86" t="n">
        <v>0.2</v>
      </c>
      <c r="E55" s="86" t="n">
        <v>0.2</v>
      </c>
      <c r="F55" s="86" t="n">
        <v>0.2</v>
      </c>
      <c r="G55" s="86" t="n">
        <v>0.15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2117.2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2239.89</v>
      </c>
      <c r="D60" s="70" t="n">
        <v>2161.41</v>
      </c>
      <c r="E60" s="70" t="n">
        <v>2481.27</v>
      </c>
      <c r="F60" s="70" t="n">
        <v>3001.09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</v>
      </c>
      <c r="E62" s="86" t="n">
        <v>0.15</v>
      </c>
      <c r="F62" s="86" t="n">
        <v>0.15</v>
      </c>
      <c r="G62" s="86" t="n">
        <v>0.15</v>
      </c>
      <c r="H62" s="73" t="n">
        <v>0.15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6</v>
      </c>
      <c r="D66" s="83" t="n">
        <v>6</v>
      </c>
      <c r="E66" s="83" t="n">
        <v>6</v>
      </c>
      <c r="F66" s="83" t="n">
        <v>6</v>
      </c>
      <c r="G66" s="83" t="n">
        <v>6</v>
      </c>
      <c r="H66" s="84" t="n">
        <v>6</v>
      </c>
    </row>
    <row r="67" ht="16.5" customHeight="1" s="92">
      <c r="B67" s="74" t="inlineStr">
        <is>
          <t>PE High Est</t>
        </is>
      </c>
      <c r="C67" s="83" t="n">
        <v>8</v>
      </c>
      <c r="D67" s="83" t="n">
        <v>8</v>
      </c>
      <c r="E67" s="83" t="n">
        <v>8</v>
      </c>
      <c r="F67" s="83" t="n">
        <v>8</v>
      </c>
      <c r="G67" s="83" t="n">
        <v>8</v>
      </c>
      <c r="H67" s="84" t="n">
        <v>8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CELH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2515.3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0.35</v>
      </c>
      <c r="D7" s="14" t="n">
        <v>0.22</v>
      </c>
      <c r="E7" s="14" t="n">
        <v>0.18</v>
      </c>
      <c r="F7" s="14" t="n">
        <v>0.15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</v>
      </c>
      <c r="D12" s="11" t="n">
        <v>440</v>
      </c>
      <c r="E12" s="11" t="n">
        <v>560</v>
      </c>
      <c r="F12" s="11" t="n">
        <v>690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0.16</v>
      </c>
      <c r="E14" s="14" t="n">
        <v>0.18</v>
      </c>
      <c r="F14" s="14" t="n">
        <v>0.2</v>
      </c>
      <c r="G14" s="14" t="n">
        <v>0.22</v>
      </c>
      <c r="H14" s="15" t="n">
        <v>0.24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22</v>
      </c>
      <c r="D18" s="25" t="n">
        <v>22</v>
      </c>
      <c r="E18" s="25" t="n">
        <v>22</v>
      </c>
      <c r="F18" s="25" t="n">
        <v>22</v>
      </c>
      <c r="G18" s="25" t="n">
        <v>22</v>
      </c>
      <c r="H18" s="26" t="n">
        <v>22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25</v>
      </c>
      <c r="E19" s="25" t="n">
        <v>28</v>
      </c>
      <c r="F19" s="25" t="n">
        <v>32</v>
      </c>
      <c r="G19" s="25" t="n">
        <v>36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2515.3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0.28</v>
      </c>
      <c r="D31" s="58" t="n">
        <v>0.16</v>
      </c>
      <c r="E31" s="58" t="n">
        <v>0.13</v>
      </c>
      <c r="F31" s="58" t="n">
        <v>0.11</v>
      </c>
      <c r="G31" s="58" t="n">
        <v>0.09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</v>
      </c>
      <c r="D36" s="40" t="n">
        <v>440</v>
      </c>
      <c r="E36" s="40" t="n">
        <v>560</v>
      </c>
      <c r="F36" s="40" t="n">
        <v>690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</v>
      </c>
      <c r="E38" s="58" t="n">
        <v>0.15</v>
      </c>
      <c r="F38" s="58" t="n">
        <v>0.16</v>
      </c>
      <c r="G38" s="58" t="n">
        <v>0.17</v>
      </c>
      <c r="H38" s="43" t="n">
        <v>0.18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16</v>
      </c>
      <c r="D42" s="55" t="n">
        <v>16</v>
      </c>
      <c r="E42" s="55" t="n">
        <v>16</v>
      </c>
      <c r="F42" s="55" t="n">
        <v>16</v>
      </c>
      <c r="G42" s="55" t="n">
        <v>16</v>
      </c>
      <c r="H42" s="56" t="n">
        <v>16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18</v>
      </c>
      <c r="E43" s="55" t="n">
        <v>20</v>
      </c>
      <c r="F43" s="55" t="n">
        <v>22</v>
      </c>
      <c r="G43" s="55" t="n">
        <v>24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2515.3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</v>
      </c>
      <c r="E55" s="86" t="n">
        <v>0.07000000000000001</v>
      </c>
      <c r="F55" s="86" t="n">
        <v>0.05</v>
      </c>
      <c r="G55" s="86" t="n">
        <v>0.05</v>
      </c>
      <c r="H55" s="73" t="n">
        <v>0.05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</v>
      </c>
      <c r="D60" s="70" t="n">
        <v>440</v>
      </c>
      <c r="E60" s="70" t="n">
        <v>560</v>
      </c>
      <c r="F60" s="70" t="n">
        <v>690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</v>
      </c>
      <c r="E62" s="86" t="n">
        <v>0.12</v>
      </c>
      <c r="F62" s="86" t="n">
        <v>0.13</v>
      </c>
      <c r="G62" s="86" t="n">
        <v>0.13</v>
      </c>
      <c r="H62" s="73" t="n">
        <v>0.14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ELF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59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1636.5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0.16</v>
      </c>
      <c r="D7" s="14" t="n">
        <v>0.15</v>
      </c>
      <c r="E7" s="14" t="n">
        <v>0.13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186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186</v>
      </c>
      <c r="D12" s="11" t="n">
        <v>199</v>
      </c>
      <c r="E12" s="11" t="n">
        <v>230</v>
      </c>
      <c r="F12" s="11" t="n">
        <v>260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</v>
      </c>
      <c r="F14" s="14" t="n">
        <v>0.15</v>
      </c>
      <c r="G14" s="14" t="n">
        <v>0.16</v>
      </c>
      <c r="H14" s="15" t="n">
        <v>0.17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25</v>
      </c>
      <c r="D18" s="25" t="n">
        <v>25</v>
      </c>
      <c r="E18" s="25" t="n">
        <v>25</v>
      </c>
      <c r="F18" s="25" t="n">
        <v>25</v>
      </c>
      <c r="G18" s="25" t="n">
        <v>25</v>
      </c>
      <c r="H18" s="26" t="n">
        <v>25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32</v>
      </c>
      <c r="F19" s="25" t="n">
        <v>36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59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1636.5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0.11</v>
      </c>
      <c r="E31" s="58" t="n">
        <v>0.1</v>
      </c>
      <c r="F31" s="58" t="n">
        <v>0.08</v>
      </c>
      <c r="G31" s="58" t="n">
        <v>0.07000000000000001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186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186</v>
      </c>
      <c r="D36" s="40" t="n">
        <v>199</v>
      </c>
      <c r="E36" s="40" t="n">
        <v>230</v>
      </c>
      <c r="F36" s="40" t="n">
        <v>260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</v>
      </c>
      <c r="E38" s="58" t="n">
        <v>0.12</v>
      </c>
      <c r="F38" s="58" t="n">
        <v>0.13</v>
      </c>
      <c r="G38" s="58" t="n">
        <v>0.13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18</v>
      </c>
      <c r="D42" s="55" t="n">
        <v>18</v>
      </c>
      <c r="E42" s="55" t="n">
        <v>18</v>
      </c>
      <c r="F42" s="55" t="n">
        <v>18</v>
      </c>
      <c r="G42" s="55" t="n">
        <v>18</v>
      </c>
      <c r="H42" s="56" t="n">
        <v>18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59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1636.5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0.04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186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186</v>
      </c>
      <c r="D60" s="70" t="n">
        <v>199</v>
      </c>
      <c r="E60" s="70" t="n">
        <v>230</v>
      </c>
      <c r="F60" s="70" t="n">
        <v>260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</v>
      </c>
      <c r="E62" s="86" t="n">
        <v>0.1</v>
      </c>
      <c r="F62" s="86" t="n">
        <v>0.1</v>
      </c>
      <c r="G62" s="86" t="n">
        <v>0.11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SOFI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3600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0.3</v>
      </c>
      <c r="E7" s="14" t="n">
        <v>0.28</v>
      </c>
      <c r="F7" s="14" t="n">
        <v>0.24</v>
      </c>
      <c r="G7" s="14" t="n">
        <v>0.2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481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481</v>
      </c>
      <c r="D12" s="11" t="n">
        <v>825</v>
      </c>
      <c r="E12" s="11" t="n">
        <v>1050</v>
      </c>
      <c r="F12" s="11" t="n">
        <v>1300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0.17</v>
      </c>
      <c r="E14" s="14" t="n">
        <v>0.19</v>
      </c>
      <c r="F14" s="14" t="n">
        <v>0.21</v>
      </c>
      <c r="G14" s="14" t="n">
        <v>0.23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20</v>
      </c>
      <c r="E18" s="25" t="n">
        <v>20</v>
      </c>
      <c r="F18" s="25" t="n">
        <v>20</v>
      </c>
      <c r="G18" s="25" t="n">
        <v>20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30</v>
      </c>
      <c r="F19" s="25" t="n">
        <v>33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3600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0.26</v>
      </c>
      <c r="E31" s="58" t="n">
        <v>0.22</v>
      </c>
      <c r="F31" s="58" t="n">
        <v>0.18</v>
      </c>
      <c r="G31" s="58" t="n">
        <v>0.15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481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481</v>
      </c>
      <c r="D36" s="40" t="n">
        <v>825</v>
      </c>
      <c r="E36" s="40" t="n">
        <v>1050</v>
      </c>
      <c r="F36" s="40" t="n">
        <v>1300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0.16</v>
      </c>
      <c r="E38" s="58" t="n">
        <v>0.17</v>
      </c>
      <c r="F38" s="58" t="n">
        <v>0.18</v>
      </c>
      <c r="G38" s="58" t="n">
        <v>0.19</v>
      </c>
      <c r="H38" s="43" t="n">
        <v>0.2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25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3600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0.25</v>
      </c>
      <c r="D55" s="86" t="n">
        <v>0.18</v>
      </c>
      <c r="E55" s="86" t="n">
        <v>0.14</v>
      </c>
      <c r="F55" s="86" t="n">
        <v>0.11</v>
      </c>
      <c r="G55" s="86" t="n">
        <v>0.09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481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481</v>
      </c>
      <c r="D60" s="70" t="n">
        <v>825</v>
      </c>
      <c r="E60" s="70" t="n">
        <v>1050</v>
      </c>
      <c r="F60" s="70" t="n">
        <v>1300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0.14</v>
      </c>
      <c r="E62" s="86" t="n">
        <v>0.14</v>
      </c>
      <c r="F62" s="86" t="n">
        <v>0.15</v>
      </c>
      <c r="G62" s="86" t="n">
        <v>0.15</v>
      </c>
      <c r="H62" s="73" t="n">
        <v>0.16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CRM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41525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0.12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7457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7457</v>
      </c>
      <c r="D12" s="11" t="n">
        <v>8200</v>
      </c>
      <c r="E12" s="11" t="n">
        <v>9100</v>
      </c>
      <c r="F12" s="11" t="n">
        <v>10000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24</v>
      </c>
      <c r="E19" s="25" t="n">
        <v>25</v>
      </c>
      <c r="F19" s="25" t="n">
        <v>26</v>
      </c>
      <c r="G19" s="25" t="n">
        <v>28</v>
      </c>
      <c r="H19" s="26" t="n">
        <v>28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41525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0.09</v>
      </c>
      <c r="G31" s="58" t="n">
        <v>0.08</v>
      </c>
      <c r="H31" s="43" t="n">
        <v>0.08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7457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7457</v>
      </c>
      <c r="D36" s="40" t="n">
        <v>8200</v>
      </c>
      <c r="E36" s="40" t="n">
        <v>9100</v>
      </c>
      <c r="F36" s="40" t="n">
        <v>10000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</v>
      </c>
      <c r="G38" s="58" t="n">
        <v>0.21</v>
      </c>
      <c r="H38" s="43" t="n">
        <v>0.21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14</v>
      </c>
      <c r="D42" s="55" t="n">
        <v>14</v>
      </c>
      <c r="E42" s="55" t="n">
        <v>14</v>
      </c>
      <c r="F42" s="55" t="n">
        <v>14</v>
      </c>
      <c r="G42" s="55" t="n">
        <v>14</v>
      </c>
      <c r="H42" s="56" t="n">
        <v>14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17</v>
      </c>
      <c r="E43" s="55" t="n">
        <v>18</v>
      </c>
      <c r="F43" s="55" t="n">
        <v>19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41525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7457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7457</v>
      </c>
      <c r="D60" s="70" t="n">
        <v>8200</v>
      </c>
      <c r="E60" s="70" t="n">
        <v>9100</v>
      </c>
      <c r="F60" s="70" t="n">
        <v>10000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0.17</v>
      </c>
      <c r="E62" s="86" t="n">
        <v>0.17</v>
      </c>
      <c r="F62" s="86" t="n">
        <v>0.17</v>
      </c>
      <c r="G62" s="86" t="n">
        <v>0.17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13</v>
      </c>
      <c r="D67" s="83" t="n">
        <v>13</v>
      </c>
      <c r="E67" s="83" t="n">
        <v>13</v>
      </c>
      <c r="F67" s="83" t="n">
        <v>13</v>
      </c>
      <c r="G67" s="83" t="n">
        <v>13</v>
      </c>
      <c r="H67" s="84" t="n">
        <v>13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FISV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530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0.05</v>
      </c>
      <c r="D7" s="14" t="n">
        <v>0.06</v>
      </c>
      <c r="E7" s="14" t="n">
        <v>0.06</v>
      </c>
      <c r="F7" s="14" t="n">
        <v>0.065</v>
      </c>
      <c r="G7" s="14" t="n">
        <v>0.065</v>
      </c>
      <c r="H7" s="15" t="n">
        <v>0.07000000000000001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-0.07000000000000001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4850</v>
      </c>
      <c r="E12" s="11" t="n">
        <v>5460</v>
      </c>
      <c r="F12" s="11" t="n">
        <v>6100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14</v>
      </c>
      <c r="D18" s="25" t="n">
        <v>14</v>
      </c>
      <c r="E18" s="25" t="n">
        <v>14</v>
      </c>
      <c r="F18" s="25" t="n">
        <v>14</v>
      </c>
      <c r="G18" s="25" t="n">
        <v>14</v>
      </c>
      <c r="H18" s="26" t="n">
        <v>14</v>
      </c>
    </row>
    <row r="19" ht="16.5" customHeight="1" s="92">
      <c r="B19" s="16" t="inlineStr">
        <is>
          <t>PE High Est</t>
        </is>
      </c>
      <c r="C19" s="25" t="n">
        <v>16</v>
      </c>
      <c r="D19" s="25" t="n">
        <v>17</v>
      </c>
      <c r="E19" s="25" t="n">
        <v>18</v>
      </c>
      <c r="F19" s="25" t="n">
        <v>18</v>
      </c>
      <c r="G19" s="25" t="n">
        <v>19</v>
      </c>
      <c r="H19" s="26" t="n">
        <v>19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530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0.045</v>
      </c>
      <c r="F31" s="58" t="n">
        <v>0.05</v>
      </c>
      <c r="G31" s="58" t="n">
        <v>0.05</v>
      </c>
      <c r="H31" s="43" t="n">
        <v>0.05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-0.07000000000000001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4850</v>
      </c>
      <c r="E36" s="40" t="n">
        <v>5460</v>
      </c>
      <c r="F36" s="40" t="n">
        <v>6100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10</v>
      </c>
      <c r="D42" s="55" t="n">
        <v>10</v>
      </c>
      <c r="E42" s="55" t="n">
        <v>10</v>
      </c>
      <c r="F42" s="55" t="n">
        <v>10</v>
      </c>
      <c r="G42" s="55" t="n">
        <v>10</v>
      </c>
      <c r="H42" s="56" t="n">
        <v>10</v>
      </c>
    </row>
    <row r="43" ht="16.5" customHeight="1" s="92">
      <c r="B43" s="44" t="inlineStr">
        <is>
          <t>PE High Est</t>
        </is>
      </c>
      <c r="C43" s="55" t="n">
        <v>12</v>
      </c>
      <c r="D43" s="55" t="n">
        <v>12</v>
      </c>
      <c r="E43" s="55" t="n">
        <v>13</v>
      </c>
      <c r="F43" s="55" t="n">
        <v>13</v>
      </c>
      <c r="G43" s="55" t="n">
        <v>13</v>
      </c>
      <c r="H43" s="56" t="n">
        <v>13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530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0.02</v>
      </c>
      <c r="F55" s="86" t="n">
        <v>0.03</v>
      </c>
      <c r="G55" s="86" t="n">
        <v>0.03</v>
      </c>
      <c r="H55" s="73" t="n">
        <v>0.03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-0.07000000000000001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4850</v>
      </c>
      <c r="E60" s="70" t="n">
        <v>5460</v>
      </c>
      <c r="F60" s="70" t="n">
        <v>6100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0.19</v>
      </c>
      <c r="E62" s="86" t="n">
        <v>0.19</v>
      </c>
      <c r="F62" s="86" t="n">
        <v>0.19</v>
      </c>
      <c r="G62" s="86" t="n">
        <v>0.19</v>
      </c>
      <c r="H62" s="73" t="n">
        <v>0.2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7</v>
      </c>
      <c r="D66" s="83" t="n">
        <v>7</v>
      </c>
      <c r="E66" s="83" t="n">
        <v>7</v>
      </c>
      <c r="F66" s="83" t="n">
        <v>7</v>
      </c>
      <c r="G66" s="83" t="n">
        <v>7</v>
      </c>
      <c r="H66" s="84" t="n">
        <v>7</v>
      </c>
    </row>
    <row r="67" ht="16.5" customHeight="1" s="92">
      <c r="B67" s="74" t="inlineStr">
        <is>
          <t>PE High Est</t>
        </is>
      </c>
      <c r="C67" s="83" t="n">
        <v>9</v>
      </c>
      <c r="D67" s="83" t="n">
        <v>9</v>
      </c>
      <c r="E67" s="83" t="n">
        <v>9</v>
      </c>
      <c r="F67" s="83" t="n">
        <v>9</v>
      </c>
      <c r="G67" s="83" t="n">
        <v>9</v>
      </c>
      <c r="H67" s="84" t="n">
        <v>9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ZETA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1785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0.37</v>
      </c>
      <c r="D7" s="14" t="n">
        <v>0.204</v>
      </c>
      <c r="E7" s="14" t="n">
        <v>0.233</v>
      </c>
      <c r="F7" s="14" t="n">
        <v>0.264</v>
      </c>
      <c r="G7" s="14" t="n">
        <v>0.22</v>
      </c>
      <c r="H7" s="15" t="n">
        <v>0.22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238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238</v>
      </c>
      <c r="D12" s="11" t="n">
        <v>298</v>
      </c>
      <c r="E12" s="11" t="n">
        <v>343</v>
      </c>
      <c r="F12" s="11" t="n">
        <v>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0.18</v>
      </c>
      <c r="E14" s="14" t="n">
        <v>0.185</v>
      </c>
      <c r="F14" s="14" t="n">
        <v>0.19</v>
      </c>
      <c r="G14" s="14" t="n">
        <v>0.2</v>
      </c>
      <c r="H14" s="15" t="n">
        <v>0.213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24</v>
      </c>
      <c r="D19" s="25" t="n">
        <v>24</v>
      </c>
      <c r="E19" s="25" t="n">
        <v>24</v>
      </c>
      <c r="F19" s="25" t="n">
        <v>24</v>
      </c>
      <c r="G19" s="25" t="n">
        <v>24</v>
      </c>
      <c r="H19" s="26" t="n">
        <v>24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1785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0.37</v>
      </c>
      <c r="D31" s="58" t="n">
        <v>0.165</v>
      </c>
      <c r="E31" s="58" t="n">
        <v>0.159</v>
      </c>
      <c r="F31" s="58" t="n">
        <v>0.224</v>
      </c>
      <c r="G31" s="58" t="n">
        <v>0.17</v>
      </c>
      <c r="H31" s="43" t="n">
        <v>0.17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238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238</v>
      </c>
      <c r="D36" s="40" t="n">
        <v>298</v>
      </c>
      <c r="E36" s="40" t="n">
        <v>343</v>
      </c>
      <c r="F36" s="40" t="n">
        <v>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0.145</v>
      </c>
      <c r="E38" s="58" t="n">
        <v>0.154</v>
      </c>
      <c r="F38" s="58" t="n">
        <v>0.161</v>
      </c>
      <c r="G38" s="58" t="n">
        <v>0.173</v>
      </c>
      <c r="H38" s="43" t="n">
        <v>0.186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20</v>
      </c>
      <c r="D43" s="55" t="n">
        <v>20</v>
      </c>
      <c r="E43" s="55" t="n">
        <v>20</v>
      </c>
      <c r="F43" s="55" t="n">
        <v>20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1785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0.37</v>
      </c>
      <c r="D55" s="86" t="n">
        <v>0.143</v>
      </c>
      <c r="E55" s="86" t="n">
        <v>0.127</v>
      </c>
      <c r="F55" s="86" t="n">
        <v>0.152</v>
      </c>
      <c r="G55" s="86" t="n">
        <v>0.13</v>
      </c>
      <c r="H55" s="73" t="n">
        <v>0.13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238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238</v>
      </c>
      <c r="D60" s="70" t="n">
        <v>298</v>
      </c>
      <c r="E60" s="70" t="n">
        <v>343</v>
      </c>
      <c r="F60" s="70" t="n">
        <v>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0.116</v>
      </c>
      <c r="E62" s="86" t="n">
        <v>0.124</v>
      </c>
      <c r="F62" s="86" t="n">
        <v>0.125</v>
      </c>
      <c r="G62" s="86" t="n">
        <v>0.131</v>
      </c>
      <c r="H62" s="73" t="n">
        <v>0.138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HOOD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915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0.14</v>
      </c>
      <c r="D7" s="14" t="n">
        <v>0.22</v>
      </c>
      <c r="E7" s="14" t="n">
        <v>0.22</v>
      </c>
      <c r="F7" s="14" t="n">
        <v>0.2</v>
      </c>
      <c r="G7" s="14" t="n">
        <v>0.18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0.12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2100</v>
      </c>
      <c r="D12" s="11" t="n">
        <v>2500</v>
      </c>
      <c r="E12" s="11" t="n">
        <v>3000</v>
      </c>
      <c r="F12" s="11" t="n">
        <v>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0.42</v>
      </c>
      <c r="E14" s="14" t="n">
        <v>0.43</v>
      </c>
      <c r="F14" s="14" t="n">
        <v>0.44</v>
      </c>
      <c r="G14" s="14" t="n">
        <v>0.45</v>
      </c>
      <c r="H14" s="15" t="n">
        <v>0.46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32</v>
      </c>
      <c r="D18" s="25" t="n">
        <v>32</v>
      </c>
      <c r="E18" s="25" t="n">
        <v>32</v>
      </c>
      <c r="F18" s="25" t="n">
        <v>32</v>
      </c>
      <c r="G18" s="25" t="n">
        <v>32</v>
      </c>
      <c r="H18" s="26" t="n">
        <v>32</v>
      </c>
    </row>
    <row r="19" ht="16.5" customHeight="1" s="92">
      <c r="B19" s="16" t="inlineStr">
        <is>
          <t>PE High Est</t>
        </is>
      </c>
      <c r="C19" s="25" t="n">
        <v>42</v>
      </c>
      <c r="D19" s="25" t="n">
        <v>42</v>
      </c>
      <c r="E19" s="25" t="n">
        <v>42</v>
      </c>
      <c r="F19" s="25" t="n">
        <v>42</v>
      </c>
      <c r="G19" s="25" t="n">
        <v>42</v>
      </c>
      <c r="H19" s="26" t="n">
        <v>42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915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0.14</v>
      </c>
      <c r="D31" s="58" t="n">
        <v>0.14</v>
      </c>
      <c r="E31" s="58" t="n">
        <v>0.14</v>
      </c>
      <c r="F31" s="58" t="n">
        <v>0.13</v>
      </c>
      <c r="G31" s="58" t="n">
        <v>0.12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0.12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2100</v>
      </c>
      <c r="D36" s="40" t="n">
        <v>2500</v>
      </c>
      <c r="E36" s="40" t="n">
        <v>3000</v>
      </c>
      <c r="F36" s="40" t="n">
        <v>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0.41</v>
      </c>
      <c r="E38" s="58" t="n">
        <v>0.42</v>
      </c>
      <c r="F38" s="58" t="n">
        <v>0.42</v>
      </c>
      <c r="G38" s="58" t="n">
        <v>0.43</v>
      </c>
      <c r="H38" s="43" t="n">
        <v>0.43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25</v>
      </c>
      <c r="D42" s="55" t="n">
        <v>25</v>
      </c>
      <c r="E42" s="55" t="n">
        <v>25</v>
      </c>
      <c r="F42" s="55" t="n">
        <v>25</v>
      </c>
      <c r="G42" s="55" t="n">
        <v>25</v>
      </c>
      <c r="H42" s="56" t="n">
        <v>25</v>
      </c>
    </row>
    <row r="43" ht="16.5" customHeight="1" s="92">
      <c r="B43" s="44" t="inlineStr">
        <is>
          <t>PE High Est</t>
        </is>
      </c>
      <c r="C43" s="55" t="n">
        <v>33</v>
      </c>
      <c r="D43" s="55" t="n">
        <v>33</v>
      </c>
      <c r="E43" s="55" t="n">
        <v>33</v>
      </c>
      <c r="F43" s="55" t="n">
        <v>33</v>
      </c>
      <c r="G43" s="55" t="n">
        <v>33</v>
      </c>
      <c r="H43" s="56" t="n">
        <v>33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915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0.14</v>
      </c>
      <c r="D55" s="86" t="n">
        <v>0.08</v>
      </c>
      <c r="E55" s="86" t="n">
        <v>0.07000000000000001</v>
      </c>
      <c r="F55" s="86" t="n">
        <v>0.06</v>
      </c>
      <c r="G55" s="86" t="n">
        <v>0.06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0.12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2100</v>
      </c>
      <c r="D60" s="70" t="n">
        <v>2500</v>
      </c>
      <c r="E60" s="70" t="n">
        <v>3000</v>
      </c>
      <c r="F60" s="70" t="n">
        <v>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0.39</v>
      </c>
      <c r="E62" s="86" t="n">
        <v>0.38</v>
      </c>
      <c r="F62" s="86" t="n">
        <v>0.37</v>
      </c>
      <c r="G62" s="86" t="n">
        <v>0.36</v>
      </c>
      <c r="H62" s="73" t="n">
        <v>0.36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NFLX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0.13</v>
      </c>
      <c r="D7" s="14" t="n">
        <v>0.14</v>
      </c>
      <c r="E7" s="14" t="n">
        <v>0.14</v>
      </c>
      <c r="F7" s="14" t="n">
        <v>0.13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13300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13300</v>
      </c>
      <c r="D12" s="11" t="n">
        <v>15300</v>
      </c>
      <c r="E12" s="11" t="n">
        <v>17600</v>
      </c>
      <c r="F12" s="11" t="n">
        <v>20200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0.3</v>
      </c>
      <c r="G14" s="14" t="n">
        <v>0.31</v>
      </c>
      <c r="H14" s="15" t="n">
        <v>0.32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30</v>
      </c>
      <c r="F18" s="25" t="n">
        <v>30</v>
      </c>
      <c r="G18" s="25" t="n">
        <v>30</v>
      </c>
      <c r="H18" s="26" t="n">
        <v>30</v>
      </c>
    </row>
    <row r="19" ht="16.5" customHeight="1" s="92">
      <c r="B19" s="16" t="inlineStr">
        <is>
          <t>PE High Est</t>
        </is>
      </c>
      <c r="C19" s="25" t="n">
        <v>38</v>
      </c>
      <c r="D19" s="25" t="n">
        <v>38</v>
      </c>
      <c r="E19" s="25" t="n">
        <v>38</v>
      </c>
      <c r="F19" s="25" t="n">
        <v>38</v>
      </c>
      <c r="G19" s="25" t="n">
        <v>38</v>
      </c>
      <c r="H19" s="26" t="n">
        <v>38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0.12</v>
      </c>
      <c r="E31" s="58" t="n">
        <v>0.11</v>
      </c>
      <c r="F31" s="58" t="n">
        <v>0.1</v>
      </c>
      <c r="G31" s="58" t="n">
        <v>0.1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13300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13300</v>
      </c>
      <c r="D36" s="40" t="n">
        <v>15300</v>
      </c>
      <c r="E36" s="40" t="n">
        <v>17600</v>
      </c>
      <c r="F36" s="40" t="n">
        <v>20200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0.27</v>
      </c>
      <c r="F38" s="58" t="n">
        <v>0.28</v>
      </c>
      <c r="G38" s="58" t="n">
        <v>0.28</v>
      </c>
      <c r="H38" s="43" t="n">
        <v>0.29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24</v>
      </c>
      <c r="E42" s="55" t="n">
        <v>24</v>
      </c>
      <c r="F42" s="55" t="n">
        <v>24</v>
      </c>
      <c r="G42" s="55" t="n">
        <v>24</v>
      </c>
      <c r="H42" s="56" t="n">
        <v>24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0.13</v>
      </c>
      <c r="D55" s="86" t="n">
        <v>0.09</v>
      </c>
      <c r="E55" s="86" t="n">
        <v>0.08</v>
      </c>
      <c r="F55" s="86" t="n">
        <v>0.07000000000000001</v>
      </c>
      <c r="G55" s="86" t="n">
        <v>0.07000000000000001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13300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13300</v>
      </c>
      <c r="D60" s="70" t="n">
        <v>15300</v>
      </c>
      <c r="E60" s="70" t="n">
        <v>17600</v>
      </c>
      <c r="F60" s="70" t="n">
        <v>20200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0.25</v>
      </c>
      <c r="E62" s="86" t="n">
        <v>0.25</v>
      </c>
      <c r="F62" s="86" t="n">
        <v>0.26</v>
      </c>
      <c r="G62" s="86" t="n">
        <v>0.26</v>
      </c>
      <c r="H62" s="73" t="n">
        <v>0.26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18</v>
      </c>
      <c r="D66" s="83" t="n">
        <v>18</v>
      </c>
      <c r="E66" s="83" t="n">
        <v>18</v>
      </c>
      <c r="F66" s="83" t="n">
        <v>18</v>
      </c>
      <c r="G66" s="83" t="n">
        <v>18</v>
      </c>
      <c r="H66" s="84" t="n">
        <v>18</v>
      </c>
    </row>
    <row r="67" ht="16.5" customHeight="1" s="92">
      <c r="B67" s="74" t="inlineStr">
        <is>
          <t>PE High Est</t>
        </is>
      </c>
      <c r="C67" s="83" t="n">
        <v>24</v>
      </c>
      <c r="D67" s="83" t="n">
        <v>24</v>
      </c>
      <c r="E67" s="83" t="n">
        <v>24</v>
      </c>
      <c r="F67" s="83" t="n">
        <v>24</v>
      </c>
      <c r="G67" s="83" t="n">
        <v>24</v>
      </c>
      <c r="H67" s="84" t="n">
        <v>24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NOW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1050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0.22</v>
      </c>
      <c r="D7" s="14" t="n">
        <v>0.2</v>
      </c>
      <c r="E7" s="14" t="n">
        <v>0.19</v>
      </c>
      <c r="F7" s="14" t="n">
        <v>0.18</v>
      </c>
      <c r="G7" s="14" t="n">
        <v>0.17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5300</v>
      </c>
      <c r="E12" s="11" t="n">
        <v>6300</v>
      </c>
      <c r="F12" s="11" t="n">
        <v>7400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0.28</v>
      </c>
      <c r="E14" s="14" t="n">
        <v>0.3</v>
      </c>
      <c r="F14" s="14" t="n">
        <v>0.31</v>
      </c>
      <c r="G14" s="14" t="n">
        <v>0.32</v>
      </c>
      <c r="H14" s="15" t="n">
        <v>0.33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28</v>
      </c>
      <c r="D18" s="25" t="n">
        <v>28</v>
      </c>
      <c r="E18" s="25" t="n">
        <v>28</v>
      </c>
      <c r="F18" s="25" t="n">
        <v>28</v>
      </c>
      <c r="G18" s="25" t="n">
        <v>28</v>
      </c>
      <c r="H18" s="26" t="n">
        <v>28</v>
      </c>
    </row>
    <row r="19" ht="16.5" customHeight="1" s="92">
      <c r="B19" s="16" t="inlineStr">
        <is>
          <t>PE High Est</t>
        </is>
      </c>
      <c r="C19" s="25" t="n">
        <v>35</v>
      </c>
      <c r="D19" s="25" t="n">
        <v>35</v>
      </c>
      <c r="E19" s="25" t="n">
        <v>35</v>
      </c>
      <c r="F19" s="25" t="n">
        <v>35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1050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0.22</v>
      </c>
      <c r="D31" s="58" t="n">
        <v>0.18</v>
      </c>
      <c r="E31" s="58" t="n">
        <v>0.17</v>
      </c>
      <c r="F31" s="58" t="n">
        <v>0.15</v>
      </c>
      <c r="G31" s="58" t="n">
        <v>0.14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5300</v>
      </c>
      <c r="E36" s="40" t="n">
        <v>6300</v>
      </c>
      <c r="F36" s="40" t="n">
        <v>7400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0.28</v>
      </c>
      <c r="F38" s="58" t="n">
        <v>0.29</v>
      </c>
      <c r="G38" s="58" t="n">
        <v>0.29</v>
      </c>
      <c r="H38" s="43" t="n">
        <v>0.3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28</v>
      </c>
      <c r="D43" s="55" t="n">
        <v>28</v>
      </c>
      <c r="E43" s="55" t="n">
        <v>28</v>
      </c>
      <c r="F43" s="55" t="n">
        <v>28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1050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0.22</v>
      </c>
      <c r="D55" s="86" t="n">
        <v>0.15</v>
      </c>
      <c r="E55" s="86" t="n">
        <v>0.13</v>
      </c>
      <c r="F55" s="86" t="n">
        <v>0.11</v>
      </c>
      <c r="G55" s="86" t="n">
        <v>0.1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5300</v>
      </c>
      <c r="E60" s="70" t="n">
        <v>6300</v>
      </c>
      <c r="F60" s="70" t="n">
        <v>7400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0.26</v>
      </c>
      <c r="E62" s="86" t="n">
        <v>0.26</v>
      </c>
      <c r="F62" s="86" t="n">
        <v>0.27</v>
      </c>
      <c r="G62" s="86" t="n">
        <v>0.27</v>
      </c>
      <c r="H62" s="73" t="n">
        <v>0.27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QXO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800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13000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0.65</v>
      </c>
      <c r="D7" s="14" t="n">
        <v>0.38</v>
      </c>
      <c r="E7" s="14" t="n">
        <v>0.28</v>
      </c>
      <c r="F7" s="14" t="n">
        <v>0.22</v>
      </c>
      <c r="G7" s="14" t="n">
        <v>0.18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450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450</v>
      </c>
      <c r="D12" s="11" t="n">
        <v>780</v>
      </c>
      <c r="E12" s="11" t="n">
        <v>1150</v>
      </c>
      <c r="F12" s="11" t="n">
        <v>1500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0.055</v>
      </c>
      <c r="E14" s="14" t="n">
        <v>0.065</v>
      </c>
      <c r="F14" s="14" t="n">
        <v>0.075</v>
      </c>
      <c r="G14" s="14" t="n">
        <v>0.08</v>
      </c>
      <c r="H14" s="15" t="n">
        <v>0.08500000000000001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30</v>
      </c>
      <c r="F18" s="25" t="n">
        <v>30</v>
      </c>
      <c r="G18" s="25" t="n">
        <v>30</v>
      </c>
      <c r="H18" s="26" t="n">
        <v>30</v>
      </c>
    </row>
    <row r="19" ht="16.5" customHeight="1" s="92">
      <c r="B19" s="16" t="inlineStr">
        <is>
          <t>PE High Est</t>
        </is>
      </c>
      <c r="C19" s="25" t="n">
        <v>40</v>
      </c>
      <c r="D19" s="25" t="n">
        <v>40</v>
      </c>
      <c r="E19" s="25" t="n">
        <v>40</v>
      </c>
      <c r="F19" s="25" t="n">
        <v>40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800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13000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0.54</v>
      </c>
      <c r="D31" s="58" t="n">
        <v>0.3</v>
      </c>
      <c r="E31" s="58" t="n">
        <v>0.22</v>
      </c>
      <c r="F31" s="58" t="n">
        <v>0.18</v>
      </c>
      <c r="G31" s="58" t="n">
        <v>0.15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450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450</v>
      </c>
      <c r="D36" s="40" t="n">
        <v>780</v>
      </c>
      <c r="E36" s="40" t="n">
        <v>1150</v>
      </c>
      <c r="F36" s="40" t="n">
        <v>1500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0.05</v>
      </c>
      <c r="E38" s="58" t="n">
        <v>0.055</v>
      </c>
      <c r="F38" s="58" t="n">
        <v>0.06</v>
      </c>
      <c r="G38" s="58" t="n">
        <v>0.065</v>
      </c>
      <c r="H38" s="43" t="n">
        <v>0.07000000000000001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800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13000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0.4</v>
      </c>
      <c r="D55" s="86" t="n">
        <v>0.2</v>
      </c>
      <c r="E55" s="86" t="n">
        <v>0.13</v>
      </c>
      <c r="F55" s="86" t="n">
        <v>0.1</v>
      </c>
      <c r="G55" s="86" t="n">
        <v>0.08</v>
      </c>
      <c r="H55" s="73" t="n">
        <v>0.07000000000000001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450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450</v>
      </c>
      <c r="D60" s="70" t="n">
        <v>780</v>
      </c>
      <c r="E60" s="70" t="n">
        <v>1150</v>
      </c>
      <c r="F60" s="70" t="n">
        <v>1500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0.04</v>
      </c>
      <c r="E62" s="86" t="n">
        <v>0.04</v>
      </c>
      <c r="F62" s="86" t="n">
        <v>0.045</v>
      </c>
      <c r="G62" s="86" t="n">
        <v>0.05</v>
      </c>
      <c r="H62" s="73" t="n">
        <v>0.05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14</v>
      </c>
      <c r="E66" s="83" t="n">
        <v>14</v>
      </c>
      <c r="F66" s="83" t="n">
        <v>14</v>
      </c>
      <c r="G66" s="83" t="n">
        <v>14</v>
      </c>
      <c r="H66" s="84" t="n">
        <v>14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CEG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361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34500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0.06</v>
      </c>
      <c r="D7" s="14" t="n">
        <v>0.06</v>
      </c>
      <c r="E7" s="14" t="n">
        <v>0.07000000000000001</v>
      </c>
      <c r="F7" s="14" t="n">
        <v>0.06</v>
      </c>
      <c r="G7" s="14" t="n">
        <v>0.05</v>
      </c>
      <c r="H7" s="15" t="n">
        <v>0.05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4150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0.41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4227</v>
      </c>
      <c r="D12" s="11" t="n">
        <v>4892</v>
      </c>
      <c r="E12" s="11" t="n">
        <v>5630</v>
      </c>
      <c r="F12" s="11" t="n">
        <v>6460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0.14</v>
      </c>
      <c r="E14" s="14" t="n">
        <v>0.16</v>
      </c>
      <c r="F14" s="14" t="n">
        <v>0.175</v>
      </c>
      <c r="G14" s="14" t="n">
        <v>0.185</v>
      </c>
      <c r="H14" s="15" t="n">
        <v>0.19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26</v>
      </c>
      <c r="D18" s="25" t="n">
        <v>26</v>
      </c>
      <c r="E18" s="25" t="n">
        <v>26</v>
      </c>
      <c r="F18" s="25" t="n">
        <v>26</v>
      </c>
      <c r="G18" s="25" t="n">
        <v>26</v>
      </c>
      <c r="H18" s="26" t="n">
        <v>26</v>
      </c>
    </row>
    <row r="19" ht="16.5" customHeight="1" s="92">
      <c r="B19" s="16" t="inlineStr">
        <is>
          <t>PE High Est</t>
        </is>
      </c>
      <c r="C19" s="25" t="n">
        <v>34</v>
      </c>
      <c r="D19" s="25" t="n">
        <v>34</v>
      </c>
      <c r="E19" s="25" t="n">
        <v>34</v>
      </c>
      <c r="F19" s="25" t="n">
        <v>34</v>
      </c>
      <c r="G19" s="25" t="n">
        <v>34</v>
      </c>
      <c r="H19" s="26" t="n">
        <v>34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361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34500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0.05</v>
      </c>
      <c r="F31" s="58" t="n">
        <v>0.05</v>
      </c>
      <c r="G31" s="58" t="n">
        <v>0.04</v>
      </c>
      <c r="H31" s="43" t="n">
        <v>0.04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4150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0.41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4227</v>
      </c>
      <c r="D36" s="40" t="n">
        <v>4892</v>
      </c>
      <c r="E36" s="40" t="n">
        <v>5630</v>
      </c>
      <c r="F36" s="40" t="n">
        <v>6460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0.136</v>
      </c>
      <c r="E38" s="58" t="n">
        <v>0.151</v>
      </c>
      <c r="F38" s="58" t="n">
        <v>0.165</v>
      </c>
      <c r="G38" s="58" t="n">
        <v>0.168</v>
      </c>
      <c r="H38" s="43" t="n">
        <v>0.17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28</v>
      </c>
      <c r="D43" s="55" t="n">
        <v>28</v>
      </c>
      <c r="E43" s="55" t="n">
        <v>28</v>
      </c>
      <c r="F43" s="55" t="n">
        <v>28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361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34500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0.03</v>
      </c>
      <c r="F55" s="86" t="n">
        <v>0.03</v>
      </c>
      <c r="G55" s="86" t="n">
        <v>0.02</v>
      </c>
      <c r="H55" s="73" t="n">
        <v>0.02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4150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0.41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4227</v>
      </c>
      <c r="D60" s="70" t="n">
        <v>4892</v>
      </c>
      <c r="E60" s="70" t="n">
        <v>5630</v>
      </c>
      <c r="F60" s="70" t="n">
        <v>6460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0.125</v>
      </c>
      <c r="E62" s="86" t="n">
        <v>0.13</v>
      </c>
      <c r="F62" s="86" t="n">
        <v>0.135</v>
      </c>
      <c r="G62" s="86" t="n">
        <v>0.135</v>
      </c>
      <c r="H62" s="73" t="n">
        <v>0.135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2026-06-20T09:47:32Z</dcterms:created>
  <dcterms:modified xsi:type="dcterms:W3CDTF">2026-06-21T11:21:59Z</dcterms:modified>
</cp:coreProperties>
</file>