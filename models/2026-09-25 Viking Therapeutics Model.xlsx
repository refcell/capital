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b val="1"/>
      <sz val="12"/>
    </font>
    <font>
      <i val="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4" borderId="1" pivotButton="0" quotePrefix="0" xfId="0"/>
    <xf numFmtId="164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28" customWidth="1" min="2" max="2"/>
    <col width="74" customWidth="1" min="3" max="3"/>
    <col width="2" customWidth="1" min="4" max="4"/>
  </cols>
  <sheetData>
    <row r="1" ht="24" customHeight="1">
      <c r="A1" s="1" t="inlineStr">
        <is>
          <t>Viking Therapeutics, Inc. (NASDAQ: VKTX) — Valuation Summary</t>
        </is>
      </c>
    </row>
    <row r="2"/>
    <row r="3">
      <c r="A3" s="2" t="inlineStr">
        <is>
          <t>Field</t>
        </is>
      </c>
      <c r="B3" s="2" t="inlineStr">
        <is>
          <t>Value</t>
        </is>
      </c>
      <c r="C3" s="2" t="inlineStr">
        <is>
          <t>As of / Comment</t>
        </is>
      </c>
    </row>
    <row r="4">
      <c r="A4" s="3" t="inlineStr">
        <is>
          <t>Model date</t>
        </is>
      </c>
      <c r="B4" s="3" t="inlineStr">
        <is>
          <t>2026-09-25</t>
        </is>
      </c>
      <c r="C4" s="3" t="inlineStr">
        <is>
          <t>Public information through September 24, 2026</t>
        </is>
      </c>
    </row>
    <row r="5">
      <c r="A5" s="4" t="inlineStr">
        <is>
          <t>Price</t>
        </is>
      </c>
      <c r="B5" s="5" t="n">
        <v>36.75</v>
      </c>
      <c r="C5" s="4" t="inlineStr">
        <is>
          <t>September 24 close; StockAnalysis</t>
        </is>
      </c>
    </row>
    <row r="6">
      <c r="A6" s="3" t="inlineStr">
        <is>
          <t>Shares outstanding</t>
        </is>
      </c>
      <c r="B6" s="6" t="n">
        <v>116.65</v>
      </c>
      <c r="C6" s="3" t="inlineStr">
        <is>
          <t>June 30 actual, millions</t>
        </is>
      </c>
    </row>
    <row r="7">
      <c r="A7" s="4" t="inlineStr">
        <is>
          <t>New common shares</t>
        </is>
      </c>
      <c r="B7" s="5" t="n">
        <v>7.857143</v>
      </c>
      <c r="C7" s="4" t="inlineStr">
        <is>
          <t>$275M gross offering at $35; excludes 1.179M greenshoe</t>
        </is>
      </c>
    </row>
    <row r="8">
      <c r="A8" s="3" t="inlineStr">
        <is>
          <t>Pro-forma basic shares</t>
        </is>
      </c>
      <c r="B8" s="6" t="n">
        <v>124.507143</v>
      </c>
      <c r="C8" s="3" t="inlineStr">
        <is>
          <t>Millions; excludes potential note conversion</t>
        </is>
      </c>
    </row>
    <row r="9">
      <c r="A9" s="4" t="inlineStr">
        <is>
          <t>Quoted market cap</t>
        </is>
      </c>
      <c r="B9" s="5" t="n">
        <v>4290</v>
      </c>
      <c r="C9" s="4" t="inlineStr">
        <is>
          <t>$mm, pre-offering quote basis</t>
        </is>
      </c>
    </row>
    <row r="10">
      <c r="A10" s="3" t="inlineStr">
        <is>
          <t>Pro-forma market cap</t>
        </is>
      </c>
      <c r="B10" s="6" t="n">
        <v>4575.63750525</v>
      </c>
      <c r="C10" s="3" t="inlineStr">
        <is>
          <t>$mm at current price and issued offering shares</t>
        </is>
      </c>
    </row>
    <row r="11">
      <c r="A11" s="4" t="inlineStr">
        <is>
          <t>June cash and investments</t>
        </is>
      </c>
      <c r="B11" s="5" t="n">
        <v>501.66</v>
      </c>
      <c r="C11" s="4" t="inlineStr">
        <is>
          <t>$mm</t>
        </is>
      </c>
    </row>
    <row r="12">
      <c r="A12" s="3" t="inlineStr">
        <is>
          <t>Pro-forma cash</t>
        </is>
      </c>
      <c r="B12" s="6" t="n">
        <v>977.86</v>
      </c>
      <c r="C12" s="3" t="inlineStr">
        <is>
          <t>$mm; adds estimated equity and note net proceeds</t>
        </is>
      </c>
    </row>
    <row r="13">
      <c r="A13" s="4" t="inlineStr">
        <is>
          <t>Pro-forma debt</t>
        </is>
      </c>
      <c r="B13" s="5" t="n">
        <v>229.09</v>
      </c>
      <c r="C13" s="4" t="inlineStr">
        <is>
          <t>$mm; includes $225M 2.00% notes due 2032</t>
        </is>
      </c>
    </row>
    <row r="14">
      <c r="A14" s="3" t="inlineStr">
        <is>
          <t>Pro-forma net cash</t>
        </is>
      </c>
      <c r="B14" s="6" t="n">
        <v>748.77</v>
      </c>
      <c r="C14" s="3" t="inlineStr">
        <is>
          <t>$mm</t>
        </is>
      </c>
    </row>
    <row r="15">
      <c r="A15" s="4" t="inlineStr">
        <is>
          <t>Primary lens</t>
        </is>
      </c>
      <c r="B15" s="4" t="inlineStr">
        <is>
          <t>Cash NAV + risk-adjusted pipeline NPV</t>
        </is>
      </c>
      <c r="C15" s="4" t="inlineStr">
        <is>
          <t>Pre-revenue biotech; P/E and FCF multiples are not meaningful</t>
        </is>
      </c>
    </row>
    <row r="16">
      <c r="A16" s="3" t="inlineStr">
        <is>
          <t>Stance</t>
        </is>
      </c>
      <c r="B16" s="3" t="inlineStr">
        <is>
          <t>Watch / Speculative</t>
        </is>
      </c>
      <c r="C16" s="3" t="inlineStr">
        <is>
          <t>Phase 3 execution and dilution remain decisive despite strong VK2735 data</t>
        </is>
      </c>
    </row>
    <row r="17"/>
    <row r="18">
      <c r="A18" s="7" t="inlineStr">
        <is>
          <t>Key Valuation Metrics</t>
        </is>
      </c>
    </row>
    <row r="19">
      <c r="A19" s="2" t="inlineStr">
        <is>
          <t>Metric</t>
        </is>
      </c>
      <c r="B19" s="2" t="inlineStr">
        <is>
          <t>Value</t>
        </is>
      </c>
      <c r="C19" s="2" t="inlineStr">
        <is>
          <t>Interpretation</t>
        </is>
      </c>
    </row>
    <row r="20">
      <c r="A20" s="3" t="inlineStr">
        <is>
          <t>P/E / Forward P/E</t>
        </is>
      </c>
      <c r="B20" s="3" t="inlineStr">
        <is>
          <t>N/A</t>
        </is>
      </c>
      <c r="C20" s="3" t="inlineStr">
        <is>
          <t>Negative earnings and no product revenue</t>
        </is>
      </c>
    </row>
    <row r="21">
      <c r="A21" s="4" t="inlineStr">
        <is>
          <t>P/S / EV/Sales</t>
        </is>
      </c>
      <c r="B21" s="4" t="inlineStr">
        <is>
          <t>N/A</t>
        </is>
      </c>
      <c r="C21" s="4" t="inlineStr">
        <is>
          <t>No revenue</t>
        </is>
      </c>
    </row>
    <row r="22">
      <c r="A22" s="3" t="inlineStr">
        <is>
          <t>P/FCF / EV/FCF</t>
        </is>
      </c>
      <c r="B22" s="3" t="inlineStr">
        <is>
          <t>N/A</t>
        </is>
      </c>
      <c r="C22" s="3" t="inlineStr">
        <is>
          <t>TTM FCF is negative by design</t>
        </is>
      </c>
    </row>
    <row r="23">
      <c r="A23" s="4" t="inlineStr">
        <is>
          <t>P/B</t>
        </is>
      </c>
      <c r="B23" s="5" t="n">
        <v>11.9</v>
      </c>
      <c r="C23" s="4" t="inlineStr">
        <is>
          <t>Backward-looking and diluted by R&amp;D burn; not primary</t>
        </is>
      </c>
    </row>
    <row r="24">
      <c r="A24" s="3" t="inlineStr">
        <is>
          <t>June net cash/share</t>
        </is>
      </c>
      <c r="B24" s="6" t="n">
        <v>4.300557222460352</v>
      </c>
      <c r="C24" s="3" t="inlineStr">
        <is>
          <t>Before September financing</t>
        </is>
      </c>
    </row>
    <row r="25">
      <c r="A25" s="4" t="inlineStr">
        <is>
          <t>Pro-forma net cash/share</t>
        </is>
      </c>
      <c r="B25" s="5" t="n">
        <v>6.013871830630633</v>
      </c>
      <c r="C25" s="4" t="inlineStr">
        <is>
          <t>After common stock and note offerings</t>
        </is>
      </c>
    </row>
    <row r="26">
      <c r="A26" s="3" t="inlineStr">
        <is>
          <t>Optionality premium/share</t>
        </is>
      </c>
      <c r="B26" s="6" t="n">
        <v>30.73612816936937</v>
      </c>
      <c r="C26" s="3" t="inlineStr">
        <is>
          <t>Price less pro-forma net cash/share</t>
        </is>
      </c>
    </row>
    <row r="27">
      <c r="A27" s="4" t="inlineStr">
        <is>
          <t>Analyst target</t>
        </is>
      </c>
      <c r="B27" s="5" t="n">
        <v>94.61</v>
      </c>
      <c r="C27" s="4" t="inlineStr">
        <is>
          <t>20 analysts; range $38-$125</t>
        </is>
      </c>
    </row>
    <row r="28">
      <c r="A28" s="3" t="inlineStr">
        <is>
          <t>Short interest</t>
        </is>
      </c>
      <c r="B28" s="3" t="inlineStr">
        <is>
          <t>19.0% of shares</t>
        </is>
      </c>
      <c r="C28" s="3" t="inlineStr">
        <is>
          <t>High event-driven positioning</t>
        </is>
      </c>
    </row>
    <row r="29">
      <c r="A29" s="4" t="inlineStr">
        <is>
          <t>TTM operating cash flow</t>
        </is>
      </c>
      <c r="B29" s="5" t="n">
        <v>-418.44</v>
      </c>
      <c r="C29" s="4" t="inlineStr">
        <is>
          <t>$mm; cash burn, not owner earnings</t>
        </is>
      </c>
    </row>
    <row r="30">
      <c r="A30" s="3" t="inlineStr">
        <is>
          <t>Runway before financing</t>
        </is>
      </c>
      <c r="B30" s="6" t="n">
        <v>1.198881560080298</v>
      </c>
      <c r="C30" s="3" t="inlineStr">
        <is>
          <t>Years at unchanged TTM OCF burn</t>
        </is>
      </c>
    </row>
    <row r="31">
      <c r="A31" s="4" t="inlineStr">
        <is>
          <t>Runway pro forma</t>
        </is>
      </c>
      <c r="B31" s="5" t="n">
        <v>2.336918076665711</v>
      </c>
      <c r="C31" s="4" t="inlineStr">
        <is>
          <t>Years at unchanged TTM OCF burn, before interest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22" customWidth="1" min="2" max="2"/>
    <col width="38" customWidth="1" min="3" max="3"/>
    <col width="62" customWidth="1" min="4" max="4"/>
  </cols>
  <sheetData>
    <row r="1" ht="24" customHeight="1">
      <c r="A1" s="1" t="inlineStr">
        <is>
          <t>VKTX — Cost of Capital</t>
        </is>
      </c>
    </row>
    <row r="2"/>
    <row r="3">
      <c r="A3" s="2" t="inlineStr">
        <is>
          <t>Component</t>
        </is>
      </c>
      <c r="B3" s="2" t="inlineStr">
        <is>
          <t>Value</t>
        </is>
      </c>
      <c r="C3" s="2" t="inlineStr">
        <is>
          <t>Source / Formula</t>
        </is>
      </c>
      <c r="D3" s="2" t="inlineStr">
        <is>
          <t>Comment</t>
        </is>
      </c>
    </row>
    <row r="4">
      <c r="A4" s="3" t="inlineStr">
        <is>
          <t>Risk-free rate</t>
        </is>
      </c>
      <c r="B4" s="6" t="n">
        <v>0.041</v>
      </c>
      <c r="C4" s="3" t="inlineStr">
        <is>
          <t>10Y U.S. Treasury rounded market anchor</t>
        </is>
      </c>
      <c r="D4" s="3" t="inlineStr">
        <is>
          <t>Model input</t>
        </is>
      </c>
    </row>
    <row r="5">
      <c r="A5" s="4" t="inlineStr">
        <is>
          <t>Equity risk premium</t>
        </is>
      </c>
      <c r="B5" s="5" t="n">
        <v>0.05</v>
      </c>
      <c r="C5" s="4" t="inlineStr">
        <is>
          <t>House assumption</t>
        </is>
      </c>
      <c r="D5" s="4" t="inlineStr">
        <is>
          <t>Model input</t>
        </is>
      </c>
    </row>
    <row r="6">
      <c r="A6" s="3" t="inlineStr">
        <is>
          <t>Levered beta</t>
        </is>
      </c>
      <c r="B6" s="6" t="n">
        <v>0.68</v>
      </c>
      <c r="C6" s="3" t="inlineStr">
        <is>
          <t>StockAnalysis, September 24, 2026</t>
        </is>
      </c>
      <c r="D6" s="3" t="inlineStr">
        <is>
          <t>Five-year beta</t>
        </is>
      </c>
    </row>
    <row r="7">
      <c r="A7" s="4" t="inlineStr">
        <is>
          <t>CAPM cost of equity</t>
        </is>
      </c>
      <c r="B7" s="5" t="n">
        <v>0.07500000000000001</v>
      </c>
      <c r="C7" s="4" t="inlineStr">
        <is>
          <t>Rf + beta × ERP</t>
        </is>
      </c>
      <c r="D7" s="4" t="inlineStr">
        <is>
          <t>Relevant corporate finance WACC</t>
        </is>
      </c>
    </row>
    <row r="8">
      <c r="A8" s="3" t="inlineStr">
        <is>
          <t>Pre-tax cost of debt</t>
        </is>
      </c>
      <c r="B8" s="6" t="n">
        <v>0.02</v>
      </c>
      <c r="C8" s="3" t="inlineStr">
        <is>
          <t>Convertible coupon</t>
        </is>
      </c>
      <c r="D8" s="3" t="inlineStr">
        <is>
          <t>Economic cost is higher because of conversion option</t>
        </is>
      </c>
    </row>
    <row r="9">
      <c r="A9" s="4" t="inlineStr">
        <is>
          <t>Tax rate</t>
        </is>
      </c>
      <c r="B9" s="5" t="n">
        <v>0</v>
      </c>
      <c r="C9" s="4" t="inlineStr">
        <is>
          <t>Persistent losses / NOLs</t>
        </is>
      </c>
      <c r="D9" s="4" t="inlineStr">
        <is>
          <t>No current tax shield assumed</t>
        </is>
      </c>
    </row>
    <row r="10">
      <c r="A10" s="3" t="inlineStr">
        <is>
          <t>Equity value</t>
        </is>
      </c>
      <c r="B10" s="6" t="n">
        <v>4575.63750525</v>
      </c>
      <c r="C10" s="3" t="inlineStr">
        <is>
          <t>$mm pro forma</t>
        </is>
      </c>
      <c r="D10" s="3" t="inlineStr">
        <is>
          <t>Current price × pro-forma basic shares</t>
        </is>
      </c>
    </row>
    <row r="11">
      <c r="A11" s="4" t="inlineStr">
        <is>
          <t>Debt</t>
        </is>
      </c>
      <c r="B11" s="5" t="n">
        <v>229.09</v>
      </c>
      <c r="C11" s="4" t="inlineStr">
        <is>
          <t>$mm pro forma</t>
        </is>
      </c>
      <c r="D11" s="4" t="inlineStr">
        <is>
          <t>Lease debt plus notes</t>
        </is>
      </c>
    </row>
    <row r="12">
      <c r="A12" s="3" t="inlineStr">
        <is>
          <t>Equity weight</t>
        </is>
      </c>
      <c r="B12" s="6" t="n">
        <v>0.9523198766736137</v>
      </c>
      <c r="C12" s="3" t="inlineStr">
        <is>
          <t>E / (D + E)</t>
        </is>
      </c>
      <c r="D12" s="3" t="inlineStr"/>
    </row>
    <row r="13">
      <c r="A13" s="4" t="inlineStr">
        <is>
          <t>Debt weight</t>
        </is>
      </c>
      <c r="B13" s="5" t="n">
        <v>0.04768012332638622</v>
      </c>
      <c r="C13" s="4" t="inlineStr">
        <is>
          <t>D / (D + E)</t>
        </is>
      </c>
      <c r="D13" s="4" t="inlineStr"/>
    </row>
    <row r="14">
      <c r="A14" s="3" t="inlineStr">
        <is>
          <t>Computed WACC</t>
        </is>
      </c>
      <c r="B14" s="6" t="n">
        <v>0.07237759321704876</v>
      </c>
      <c r="C14" s="3" t="inlineStr">
        <is>
          <t>Weighted CAPM and coupon</t>
        </is>
      </c>
      <c r="D14" s="3" t="inlineStr">
        <is>
          <t>Not the pipeline discount rate</t>
        </is>
      </c>
    </row>
    <row r="15">
      <c r="A15" s="4" t="inlineStr">
        <is>
          <t>Pipeline discount rate</t>
        </is>
      </c>
      <c r="B15" s="5" t="n">
        <v>0.12</v>
      </c>
      <c r="C15" s="4" t="inlineStr">
        <is>
          <t>Biotech risk adjustment</t>
        </is>
      </c>
      <c r="D15" s="4" t="inlineStr">
        <is>
          <t>Used conceptually for pipeline NPV; clinical failure risk dominates WACC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  <col width="23" customWidth="1" min="4" max="4"/>
    <col width="70" customWidth="1" min="5" max="5"/>
  </cols>
  <sheetData>
    <row r="1" ht="24" customHeight="1">
      <c r="A1" s="1" t="inlineStr">
        <is>
          <t>VKTX — Clinical Biotech Scenario Analysis</t>
        </is>
      </c>
    </row>
    <row r="2">
      <c r="A2" s="8" t="inlineStr">
        <is>
          <t>Framework: cash NAV plus probability-adjusted pipeline value. Standard DCF/FCF multiples are inapplicable before product revenue.</t>
        </is>
      </c>
    </row>
    <row r="3"/>
    <row r="4">
      <c r="A4" s="2" t="inlineStr">
        <is>
          <t>Driver</t>
        </is>
      </c>
      <c r="B4" s="2" t="inlineStr">
        <is>
          <t>Bear</t>
        </is>
      </c>
      <c r="C4" s="2" t="inlineStr">
        <is>
          <t>Base</t>
        </is>
      </c>
      <c r="D4" s="2" t="inlineStr">
        <is>
          <t>Bull</t>
        </is>
      </c>
      <c r="E4" s="2" t="inlineStr">
        <is>
          <t>Notes</t>
        </is>
      </c>
    </row>
    <row r="5">
      <c r="A5" s="4" t="inlineStr">
        <is>
          <t>Clinical outcome</t>
        </is>
      </c>
      <c r="B5" s="4" t="inlineStr">
        <is>
          <t>Phase 3 delay/failure</t>
        </is>
      </c>
      <c r="C5" s="4" t="inlineStr">
        <is>
          <t>One formulation succeeds</t>
        </is>
      </c>
      <c r="D5" s="4" t="inlineStr">
        <is>
          <t>SC + oral franchise succeeds</t>
        </is>
      </c>
      <c r="E5" s="4" t="inlineStr">
        <is>
          <t>VK2735 is the dominant value driver</t>
        </is>
      </c>
    </row>
    <row r="6">
      <c r="A6" s="3" t="inlineStr">
        <is>
          <t>Annual cash burn ($mm)</t>
        </is>
      </c>
      <c r="B6" s="3" t="n">
        <v>600</v>
      </c>
      <c r="C6" s="3" t="n">
        <v>500</v>
      </c>
      <c r="D6" s="3" t="n">
        <v>450</v>
      </c>
      <c r="E6" s="3" t="inlineStr">
        <is>
          <t>Includes larger Phase 3/commercial preparation</t>
        </is>
      </c>
    </row>
    <row r="7">
      <c r="A7" s="4" t="inlineStr">
        <is>
          <t>Future dilution factor</t>
        </is>
      </c>
      <c r="B7" s="5" t="n">
        <v>1.35</v>
      </c>
      <c r="C7" s="5" t="n">
        <v>1.18</v>
      </c>
      <c r="D7" s="5" t="n">
        <v>1.08</v>
      </c>
      <c r="E7" s="4" t="inlineStr">
        <is>
          <t>Beyond September offering and before note conversion</t>
        </is>
      </c>
    </row>
    <row r="8">
      <c r="A8" s="3" t="inlineStr">
        <is>
          <t>Diluted shares ($mm)</t>
        </is>
      </c>
      <c r="B8" s="6" t="n">
        <v>168.08464305</v>
      </c>
      <c r="C8" s="6" t="n">
        <v>146.91842874</v>
      </c>
      <c r="D8" s="6" t="n">
        <v>134.46771444</v>
      </c>
      <c r="E8" s="3" t="inlineStr">
        <is>
          <t>Scenario share denominator</t>
        </is>
      </c>
    </row>
    <row r="9">
      <c r="A9" s="4" t="inlineStr">
        <is>
          <t>Residual cash NAV/share</t>
        </is>
      </c>
      <c r="B9" s="5" t="n">
        <v>2</v>
      </c>
      <c r="C9" s="5" t="n">
        <v>4</v>
      </c>
      <c r="D9" s="5" t="n">
        <v>5.5</v>
      </c>
      <c r="E9" s="4" t="inlineStr">
        <is>
          <t>After trial spending and scenario dilution</t>
        </is>
      </c>
    </row>
    <row r="10">
      <c r="A10" s="3" t="inlineStr">
        <is>
          <t>VK2735 rNPV/share</t>
        </is>
      </c>
      <c r="B10" s="6" t="n">
        <v>4</v>
      </c>
      <c r="C10" s="6" t="n">
        <v>42</v>
      </c>
      <c r="D10" s="6" t="n">
        <v>95</v>
      </c>
      <c r="E10" s="3" t="inlineStr">
        <is>
          <t>Risk-adjusted product optionality</t>
        </is>
      </c>
    </row>
    <row r="11">
      <c r="A11" s="4" t="inlineStr">
        <is>
          <t>Other pipeline rNPV/share</t>
        </is>
      </c>
      <c r="B11" s="5" t="n">
        <v>2</v>
      </c>
      <c r="C11" s="5" t="n">
        <v>6</v>
      </c>
      <c r="D11" s="5" t="n">
        <v>9.5</v>
      </c>
      <c r="E11" s="4" t="inlineStr">
        <is>
          <t>VK3019, VK2809, VK0214 and other programs</t>
        </is>
      </c>
    </row>
    <row r="12">
      <c r="A12" s="3" t="inlineStr">
        <is>
          <t>Target price</t>
        </is>
      </c>
      <c r="B12" s="6" t="n">
        <v>8</v>
      </c>
      <c r="C12" s="6" t="n">
        <v>52</v>
      </c>
      <c r="D12" s="6" t="n">
        <v>110</v>
      </c>
      <c r="E12" s="3" t="inlineStr">
        <is>
          <t>Sum of NAV and pipeline components</t>
        </is>
      </c>
    </row>
    <row r="13">
      <c r="A13" s="4" t="inlineStr">
        <is>
          <t>Upside / (downside)</t>
        </is>
      </c>
      <c r="B13" s="5" t="n">
        <v>-0.782312925170068</v>
      </c>
      <c r="C13" s="5" t="n">
        <v>0.4149659863945578</v>
      </c>
      <c r="D13" s="5" t="n">
        <v>1.993197278911565</v>
      </c>
      <c r="E13" s="4" t="inlineStr">
        <is>
          <t>Versus $36.75</t>
        </is>
      </c>
    </row>
    <row r="14">
      <c r="A14" s="3" t="inlineStr">
        <is>
          <t>Probability weight</t>
        </is>
      </c>
      <c r="B14" s="6" t="n">
        <v>0.3</v>
      </c>
      <c r="C14" s="6" t="n">
        <v>0.45</v>
      </c>
      <c r="D14" s="6" t="n">
        <v>0.25</v>
      </c>
      <c r="E14" s="3" t="inlineStr">
        <is>
          <t>Clinical binary retains a substantial failure weight</t>
        </is>
      </c>
    </row>
    <row r="15">
      <c r="A15" s="4" t="inlineStr">
        <is>
          <t>Weighted value/share</t>
        </is>
      </c>
      <c r="B15" s="5" t="n">
        <v>2.4</v>
      </c>
      <c r="C15" s="5" t="n">
        <v>23.4</v>
      </c>
      <c r="D15" s="5" t="n">
        <v>27.5</v>
      </c>
      <c r="E15" s="4" t="inlineStr">
        <is>
          <t>Target × probability</t>
        </is>
      </c>
    </row>
    <row r="16"/>
    <row r="17">
      <c r="A17" s="9" t="inlineStr">
        <is>
          <t>Probability-weighted fair value</t>
        </is>
      </c>
      <c r="B17" s="9">
        <f>SUM(B15:D15)</f>
        <v/>
      </c>
    </row>
    <row r="18">
      <c r="A18" s="9" t="inlineStr">
        <is>
          <t>Upside from current price</t>
        </is>
      </c>
      <c r="B18" s="10">
        <f>B17/36.75-1</f>
        <v/>
      </c>
    </row>
    <row r="19"/>
    <row r="20">
      <c r="A20" s="7" t="inlineStr">
        <is>
          <t>Sanity checks</t>
        </is>
      </c>
    </row>
    <row r="21">
      <c r="A21" s="2" t="inlineStr">
        <is>
          <t>Check</t>
        </is>
      </c>
      <c r="B21" s="2" t="inlineStr">
        <is>
          <t>Result</t>
        </is>
      </c>
      <c r="C21" s="2" t="inlineStr">
        <is>
          <t>Read</t>
        </is>
      </c>
    </row>
    <row r="22">
      <c r="A22" s="3" t="inlineStr">
        <is>
          <t>Bear below current price</t>
        </is>
      </c>
      <c r="B22" s="3" t="inlineStr">
        <is>
          <t>PASS</t>
        </is>
      </c>
      <c r="C22" s="3" t="inlineStr">
        <is>
          <t>$8 bear value is 78% below $36.75</t>
        </is>
      </c>
    </row>
    <row r="23">
      <c r="A23" s="4" t="inlineStr">
        <is>
          <t>Base vs analyst average target</t>
        </is>
      </c>
      <c r="B23" s="4" t="inlineStr">
        <is>
          <t>DIVERGES</t>
        </is>
      </c>
      <c r="C23" s="4" t="inlineStr">
        <is>
          <t>$52 base is 45% below $94.61; reflects financing and Phase 3 risk</t>
        </is>
      </c>
    </row>
    <row r="24">
      <c r="A24" s="3" t="inlineStr">
        <is>
          <t>Cash/runway</t>
        </is>
      </c>
      <c r="B24" s="3" t="inlineStr">
        <is>
          <t>PASS</t>
        </is>
      </c>
      <c r="C24" s="3" t="inlineStr">
        <is>
          <t>Pro-forma gross liquidity supports about 2.3 years at TTM burn</t>
        </is>
      </c>
    </row>
    <row r="25">
      <c r="A25" s="4" t="inlineStr">
        <is>
          <t>Unit consistency</t>
        </is>
      </c>
      <c r="B25" s="4" t="inlineStr">
        <is>
          <t>PASS</t>
        </is>
      </c>
      <c r="C25" s="4" t="inlineStr">
        <is>
          <t>All cash, debt and share figures use $mm / mm shares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28" customWidth="1" min="2" max="2"/>
    <col width="78" customWidth="1" min="3" max="3"/>
    <col width="17" customWidth="1" min="4" max="4"/>
    <col width="54" customWidth="1" min="5" max="5"/>
  </cols>
  <sheetData>
    <row r="1" ht="24" customHeight="1">
      <c r="A1" s="1" t="inlineStr">
        <is>
          <t>VKTX — Actuals Source Audit</t>
        </is>
      </c>
    </row>
    <row r="2"/>
    <row r="3">
      <c r="A3" s="2" t="inlineStr">
        <is>
          <t>Data Point</t>
        </is>
      </c>
      <c r="B3" s="2" t="inlineStr">
        <is>
          <t>Value</t>
        </is>
      </c>
      <c r="C3" s="2" t="inlineStr">
        <is>
          <t>Source URL</t>
        </is>
      </c>
      <c r="D3" s="2" t="inlineStr">
        <is>
          <t>Source Date</t>
        </is>
      </c>
      <c r="E3" s="2" t="inlineStr">
        <is>
          <t>Notes</t>
        </is>
      </c>
    </row>
    <row r="4">
      <c r="A4" s="3" t="inlineStr">
        <is>
          <t>Price</t>
        </is>
      </c>
      <c r="B4" s="3" t="inlineStr">
        <is>
          <t>$36.75</t>
        </is>
      </c>
      <c r="C4" s="3" t="inlineStr">
        <is>
          <t>https://stockanalysis.com/stocks/vktx/</t>
        </is>
      </c>
      <c r="D4" s="3" t="inlineStr">
        <is>
          <t>2026-09-24</t>
        </is>
      </c>
      <c r="E4" s="3" t="inlineStr">
        <is>
          <t>Closing price</t>
        </is>
      </c>
    </row>
    <row r="5">
      <c r="A5" s="4" t="inlineStr">
        <is>
          <t>Market cap / EV</t>
        </is>
      </c>
      <c r="B5" s="4" t="inlineStr">
        <is>
          <t>$4.29B / $3.79B</t>
        </is>
      </c>
      <c r="C5" s="4" t="inlineStr">
        <is>
          <t>https://stockanalysis.com/stocks/vktx/statistics/</t>
        </is>
      </c>
      <c r="D5" s="4" t="inlineStr">
        <is>
          <t>2026-09-24</t>
        </is>
      </c>
      <c r="E5" s="4" t="inlineStr">
        <is>
          <t>Pre-financing quote basis</t>
        </is>
      </c>
    </row>
    <row r="6">
      <c r="A6" s="3" t="inlineStr">
        <is>
          <t>Shares outstanding</t>
        </is>
      </c>
      <c r="B6" s="3" t="inlineStr">
        <is>
          <t>116.65M</t>
        </is>
      </c>
      <c r="C6" s="3" t="inlineStr">
        <is>
          <t>https://stockanalysis.com/stocks/vktx/statistics/</t>
        </is>
      </c>
      <c r="D6" s="3" t="inlineStr">
        <is>
          <t>2026-09-24</t>
        </is>
      </c>
      <c r="E6" s="3" t="inlineStr">
        <is>
          <t>June balance-sheet count</t>
        </is>
      </c>
    </row>
    <row r="7">
      <c r="A7" s="4" t="inlineStr">
        <is>
          <t>Beta</t>
        </is>
      </c>
      <c r="B7" s="4" t="inlineStr">
        <is>
          <t>0.68</t>
        </is>
      </c>
      <c r="C7" s="4" t="inlineStr">
        <is>
          <t>https://stockanalysis.com/stocks/vktx/statistics/</t>
        </is>
      </c>
      <c r="D7" s="4" t="inlineStr">
        <is>
          <t>2026-09-24</t>
        </is>
      </c>
      <c r="E7" s="4" t="inlineStr">
        <is>
          <t>Five-year beta</t>
        </is>
      </c>
    </row>
    <row r="8">
      <c r="A8" s="3" t="inlineStr">
        <is>
          <t>52-week range</t>
        </is>
      </c>
      <c r="B8" s="3" t="inlineStr">
        <is>
          <t>$24.78-$43.15</t>
        </is>
      </c>
      <c r="C8" s="3" t="inlineStr">
        <is>
          <t>https://stockanalysis.com/stocks/vktx/</t>
        </is>
      </c>
      <c r="D8" s="3" t="inlineStr">
        <is>
          <t>2026-09-24</t>
        </is>
      </c>
      <c r="E8" s="3" t="inlineStr"/>
    </row>
    <row r="9">
      <c r="A9" s="4" t="inlineStr">
        <is>
          <t>TTM revenue</t>
        </is>
      </c>
      <c r="B9" s="4" t="inlineStr">
        <is>
          <t>$0</t>
        </is>
      </c>
      <c r="C9" s="4" t="inlineStr">
        <is>
          <t>https://stockanalysis.com/stocks/vktx/financials/</t>
        </is>
      </c>
      <c r="D9" s="4" t="inlineStr">
        <is>
          <t>2026-06-30</t>
        </is>
      </c>
      <c r="E9" s="4" t="inlineStr">
        <is>
          <t>Clinical-stage company</t>
        </is>
      </c>
    </row>
    <row r="10">
      <c r="A10" s="3" t="inlineStr">
        <is>
          <t>TTM operating income</t>
        </is>
      </c>
      <c r="B10" s="3" t="inlineStr">
        <is>
          <t>-$560.02M</t>
        </is>
      </c>
      <c r="C10" s="3" t="inlineStr">
        <is>
          <t>https://stockanalysis.com/stocks/vktx/financials/</t>
        </is>
      </c>
      <c r="D10" s="3" t="inlineStr">
        <is>
          <t>2026-06-30</t>
        </is>
      </c>
      <c r="E10" s="3" t="inlineStr">
        <is>
          <t>R&amp;D and G&amp;A spending</t>
        </is>
      </c>
    </row>
    <row r="11">
      <c r="A11" s="4" t="inlineStr">
        <is>
          <t>TTM net income / EPS</t>
        </is>
      </c>
      <c r="B11" s="4" t="inlineStr">
        <is>
          <t>-$534.80M / -$4.67</t>
        </is>
      </c>
      <c r="C11" s="4" t="inlineStr">
        <is>
          <t>https://stockanalysis.com/stocks/vktx/financials/</t>
        </is>
      </c>
      <c r="D11" s="4" t="inlineStr">
        <is>
          <t>2026-06-30</t>
        </is>
      </c>
      <c r="E11" s="4" t="inlineStr"/>
    </row>
    <row r="12">
      <c r="A12" s="3" t="inlineStr">
        <is>
          <t>Cash and investments</t>
        </is>
      </c>
      <c r="B12" s="3" t="inlineStr">
        <is>
          <t>$501.66M</t>
        </is>
      </c>
      <c r="C12" s="3" t="inlineStr">
        <is>
          <t>https://stockanalysis.com/stocks/vktx/financials/balance-sheet/</t>
        </is>
      </c>
      <c r="D12" s="3" t="inlineStr">
        <is>
          <t>2026-06-30</t>
        </is>
      </c>
      <c r="E12" s="3" t="inlineStr">
        <is>
          <t>Before September offering</t>
        </is>
      </c>
    </row>
    <row r="13">
      <c r="A13" s="4" t="inlineStr">
        <is>
          <t>Debt</t>
        </is>
      </c>
      <c r="B13" s="4" t="inlineStr">
        <is>
          <t>$4.09M</t>
        </is>
      </c>
      <c r="C13" s="4" t="inlineStr">
        <is>
          <t>https://stockanalysis.com/stocks/vktx/financials/balance-sheet/</t>
        </is>
      </c>
      <c r="D13" s="4" t="inlineStr">
        <is>
          <t>2026-06-30</t>
        </is>
      </c>
      <c r="E13" s="4" t="inlineStr">
        <is>
          <t>Primarily leases</t>
        </is>
      </c>
    </row>
    <row r="14">
      <c r="A14" s="3" t="inlineStr">
        <is>
          <t>TTM operating / free cash flow</t>
        </is>
      </c>
      <c r="B14" s="3" t="inlineStr">
        <is>
          <t>-$418.44M / -$418.44M</t>
        </is>
      </c>
      <c r="C14" s="3" t="inlineStr">
        <is>
          <t>https://stockanalysis.com/stocks/vktx/financials/cash-flow-statement/</t>
        </is>
      </c>
      <c r="D14" s="3" t="inlineStr">
        <is>
          <t>2026-06-30</t>
        </is>
      </c>
      <c r="E14" s="3" t="inlineStr">
        <is>
          <t>No meaningful capex</t>
        </is>
      </c>
    </row>
    <row r="15">
      <c r="A15" s="4" t="inlineStr">
        <is>
          <t>FY25 OCF</t>
        </is>
      </c>
      <c r="B15" s="4" t="inlineStr">
        <is>
          <t>-$278.69M</t>
        </is>
      </c>
      <c r="C15" s="4" t="inlineStr">
        <is>
          <t>https://stockanalysis.com/stocks/vktx/financials/cash-flow-statement/</t>
        </is>
      </c>
      <c r="D15" s="4" t="inlineStr">
        <is>
          <t>2025-12-31</t>
        </is>
      </c>
      <c r="E15" s="4" t="inlineStr">
        <is>
          <t>Burn accelerated sharply in 2026</t>
        </is>
      </c>
    </row>
    <row r="16">
      <c r="A16" s="3" t="inlineStr">
        <is>
          <t>FY25 stock compensation</t>
        </is>
      </c>
      <c r="B16" s="3" t="inlineStr">
        <is>
          <t>$40.82M</t>
        </is>
      </c>
      <c r="C16" s="3" t="inlineStr">
        <is>
          <t>https://stockanalysis.com/stocks/vktx/financials/cash-flow-statement/</t>
        </is>
      </c>
      <c r="D16" s="3" t="inlineStr">
        <is>
          <t>2025-12-31</t>
        </is>
      </c>
      <c r="E16" s="3" t="inlineStr">
        <is>
          <t>Non-cash but dilutive</t>
        </is>
      </c>
    </row>
    <row r="17">
      <c r="A17" s="4" t="inlineStr">
        <is>
          <t>FY26 EPS consensus</t>
        </is>
      </c>
      <c r="B17" s="4" t="inlineStr">
        <is>
          <t>-$4.61</t>
        </is>
      </c>
      <c r="C17" s="4" t="inlineStr">
        <is>
          <t>https://stockanalysis.com/stocks/vktx/forecast/</t>
        </is>
      </c>
      <c r="D17" s="4" t="inlineStr">
        <is>
          <t>2026-09-23</t>
        </is>
      </c>
      <c r="E17" s="4" t="inlineStr">
        <is>
          <t>17 analysts; non-GAAP adjusted basis per provider</t>
        </is>
      </c>
    </row>
    <row r="18">
      <c r="A18" s="3" t="inlineStr">
        <is>
          <t>Price target</t>
        </is>
      </c>
      <c r="B18" s="3" t="inlineStr">
        <is>
          <t>$38 / $94.61 / $125</t>
        </is>
      </c>
      <c r="C18" s="3" t="inlineStr">
        <is>
          <t>https://stockanalysis.com/stocks/vktx/forecast/</t>
        </is>
      </c>
      <c r="D18" s="3" t="inlineStr">
        <is>
          <t>2026-09-23</t>
        </is>
      </c>
      <c r="E18" s="3" t="inlineStr">
        <is>
          <t>Low / average / high; 20 analysts</t>
        </is>
      </c>
    </row>
    <row r="19">
      <c r="A19" s="4" t="inlineStr">
        <is>
          <t>Next earnings</t>
        </is>
      </c>
      <c r="B19" s="4" t="inlineStr">
        <is>
          <t>October 21, 2026</t>
        </is>
      </c>
      <c r="C19" s="4" t="inlineStr">
        <is>
          <t>https://stockanalysis.com/stocks/vktx/statistics/</t>
        </is>
      </c>
      <c r="D19" s="4" t="inlineStr">
        <is>
          <t>2026-09-24</t>
        </is>
      </c>
      <c r="E19" s="4" t="inlineStr">
        <is>
          <t>Estimated, after market close</t>
        </is>
      </c>
    </row>
    <row r="20">
      <c r="A20" s="3" t="inlineStr">
        <is>
          <t>VK2735 maintenance</t>
        </is>
      </c>
      <c r="B20" s="3" t="inlineStr">
        <is>
          <t>22% placebo-adjusted at week 33</t>
        </is>
      </c>
      <c r="C20" s="3" t="inlineStr">
        <is>
          <t>https://stockanalysis.com/stocks/vktx/transcripts/758817-study-result/</t>
        </is>
      </c>
      <c r="D20" s="3" t="inlineStr">
        <is>
          <t>2026-09-22</t>
        </is>
      </c>
      <c r="E20" s="3" t="inlineStr">
        <is>
          <t>Small study; not head-to-head</t>
        </is>
      </c>
    </row>
    <row r="21">
      <c r="A21" s="4" t="inlineStr">
        <is>
          <t>Maintenance retention</t>
        </is>
      </c>
      <c r="B21" s="4" t="inlineStr">
        <is>
          <t>83%-97% Q2W; 82%-90% monthly</t>
        </is>
      </c>
      <c r="C21" s="4" t="inlineStr">
        <is>
          <t>https://stockanalysis.com/stocks/vktx/transcripts/758817-study-result/</t>
        </is>
      </c>
      <c r="D21" s="4" t="inlineStr">
        <is>
          <t>2026-09-22</t>
        </is>
      </c>
      <c r="E21" s="4" t="inlineStr">
        <is>
          <t>Versus 61% after placebo transition</t>
        </is>
      </c>
    </row>
    <row r="22">
      <c r="A22" s="3" t="inlineStr">
        <is>
          <t>Common stock offering</t>
        </is>
      </c>
      <c r="B22" s="3" t="inlineStr">
        <is>
          <t>7.857M shares at $35</t>
        </is>
      </c>
      <c r="C22" s="3" t="inlineStr">
        <is>
          <t>https://www.prnewswire.com/news-releases/viking-therapeutics-prices-upsized-500-million-offering-of-common-stock-and-convertible-senior-notes-302888812.html</t>
        </is>
      </c>
      <c r="D22" s="3" t="inlineStr">
        <is>
          <t>2026-09-24</t>
        </is>
      </c>
      <c r="E22" s="3" t="inlineStr">
        <is>
          <t>$258.2M estimated net proceeds</t>
        </is>
      </c>
    </row>
    <row r="23">
      <c r="A23" s="4" t="inlineStr">
        <is>
          <t>Convertible notes</t>
        </is>
      </c>
      <c r="B23" s="4" t="inlineStr">
        <is>
          <t>$225M, 2.00%, due 2032</t>
        </is>
      </c>
      <c r="C23" s="4" t="inlineStr">
        <is>
          <t>https://www.prnewswire.com/news-releases/viking-therapeutics-prices-upsized-500-million-offering-of-common-stock-and-convertible-senior-notes-302888812.html</t>
        </is>
      </c>
      <c r="D23" s="4" t="inlineStr">
        <is>
          <t>2026-09-24</t>
        </is>
      </c>
      <c r="E23" s="4" t="inlineStr">
        <is>
          <t>$50.75 conversion price; $218M net proceeds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05" customWidth="1" min="2" max="2"/>
    <col width="50" customWidth="1" min="3" max="3"/>
    <col width="2" customWidth="1" min="4" max="4"/>
  </cols>
  <sheetData>
    <row r="1" ht="24" customHeight="1">
      <c r="A1" s="1" t="inlineStr">
        <is>
          <t>VKTX — Open Questions</t>
        </is>
      </c>
    </row>
    <row r="2"/>
    <row r="3">
      <c r="A3" s="2" t="inlineStr">
        <is>
          <t>#</t>
        </is>
      </c>
      <c r="B3" s="2" t="inlineStr">
        <is>
          <t>Question</t>
        </is>
      </c>
      <c r="C3" s="2" t="inlineStr">
        <is>
          <t>Why It Matters</t>
        </is>
      </c>
    </row>
    <row r="4">
      <c r="A4" s="3" t="n">
        <v>1</v>
      </c>
      <c r="B4" s="3" t="inlineStr">
        <is>
          <t>What exact efficacy and tolerability thresholds must VANQUISH-1 and VANQUISH-2 meet for FDA approval and competitive labeling?</t>
        </is>
      </c>
      <c r="C4" s="3" t="inlineStr">
        <is>
          <t>Required diligence before underwriting pivotal-stage value</t>
        </is>
      </c>
    </row>
    <row r="5">
      <c r="A5" s="4" t="n">
        <v>2</v>
      </c>
      <c r="B5" s="4" t="inlineStr">
        <is>
          <t>Will the 22% maintenance-study result replicate in the much larger Phase 3 population with a slower titration schedule?</t>
        </is>
      </c>
      <c r="C5" s="4" t="inlineStr">
        <is>
          <t>Required diligence before underwriting pivotal-stage value</t>
        </is>
      </c>
    </row>
    <row r="6">
      <c r="A6" s="3" t="n">
        <v>3</v>
      </c>
      <c r="B6" s="3" t="inlineStr">
        <is>
          <t>When will full maintenance-study data be presented, and do missing-data handling or discontinuations change the topline read?</t>
        </is>
      </c>
      <c r="C6" s="3" t="inlineStr">
        <is>
          <t>Required diligence before underwriting pivotal-stage value</t>
        </is>
      </c>
    </row>
    <row r="7">
      <c r="A7" s="4" t="n">
        <v>4</v>
      </c>
      <c r="B7" s="4" t="inlineStr">
        <is>
          <t>Which every-other-week and monthly maintenance doses will the FDA permit in the Phase 3 extensions?</t>
        </is>
      </c>
      <c r="C7" s="4" t="inlineStr">
        <is>
          <t>Required diligence before underwriting pivotal-stage value</t>
        </is>
      </c>
    </row>
    <row r="8">
      <c r="A8" s="3" t="n">
        <v>5</v>
      </c>
      <c r="B8" s="3" t="inlineStr">
        <is>
          <t>Can oral VK2735 reproduce subcutaneous efficacy without unacceptable GI events or adherence constraints?</t>
        </is>
      </c>
      <c r="C8" s="3" t="inlineStr">
        <is>
          <t>Required diligence before underwriting pivotal-stage value</t>
        </is>
      </c>
    </row>
    <row r="9">
      <c r="A9" s="4" t="n">
        <v>6</v>
      </c>
      <c r="B9" s="4" t="inlineStr">
        <is>
          <t>What is the precise timing, size and statistical design for the two planned oral Phase 3 studies?</t>
        </is>
      </c>
      <c r="C9" s="4" t="inlineStr">
        <is>
          <t>Required diligence before underwriting pivotal-stage value</t>
        </is>
      </c>
    </row>
    <row r="10">
      <c r="A10" s="3" t="n">
        <v>7</v>
      </c>
      <c r="B10" s="3" t="inlineStr">
        <is>
          <t>How should cross-trial comparisons with tirzepatide, semaglutide and retatrutide be adjusted for trial size, duration and titration?</t>
        </is>
      </c>
      <c r="C10" s="3" t="inlineStr">
        <is>
          <t>Required diligence before underwriting pivotal-stage value</t>
        </is>
      </c>
    </row>
    <row r="11">
      <c r="A11" s="4" t="n">
        <v>8</v>
      </c>
      <c r="B11" s="4" t="inlineStr">
        <is>
          <t>Does rapid weight loss produce disproportionate lean-mass loss, and what body-composition data will Phase 3 collect?</t>
        </is>
      </c>
      <c r="C11" s="4" t="inlineStr">
        <is>
          <t>Required diligence before underwriting pivotal-stage value</t>
        </is>
      </c>
    </row>
    <row r="12">
      <c r="A12" s="3" t="n">
        <v>9</v>
      </c>
      <c r="B12" s="3" t="inlineStr">
        <is>
          <t>How much of the roughly $476M net financing proceeds is earmarked for Phase 3 versus commercial buildout?</t>
        </is>
      </c>
      <c r="C12" s="3" t="inlineStr">
        <is>
          <t>Required diligence before underwriting pivotal-stage value</t>
        </is>
      </c>
    </row>
    <row r="13">
      <c r="A13" s="4" t="n">
        <v>10</v>
      </c>
      <c r="B13" s="4" t="inlineStr">
        <is>
          <t>Will the $225M convertible notes be settled in cash or shares if VKTX exceeds the $50.75 conversion price?</t>
        </is>
      </c>
      <c r="C13" s="4" t="inlineStr">
        <is>
          <t>Required diligence before underwriting pivotal-stage value</t>
        </is>
      </c>
    </row>
    <row r="14">
      <c r="A14" s="3" t="n">
        <v>11</v>
      </c>
      <c r="B14" s="3" t="inlineStr">
        <is>
          <t>How should investors model the 1.179M common greenshoe and $33.75M note over-allotment if exercised?</t>
        </is>
      </c>
      <c r="C14" s="3" t="inlineStr">
        <is>
          <t>Required diligence before underwriting pivotal-stage value</t>
        </is>
      </c>
    </row>
    <row r="15">
      <c r="A15" s="4" t="n">
        <v>12</v>
      </c>
      <c r="B15" s="4" t="inlineStr">
        <is>
          <t>At the current TTM cash burn, is the pro-forma runway sufficient through all subcutaneous and oral pivotal readouts?</t>
        </is>
      </c>
      <c r="C15" s="4" t="inlineStr">
        <is>
          <t>Required diligence before underwriting pivotal-stage value</t>
        </is>
      </c>
    </row>
    <row r="16">
      <c r="A16" s="3" t="n">
        <v>13</v>
      </c>
      <c r="B16" s="3" t="inlineStr">
        <is>
          <t>How quickly will Phase 3 enrollment and manufacturing commitments push annual burn above the current $418M OCF deficit?</t>
        </is>
      </c>
      <c r="C16" s="3" t="inlineStr">
        <is>
          <t>Required diligence before underwriting pivotal-stage value</t>
        </is>
      </c>
    </row>
    <row r="17">
      <c r="A17" s="4" t="n">
        <v>14</v>
      </c>
      <c r="B17" s="4" t="inlineStr">
        <is>
          <t>What scale-up, fill-finish and device partnerships are required for commercial GLP-1 production?</t>
        </is>
      </c>
      <c r="C17" s="4" t="inlineStr">
        <is>
          <t>Required diligence before underwriting pivotal-stage value</t>
        </is>
      </c>
    </row>
    <row r="18">
      <c r="A18" s="3" t="n">
        <v>15</v>
      </c>
      <c r="B18" s="3" t="inlineStr">
        <is>
          <t>Can Viking secure supply economics competitive with Lilly and Novo without owning large-scale manufacturing?</t>
        </is>
      </c>
      <c r="C18" s="3" t="inlineStr">
        <is>
          <t>Required diligence before underwriting pivotal-stage value</t>
        </is>
      </c>
    </row>
    <row r="19">
      <c r="A19" s="4" t="n">
        <v>16</v>
      </c>
      <c r="B19" s="4" t="inlineStr">
        <is>
          <t>Would management commercialize alone, partner VK2735, or pursue a sale after pivotal data?</t>
        </is>
      </c>
      <c r="C19" s="4" t="inlineStr">
        <is>
          <t>Required diligence before underwriting pivotal-stage value</t>
        </is>
      </c>
    </row>
    <row r="20">
      <c r="A20" s="3" t="n">
        <v>17</v>
      </c>
      <c r="B20" s="3" t="inlineStr">
        <is>
          <t>What payer evidence will be generated for less-frequent maintenance dosing and persistence benefits?</t>
        </is>
      </c>
      <c r="C20" s="3" t="inlineStr">
        <is>
          <t>Required diligence before underwriting pivotal-stage value</t>
        </is>
      </c>
    </row>
    <row r="21">
      <c r="A21" s="4" t="n">
        <v>18</v>
      </c>
      <c r="B21" s="4" t="inlineStr">
        <is>
          <t>What is VK3019's differentiated profile, development timeline and incremental value beyond VK2735?</t>
        </is>
      </c>
      <c r="C21" s="4" t="inlineStr">
        <is>
          <t>Required diligence before underwriting pivotal-stage value</t>
        </is>
      </c>
    </row>
    <row r="22">
      <c r="A22" s="3" t="n">
        <v>19</v>
      </c>
      <c r="B22" s="3" t="inlineStr">
        <is>
          <t>Is VK2809 still strategically funded, and what clinical/regulatory milestone would unlock value?</t>
        </is>
      </c>
      <c r="C22" s="3" t="inlineStr">
        <is>
          <t>Required diligence before underwriting pivotal-stage value</t>
        </is>
      </c>
    </row>
    <row r="23">
      <c r="A23" s="4" t="n">
        <v>20</v>
      </c>
      <c r="B23" s="4" t="inlineStr">
        <is>
          <t>How should the 19% short interest be interpreted around binary Phase 3 readouts and financing-related hedges?</t>
        </is>
      </c>
      <c r="C23" s="4" t="inlineStr">
        <is>
          <t>Required diligence before underwriting pivotal-stage value</t>
        </is>
      </c>
    </row>
    <row r="24">
      <c r="A24" s="3" t="n">
        <v>21</v>
      </c>
      <c r="B24" s="3" t="inlineStr">
        <is>
          <t>What is the expected quarterly stock-based compensation and resulting baseline dilution independent of financings?</t>
        </is>
      </c>
      <c r="C24" s="3" t="inlineStr">
        <is>
          <t>Required diligence before underwriting pivotal-stage value</t>
        </is>
      </c>
    </row>
    <row r="25">
      <c r="A25" s="4" t="n">
        <v>22</v>
      </c>
      <c r="B25" s="4" t="inlineStr">
        <is>
          <t>What safety events, including gallbladder, pancreatitis, cardiovascular or psychiatric signals, appeared outside common GI events?</t>
        </is>
      </c>
      <c r="C25" s="4" t="inlineStr">
        <is>
          <t>Required diligence before underwriting pivotal-stage value</t>
        </is>
      </c>
    </row>
    <row r="26">
      <c r="A26" s="3" t="n">
        <v>23</v>
      </c>
      <c r="B26" s="3" t="inlineStr">
        <is>
          <t>What is the next confirmed earnings date after October 21, and will guidance include a detailed cash runway?</t>
        </is>
      </c>
      <c r="C26" s="3" t="inlineStr">
        <is>
          <t>Required diligence before underwriting pivotal-stage value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120" customWidth="1" min="3" max="3"/>
  </cols>
  <sheetData>
    <row r="1" ht="24" customHeight="1">
      <c r="A1" s="1" t="inlineStr">
        <is>
          <t>VKTX — Sources</t>
        </is>
      </c>
    </row>
    <row r="2"/>
    <row r="3">
      <c r="A3" s="2" t="inlineStr">
        <is>
          <t>#</t>
        </is>
      </c>
      <c r="B3" s="2" t="inlineStr">
        <is>
          <t>Source</t>
        </is>
      </c>
      <c r="C3" s="2" t="inlineStr">
        <is>
          <t>URL</t>
        </is>
      </c>
    </row>
    <row r="4">
      <c r="A4" s="3" t="n">
        <v>1</v>
      </c>
      <c r="B4" s="3" t="inlineStr">
        <is>
          <t>StockAnalysis overview</t>
        </is>
      </c>
      <c r="C4" s="3" t="inlineStr">
        <is>
          <t>https://stockanalysis.com/stocks/vktx/</t>
        </is>
      </c>
    </row>
    <row r="5">
      <c r="A5" s="4" t="n">
        <v>2</v>
      </c>
      <c r="B5" s="4" t="inlineStr">
        <is>
          <t>StockAnalysis financial overview</t>
        </is>
      </c>
      <c r="C5" s="4" t="inlineStr">
        <is>
          <t>https://stockanalysis.com/stocks/vktx/financials/</t>
        </is>
      </c>
    </row>
    <row r="6">
      <c r="A6" s="3" t="n">
        <v>3</v>
      </c>
      <c r="B6" s="3" t="inlineStr">
        <is>
          <t>StockAnalysis balance sheet</t>
        </is>
      </c>
      <c r="C6" s="3" t="inlineStr">
        <is>
          <t>https://stockanalysis.com/stocks/vktx/financials/balance-sheet/</t>
        </is>
      </c>
    </row>
    <row r="7">
      <c r="A7" s="4" t="n">
        <v>4</v>
      </c>
      <c r="B7" s="4" t="inlineStr">
        <is>
          <t>StockAnalysis cash flow</t>
        </is>
      </c>
      <c r="C7" s="4" t="inlineStr">
        <is>
          <t>https://stockanalysis.com/stocks/vktx/financials/cash-flow-statement/</t>
        </is>
      </c>
    </row>
    <row r="8">
      <c r="A8" s="3" t="n">
        <v>5</v>
      </c>
      <c r="B8" s="3" t="inlineStr">
        <is>
          <t>StockAnalysis statistics</t>
        </is>
      </c>
      <c r="C8" s="3" t="inlineStr">
        <is>
          <t>https://stockanalysis.com/stocks/vktx/statistics/</t>
        </is>
      </c>
    </row>
    <row r="9">
      <c r="A9" s="4" t="n">
        <v>6</v>
      </c>
      <c r="B9" s="4" t="inlineStr">
        <is>
          <t>StockAnalysis forecast</t>
        </is>
      </c>
      <c r="C9" s="4" t="inlineStr">
        <is>
          <t>https://stockanalysis.com/stocks/vktx/forecast/</t>
        </is>
      </c>
    </row>
    <row r="10">
      <c r="A10" s="3" t="n">
        <v>7</v>
      </c>
      <c r="B10" s="3" t="inlineStr">
        <is>
          <t>StockAnalysis company profile</t>
        </is>
      </c>
      <c r="C10" s="3" t="inlineStr">
        <is>
          <t>https://stockanalysis.com/stocks/vktx/company/</t>
        </is>
      </c>
    </row>
    <row r="11">
      <c r="A11" s="4" t="n">
        <v>8</v>
      </c>
      <c r="B11" s="4" t="inlineStr">
        <is>
          <t>VK2735 maintenance-study transcript</t>
        </is>
      </c>
      <c r="C11" s="4" t="inlineStr">
        <is>
          <t>https://stockanalysis.com/stocks/vktx/transcripts/758817-study-result/</t>
        </is>
      </c>
    </row>
    <row r="12">
      <c r="A12" s="3" t="n">
        <v>9</v>
      </c>
      <c r="B12" s="3" t="inlineStr">
        <is>
          <t>September 2026 offering release</t>
        </is>
      </c>
      <c r="C12" s="3" t="inlineStr">
        <is>
          <t>https://www.prnewswire.com/news-releases/viking-therapeutics-prices-upsized-500-million-offering-of-common-stock-and-convertible-senior-notes-302888812.html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2026-09-25T02:02:28Z</dcterms:created>
  <dcterms:modified xsi:type="dcterms:W3CDTF">2026-09-25T02:02:28Z</dcterms:modified>
</cp:coreProperties>
</file>