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x"/>
    <numFmt numFmtId="166" formatCode="0.0x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color rgb="00111827"/>
      <sz val="11"/>
    </font>
    <font>
      <b val="1"/>
      <color rgb="00FFFFFF"/>
      <sz val="12"/>
    </font>
    <font>
      <b val="1"/>
      <color rgb="00111827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F3F4F6"/>
      </patternFill>
    </fill>
    <fill>
      <patternFill patternType="solid">
        <fgColor rgb="003B82F6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right" vertical="center" wrapText="1"/>
    </xf>
    <xf numFmtId="164" fontId="3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10" fontId="3" fillId="0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 wrapText="1"/>
    </xf>
    <xf numFmtId="10" fontId="2" fillId="6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4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4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Ryman Hospitality Properties, Inc. (NYSE: RHP) — Valuation</t>
        </is>
      </c>
    </row>
    <row r="3">
      <c r="A3" s="2" t="inlineStr">
        <is>
          <t>Model date</t>
        </is>
      </c>
      <c r="B3" s="3" t="inlineStr">
        <is>
          <t>2026-06-14</t>
        </is>
      </c>
      <c r="D3" s="2" t="inlineStr">
        <is>
          <t>Quote date</t>
        </is>
      </c>
      <c r="E3" s="4" t="inlineStr">
        <is>
          <t>2026-06-12 close</t>
        </is>
      </c>
    </row>
    <row r="4">
      <c r="A4" s="2" t="inlineStr">
        <is>
          <t>Ticker</t>
        </is>
      </c>
      <c r="B4" s="3" t="inlineStr">
        <is>
          <t>NYSE: RHP</t>
        </is>
      </c>
      <c r="D4" s="2" t="inlineStr">
        <is>
          <t>Current share class (M)</t>
        </is>
      </c>
      <c r="E4" s="5" t="n">
        <v>62.37</v>
      </c>
    </row>
    <row r="5">
      <c r="A5" s="2" t="inlineStr">
        <is>
          <t>Price</t>
        </is>
      </c>
      <c r="B5" s="6" t="n">
        <v>122.81</v>
      </c>
      <c r="D5" s="2" t="inlineStr">
        <is>
          <t>Float (M)</t>
        </is>
      </c>
      <c r="E5" s="5" t="n">
        <v>61.11</v>
      </c>
    </row>
    <row r="6">
      <c r="A6" s="2" t="inlineStr">
        <is>
          <t>Shares outstanding (M)</t>
        </is>
      </c>
      <c r="B6" s="5" t="n">
        <v>62.77</v>
      </c>
      <c r="D6" s="2" t="inlineStr">
        <is>
          <t>Primary lens</t>
        </is>
      </c>
      <c r="E6" s="4" t="inlineStr">
        <is>
          <t>P/FFO, EV/EBITDA, dividend-backed owner earnings</t>
        </is>
      </c>
    </row>
    <row r="7">
      <c r="A7" s="2" t="inlineStr">
        <is>
          <t>Market cap ($M)</t>
        </is>
      </c>
      <c r="B7" s="3">
        <f>B5*B6</f>
        <v/>
      </c>
      <c r="D7" s="2" t="inlineStr">
        <is>
          <t>Stance</t>
        </is>
      </c>
      <c r="E7" s="4" t="inlineStr">
        <is>
          <t>Watch / high-quality assets, limited margin of safety</t>
        </is>
      </c>
    </row>
    <row r="8">
      <c r="A8" s="2" t="inlineStr">
        <is>
          <t>Cash &amp; short-term investments ($M)</t>
        </is>
      </c>
      <c r="B8" s="5" t="n">
        <v>424.02</v>
      </c>
      <c r="D8" s="2" t="inlineStr">
        <is>
          <t>FY2026 revenue consensus ($M)</t>
        </is>
      </c>
      <c r="E8" s="5" t="n">
        <v>2800</v>
      </c>
    </row>
    <row r="9">
      <c r="A9" s="2" t="inlineStr">
        <is>
          <t>Total debt ($M)</t>
        </is>
      </c>
      <c r="B9" s="5" t="n">
        <v>4131</v>
      </c>
      <c r="D9" s="2" t="inlineStr">
        <is>
          <t>FY2026 FFO/share consensus</t>
        </is>
      </c>
      <c r="E9" s="5" t="n">
        <v>8.960000000000001</v>
      </c>
    </row>
    <row r="10">
      <c r="A10" s="2" t="inlineStr">
        <is>
          <t>Net debt ($M)</t>
        </is>
      </c>
      <c r="B10" s="3">
        <f>B9-B8</f>
        <v/>
      </c>
      <c r="D10" s="2" t="inlineStr">
        <is>
          <t>Analyst rating</t>
        </is>
      </c>
      <c r="E10" s="4" t="inlineStr">
        <is>
          <t>Strong Buy</t>
        </is>
      </c>
    </row>
    <row r="11">
      <c r="A11" s="2" t="inlineStr">
        <is>
          <t>Enterprise value ($M)</t>
        </is>
      </c>
      <c r="B11" s="3">
        <f>B7+B10</f>
        <v/>
      </c>
      <c r="D11" s="2" t="inlineStr">
        <is>
          <t>Avg price target</t>
        </is>
      </c>
      <c r="E11" s="6" t="n">
        <v>123.2</v>
      </c>
    </row>
    <row r="13" ht="24" customHeight="1">
      <c r="A13" s="7" t="inlineStr">
        <is>
          <t>Key Valuation Metrics</t>
        </is>
      </c>
    </row>
    <row r="14">
      <c r="A14" s="8" t="inlineStr">
        <is>
          <t>Trailing P/E</t>
        </is>
      </c>
      <c r="B14" s="9" t="n">
        <v>32.28</v>
      </c>
      <c r="C14" s="10" t="inlineStr">
        <is>
          <t>Screen multiple on GAAP EPS; less useful than FFO for a REIT.</t>
        </is>
      </c>
    </row>
    <row r="15">
      <c r="A15" s="8" t="inlineStr">
        <is>
          <t>Forward P/E</t>
        </is>
      </c>
      <c r="B15" s="9" t="n">
        <v>29.13</v>
      </c>
      <c r="C15" s="10" t="inlineStr">
        <is>
          <t>Based on FY2026 consensus EPS on StockAnalysis.</t>
        </is>
      </c>
    </row>
    <row r="16">
      <c r="A16" s="8" t="inlineStr">
        <is>
          <t>P/S</t>
        </is>
      </c>
      <c r="B16" s="9" t="n">
        <v>2.92</v>
      </c>
      <c r="C16" s="10" t="inlineStr">
        <is>
          <t>Current market cap versus trailing revenue.</t>
        </is>
      </c>
    </row>
    <row r="17">
      <c r="A17" s="8" t="inlineStr">
        <is>
          <t>Forward P/S</t>
        </is>
      </c>
      <c r="B17" s="9" t="n">
        <v>2.73</v>
      </c>
      <c r="C17" s="10" t="inlineStr">
        <is>
          <t>Current market cap versus FY2026 revenue consensus.</t>
        </is>
      </c>
    </row>
    <row r="18">
      <c r="A18" s="8" t="inlineStr">
        <is>
          <t>P/FFO</t>
        </is>
      </c>
      <c r="B18" s="9" t="n">
        <v>15.19</v>
      </c>
      <c r="C18" s="10" t="inlineStr">
        <is>
          <t>Core REIT valuation lens on trailing FFO.</t>
        </is>
      </c>
    </row>
    <row r="19">
      <c r="A19" s="8" t="inlineStr">
        <is>
          <t>Forward P/FFO</t>
        </is>
      </c>
      <c r="B19" s="9" t="n">
        <v>13.71</v>
      </c>
      <c r="C19" s="10" t="inlineStr">
        <is>
          <t>Price divided by FY2026 consensus FFO/share of 8.96.</t>
        </is>
      </c>
    </row>
    <row r="20">
      <c r="A20" s="8" t="inlineStr">
        <is>
          <t>P/OCF</t>
        </is>
      </c>
      <c r="B20" s="9" t="n">
        <v>11.65</v>
      </c>
      <c r="C20" s="10" t="inlineStr">
        <is>
          <t>Useful cross-check against reported operating cash flow.</t>
        </is>
      </c>
    </row>
    <row r="21">
      <c r="A21" s="8" t="inlineStr">
        <is>
          <t>P/FCF</t>
        </is>
      </c>
      <c r="B21" s="11" t="inlineStr">
        <is>
          <t>n/a</t>
        </is>
      </c>
      <c r="C21" s="10" t="inlineStr">
        <is>
          <t>Headline FCF is acquisition- and capex-noisy; not the clean primary lens.</t>
        </is>
      </c>
    </row>
    <row r="22">
      <c r="A22" s="8" t="inlineStr">
        <is>
          <t>EV/Sales</t>
        </is>
      </c>
      <c r="B22" s="9" t="n">
        <v>4.32</v>
      </c>
      <c r="C22" s="10" t="inlineStr">
        <is>
          <t>Enterprise value relative to trailing revenue.</t>
        </is>
      </c>
    </row>
    <row r="23">
      <c r="A23" s="8" t="inlineStr">
        <is>
          <t>EV/EBITDA</t>
        </is>
      </c>
      <c r="B23" s="9" t="n">
        <v>14.45</v>
      </c>
      <c r="C23" s="10" t="inlineStr">
        <is>
          <t>Main debt-adjusted operating multiple.</t>
        </is>
      </c>
    </row>
    <row r="24">
      <c r="A24" s="8" t="inlineStr">
        <is>
          <t>Dividend yield</t>
        </is>
      </c>
      <c r="B24" s="12" t="n">
        <v>0.0391</v>
      </c>
      <c r="C24" s="10" t="inlineStr">
        <is>
          <t>Annual dividend of $4.80 per share at the June 12 close.</t>
        </is>
      </c>
    </row>
    <row r="25">
      <c r="A25" s="8" t="inlineStr">
        <is>
          <t>Price target range</t>
        </is>
      </c>
      <c r="B25" s="11" t="inlineStr">
        <is>
          <t>$112 / $123.2 / $133</t>
        </is>
      </c>
      <c r="C25" s="10" t="inlineStr">
        <is>
          <t>Low / average / high S&amp;P Global targets from StockAnalysis.</t>
        </is>
      </c>
    </row>
    <row r="27" ht="24" customHeight="1">
      <c r="A27" s="13" t="inlineStr">
        <is>
          <t>Historical Financial Summary ($M except per-share)</t>
        </is>
      </c>
    </row>
    <row r="28">
      <c r="A28" s="14" t="inlineStr">
        <is>
          <t>Metric</t>
        </is>
      </c>
      <c r="B28" s="14" t="inlineStr">
        <is>
          <t>TTM</t>
        </is>
      </c>
      <c r="C28" s="14" t="inlineStr">
        <is>
          <t>FY2025</t>
        </is>
      </c>
      <c r="D28" s="14" t="inlineStr">
        <is>
          <t>FY2024</t>
        </is>
      </c>
      <c r="E28" s="14" t="inlineStr">
        <is>
          <t>FY2023</t>
        </is>
      </c>
      <c r="F28" s="14" t="inlineStr">
        <is>
          <t>FY2022</t>
        </is>
      </c>
      <c r="G28" s="14" t="inlineStr">
        <is>
          <t>FY2021</t>
        </is>
      </c>
    </row>
    <row r="29">
      <c r="A29" s="8" t="inlineStr">
        <is>
          <t>Revenue</t>
        </is>
      </c>
      <c r="B29" s="15" t="n">
        <v>2654</v>
      </c>
      <c r="C29" s="15" t="n">
        <v>2577</v>
      </c>
      <c r="D29" s="15" t="n">
        <v>2339</v>
      </c>
      <c r="E29" s="15" t="n">
        <v>2158</v>
      </c>
      <c r="F29" s="15" t="n">
        <v>1806</v>
      </c>
      <c r="G29" s="15" t="n">
        <v>939.37</v>
      </c>
    </row>
    <row r="30">
      <c r="A30" s="8" t="inlineStr">
        <is>
          <t>Revenue Growth (%)</t>
        </is>
      </c>
      <c r="B30" s="16" t="n">
        <v>0.1068</v>
      </c>
      <c r="C30" s="16" t="n">
        <v>0.1017</v>
      </c>
      <c r="D30" s="16" t="n">
        <v>0.0839</v>
      </c>
      <c r="E30" s="16" t="n">
        <v>0.195</v>
      </c>
      <c r="F30" s="16" t="n">
        <v>0.9225</v>
      </c>
      <c r="G30" s="16" t="n">
        <v>0.7911</v>
      </c>
    </row>
    <row r="31">
      <c r="A31" s="8" t="inlineStr">
        <is>
          <t>Gross Profit</t>
        </is>
      </c>
      <c r="B31" s="15" t="n">
        <v>846.54</v>
      </c>
      <c r="C31" s="15" t="n">
        <v>812.0599999999999</v>
      </c>
      <c r="D31" s="15" t="n">
        <v>772.63</v>
      </c>
      <c r="E31" s="15" t="n">
        <v>709.01</v>
      </c>
      <c r="F31" s="15" t="n">
        <v>579.75</v>
      </c>
      <c r="G31" s="15" t="n">
        <v>200.7</v>
      </c>
    </row>
    <row r="32">
      <c r="A32" s="8" t="inlineStr">
        <is>
          <t>Gross Margin (%)</t>
        </is>
      </c>
      <c r="B32" s="16" t="n">
        <v>0.319</v>
      </c>
      <c r="C32" s="16" t="n">
        <v>0.3151</v>
      </c>
      <c r="D32" s="16" t="n">
        <v>0.3303</v>
      </c>
      <c r="E32" s="16" t="n">
        <v>0.3285</v>
      </c>
      <c r="F32" s="16" t="n">
        <v>0.321</v>
      </c>
      <c r="G32" s="16" t="n">
        <v>0.2137</v>
      </c>
    </row>
    <row r="33">
      <c r="A33" s="8" t="inlineStr">
        <is>
          <t>Operating Income</t>
        </is>
      </c>
      <c r="B33" s="15" t="n">
        <v>508.69</v>
      </c>
      <c r="C33" s="15" t="n">
        <v>487.01</v>
      </c>
      <c r="D33" s="15" t="n">
        <v>490.83</v>
      </c>
      <c r="E33" s="15" t="n">
        <v>453.68</v>
      </c>
      <c r="F33" s="15" t="n">
        <v>327.15</v>
      </c>
      <c r="G33" s="15" t="n">
        <v>-58.68</v>
      </c>
    </row>
    <row r="34">
      <c r="A34" s="8" t="inlineStr">
        <is>
          <t>Operating Margin (%)</t>
        </is>
      </c>
      <c r="B34" s="16" t="n">
        <v>0.1916</v>
      </c>
      <c r="C34" s="16" t="n">
        <v>0.189</v>
      </c>
      <c r="D34" s="16" t="n">
        <v>0.2098</v>
      </c>
      <c r="E34" s="16" t="n">
        <v>0.2102</v>
      </c>
      <c r="F34" s="16" t="n">
        <v>0.1811</v>
      </c>
      <c r="G34" s="16" t="n">
        <v>-0.0625</v>
      </c>
    </row>
    <row r="35">
      <c r="A35" s="8" t="inlineStr">
        <is>
          <t>EBITDA</t>
        </is>
      </c>
      <c r="B35" s="15" t="n">
        <v>798.77</v>
      </c>
      <c r="C35" s="15" t="n">
        <v>765.11</v>
      </c>
      <c r="D35" s="15" t="n">
        <v>726.46</v>
      </c>
      <c r="E35" s="15" t="n">
        <v>664.91</v>
      </c>
      <c r="F35" s="15" t="n">
        <v>535.77</v>
      </c>
      <c r="G35" s="15" t="n">
        <v>161.68</v>
      </c>
    </row>
    <row r="36">
      <c r="A36" s="8" t="inlineStr">
        <is>
          <t>EBITDA Margin (%)</t>
        </is>
      </c>
      <c r="B36" s="16" t="n">
        <v>0.3009</v>
      </c>
      <c r="C36" s="16" t="n">
        <v>0.2969</v>
      </c>
      <c r="D36" s="16" t="n">
        <v>0.3106</v>
      </c>
      <c r="E36" s="16" t="n">
        <v>0.3081</v>
      </c>
      <c r="F36" s="16" t="n">
        <v>0.2967</v>
      </c>
      <c r="G36" s="16" t="n">
        <v>0.1721</v>
      </c>
    </row>
    <row r="37">
      <c r="A37" s="8" t="inlineStr">
        <is>
          <t>Net Income</t>
        </is>
      </c>
      <c r="B37" s="15" t="n">
        <v>253.7</v>
      </c>
      <c r="C37" s="15" t="n">
        <v>247.31</v>
      </c>
      <c r="D37" s="15" t="n">
        <v>280.19</v>
      </c>
      <c r="E37" s="15" t="n">
        <v>341.8</v>
      </c>
      <c r="F37" s="15" t="n">
        <v>134.95</v>
      </c>
      <c r="G37" s="15" t="n">
        <v>-194.8</v>
      </c>
    </row>
    <row r="38">
      <c r="A38" s="8" t="inlineStr">
        <is>
          <t>Net Margin (%)</t>
        </is>
      </c>
      <c r="B38" s="16" t="n">
        <v>0.0956</v>
      </c>
      <c r="C38" s="16" t="n">
        <v>0.096</v>
      </c>
      <c r="D38" s="16" t="n">
        <v>0.1198</v>
      </c>
      <c r="E38" s="16" t="n">
        <v>0.1584</v>
      </c>
      <c r="F38" s="16" t="n">
        <v>0.0747</v>
      </c>
      <c r="G38" s="16" t="n">
        <v>-0.2074</v>
      </c>
    </row>
    <row r="39">
      <c r="A39" s="8" t="inlineStr">
        <is>
          <t>EPS Diluted</t>
        </is>
      </c>
      <c r="B39" s="17" t="n">
        <v>3.79</v>
      </c>
      <c r="C39" s="17" t="n">
        <v>3.77</v>
      </c>
      <c r="D39" s="17" t="n">
        <v>4.38</v>
      </c>
      <c r="E39" s="17" t="n">
        <v>5.36</v>
      </c>
      <c r="F39" s="17" t="n">
        <v>2.33</v>
      </c>
      <c r="G39" s="17" t="n">
        <v>-3.21</v>
      </c>
    </row>
    <row r="40">
      <c r="A40" s="8" t="inlineStr">
        <is>
          <t>Operating Cash Flow</t>
        </is>
      </c>
      <c r="B40" s="15" t="n">
        <v>661.65</v>
      </c>
      <c r="C40" s="15" t="n">
        <v>590.63</v>
      </c>
      <c r="D40" s="15" t="n">
        <v>576.51</v>
      </c>
      <c r="E40" s="15" t="n">
        <v>557.0599999999999</v>
      </c>
      <c r="F40" s="15" t="n">
        <v>419.93</v>
      </c>
      <c r="G40" s="15" t="n">
        <v>111.25</v>
      </c>
    </row>
    <row r="41">
      <c r="A41" s="8" t="inlineStr">
        <is>
          <t>Capital Expenditures</t>
        </is>
      </c>
      <c r="B41" s="15" t="n">
        <v>359.17</v>
      </c>
      <c r="C41" s="15" t="n">
        <v>358.24</v>
      </c>
      <c r="D41" s="15" t="n">
        <v>407.91</v>
      </c>
      <c r="E41" s="15" t="n">
        <v>206.78</v>
      </c>
      <c r="F41" s="15" t="n">
        <v>89.52</v>
      </c>
      <c r="G41" s="15" t="n">
        <v>99.43000000000001</v>
      </c>
    </row>
    <row r="42">
      <c r="A42" s="8" t="inlineStr">
        <is>
          <t>Free Cash Flow</t>
        </is>
      </c>
      <c r="B42" s="15" t="n">
        <v>302.48</v>
      </c>
      <c r="C42" s="15" t="n">
        <v>232.39</v>
      </c>
      <c r="D42" s="15" t="n">
        <v>168.6</v>
      </c>
      <c r="E42" s="15" t="n">
        <v>350.28</v>
      </c>
      <c r="F42" s="15" t="n">
        <v>330.41</v>
      </c>
      <c r="G42" s="15" t="n">
        <v>11.83</v>
      </c>
    </row>
    <row r="43">
      <c r="A43" s="8" t="inlineStr">
        <is>
          <t>FCF Margin (%)</t>
        </is>
      </c>
      <c r="B43" s="16" t="n">
        <v>0.114</v>
      </c>
      <c r="C43" s="16" t="n">
        <v>0.0902</v>
      </c>
      <c r="D43" s="16" t="n">
        <v>0.0721</v>
      </c>
      <c r="E43" s="16" t="n">
        <v>0.1623</v>
      </c>
      <c r="F43" s="16" t="n">
        <v>0.183</v>
      </c>
      <c r="G43" s="16" t="n">
        <v>0.0126</v>
      </c>
    </row>
    <row r="44">
      <c r="A44" s="8" t="inlineStr">
        <is>
          <t>Cash &amp; ST Investments</t>
        </is>
      </c>
      <c r="B44" s="15" t="n">
        <v>424.02</v>
      </c>
      <c r="C44" s="15" t="n">
        <v>471.42</v>
      </c>
      <c r="D44" s="15" t="n">
        <v>477.69</v>
      </c>
      <c r="E44" s="15" t="n">
        <v>591.83</v>
      </c>
      <c r="F44" s="15" t="n">
        <v>334.19</v>
      </c>
      <c r="G44" s="15" t="n">
        <v>140.69</v>
      </c>
    </row>
    <row r="45">
      <c r="A45" s="8" t="inlineStr">
        <is>
          <t>Total Debt</t>
        </is>
      </c>
      <c r="B45" s="15" t="n">
        <v>4131</v>
      </c>
      <c r="C45" s="15" t="n">
        <v>4136</v>
      </c>
      <c r="D45" s="15" t="n">
        <v>3514</v>
      </c>
      <c r="E45" s="15" t="n">
        <v>3506</v>
      </c>
      <c r="F45" s="15" t="n">
        <v>2988</v>
      </c>
      <c r="G45" s="15" t="n">
        <v>3051</v>
      </c>
    </row>
    <row r="46">
      <c r="A46" s="8" t="inlineStr">
        <is>
          <t>Net Debt</t>
        </is>
      </c>
      <c r="B46" s="15" t="n">
        <v>3706.98</v>
      </c>
      <c r="C46" s="15" t="n">
        <v>3664.58</v>
      </c>
      <c r="D46" s="15" t="n">
        <v>3036.31</v>
      </c>
      <c r="E46" s="15" t="n">
        <v>2914.17</v>
      </c>
      <c r="F46" s="15" t="n">
        <v>2653.81</v>
      </c>
      <c r="G46" s="15" t="n">
        <v>2910.31</v>
      </c>
    </row>
    <row r="47">
      <c r="A47" s="8" t="inlineStr">
        <is>
          <t>Total Assets</t>
        </is>
      </c>
      <c r="B47" s="15" t="n">
        <v>6194</v>
      </c>
      <c r="C47" s="15" t="n">
        <v>6181</v>
      </c>
      <c r="D47" s="15" t="n">
        <v>5218</v>
      </c>
      <c r="E47" s="15" t="n">
        <v>5189</v>
      </c>
      <c r="F47" s="15" t="n">
        <v>4041</v>
      </c>
      <c r="G47" s="15" t="n">
        <v>3581</v>
      </c>
    </row>
    <row r="48">
      <c r="A48" s="8" t="inlineStr">
        <is>
          <t>Total Liabilities</t>
        </is>
      </c>
      <c r="B48" s="15" t="n">
        <v>4990</v>
      </c>
      <c r="C48" s="15" t="n">
        <v>4969</v>
      </c>
      <c r="D48" s="15" t="n">
        <v>4283</v>
      </c>
      <c r="E48" s="15" t="n">
        <v>4271</v>
      </c>
      <c r="F48" s="15" t="n">
        <v>3633</v>
      </c>
      <c r="G48" s="15" t="n">
        <v>3603</v>
      </c>
    </row>
    <row r="49">
      <c r="A49" s="8" t="inlineStr">
        <is>
          <t>Common Equity</t>
        </is>
      </c>
      <c r="B49" s="15" t="n">
        <v>732.84</v>
      </c>
      <c r="C49" s="15" t="n">
        <v>750.15</v>
      </c>
      <c r="D49" s="15" t="n">
        <v>548.98</v>
      </c>
      <c r="E49" s="15" t="n">
        <v>569.15</v>
      </c>
      <c r="F49" s="15" t="n">
        <v>95.28</v>
      </c>
      <c r="G49" s="15" t="n">
        <v>-22.23</v>
      </c>
    </row>
    <row r="50">
      <c r="A50" s="8" t="inlineStr">
        <is>
          <t>Book Value / Share</t>
        </is>
      </c>
      <c r="B50" s="17" t="n">
        <v>10.92</v>
      </c>
      <c r="C50" s="17" t="n">
        <v>11.37</v>
      </c>
      <c r="D50" s="17" t="n">
        <v>8.630000000000001</v>
      </c>
      <c r="E50" s="17" t="n">
        <v>9.800000000000001</v>
      </c>
      <c r="F50" s="17" t="n">
        <v>1.72</v>
      </c>
      <c r="G50" s="17" t="n">
        <v>-0.4</v>
      </c>
    </row>
  </sheetData>
  <mergeCells count="3">
    <mergeCell ref="A27:H27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2" customWidth="1" min="3" max="3"/>
    <col width="28" customWidth="1" min="4" max="4"/>
  </cols>
  <sheetData>
    <row r="1" ht="30" customHeight="1">
      <c r="A1" s="1" t="inlineStr">
        <is>
          <t>Ryman Hospitality Properties (RHP) — WACC / Required Return</t>
        </is>
      </c>
    </row>
    <row r="3">
      <c r="A3" s="14" t="inlineStr">
        <is>
          <t>Component</t>
        </is>
      </c>
      <c r="B3" s="14" t="inlineStr">
        <is>
          <t>Value</t>
        </is>
      </c>
      <c r="C3" s="14" t="inlineStr">
        <is>
          <t>Rationale</t>
        </is>
      </c>
      <c r="D3" s="14" t="inlineStr">
        <is>
          <t>Source</t>
        </is>
      </c>
    </row>
    <row r="4">
      <c r="A4" s="8" t="inlineStr">
        <is>
          <t>Risk-free rate</t>
        </is>
      </c>
      <c r="B4" s="16" t="n">
        <v>0.0445</v>
      </c>
      <c r="C4" s="10" t="inlineStr">
        <is>
          <t>Latest available 10Y Treasury yield before the model date.</t>
        </is>
      </c>
      <c r="D4" s="10" t="inlineStr">
        <is>
          <t>FRED DGS10 2026-06-11</t>
        </is>
      </c>
    </row>
    <row r="5">
      <c r="A5" s="8" t="inlineStr">
        <is>
          <t>Equity risk premium</t>
        </is>
      </c>
      <c r="B5" s="16" t="n">
        <v>0.05</v>
      </c>
      <c r="C5" s="10" t="inlineStr">
        <is>
          <t>Standard U.S. public-equity ERP assumption.</t>
        </is>
      </c>
      <c r="D5" s="10" t="inlineStr">
        <is>
          <t>Model assumption</t>
        </is>
      </c>
    </row>
    <row r="6">
      <c r="A6" s="8" t="inlineStr">
        <is>
          <t>Beta</t>
        </is>
      </c>
      <c r="B6" s="18" t="n">
        <v>1.23</v>
      </c>
      <c r="C6" s="10" t="inlineStr">
        <is>
          <t>StockAnalysis listed beta for RHP.</t>
        </is>
      </c>
      <c r="D6" s="10" t="inlineStr">
        <is>
          <t>StockAnalysis overview/statistics</t>
        </is>
      </c>
    </row>
    <row r="7">
      <c r="A7" s="8" t="inlineStr">
        <is>
          <t>Cost of equity</t>
        </is>
      </c>
      <c r="B7" s="16">
        <f>B4+B5*B6</f>
        <v/>
      </c>
      <c r="C7" s="10" t="inlineStr">
        <is>
          <t>CAPM: risk-free + beta × ERP.</t>
        </is>
      </c>
      <c r="D7" s="10" t="inlineStr">
        <is>
          <t>Formula</t>
        </is>
      </c>
    </row>
    <row r="8">
      <c r="A8" s="8" t="inlineStr">
        <is>
          <t>Pre-tax cost of debt</t>
        </is>
      </c>
      <c r="B8" s="16" t="n">
        <v>0.06</v>
      </c>
      <c r="C8" s="10" t="inlineStr">
        <is>
          <t>Approximate blended rate for levered lodging REIT debt stack.</t>
        </is>
      </c>
      <c r="D8" s="10" t="inlineStr">
        <is>
          <t>Model assumption</t>
        </is>
      </c>
    </row>
    <row r="9">
      <c r="A9" s="8" t="inlineStr">
        <is>
          <t>Tax rate</t>
        </is>
      </c>
      <c r="B9" s="16" t="n">
        <v>0.05</v>
      </c>
      <c r="C9" s="10" t="inlineStr">
        <is>
          <t>REIT cash-tax assumption kept low given structure.</t>
        </is>
      </c>
      <c r="D9" s="10" t="inlineStr">
        <is>
          <t>Model assumption</t>
        </is>
      </c>
    </row>
    <row r="10">
      <c r="A10" s="8" t="inlineStr">
        <is>
          <t>Market value equity ($M)</t>
        </is>
      </c>
      <c r="B10" s="15">
        <f>Valuation!B7</f>
        <v/>
      </c>
      <c r="C10" s="10" t="inlineStr">
        <is>
          <t>Price × shares outstanding.</t>
        </is>
      </c>
      <c r="D10" s="10" t="inlineStr">
        <is>
          <t>Valuation sheet</t>
        </is>
      </c>
    </row>
    <row r="11">
      <c r="A11" s="8" t="inlineStr">
        <is>
          <t>Total debt ($M)</t>
        </is>
      </c>
      <c r="B11" s="15">
        <f>Valuation!B9</f>
        <v/>
      </c>
      <c r="C11" s="10" t="inlineStr">
        <is>
          <t>Current total debt from balance sheet/statistics.</t>
        </is>
      </c>
      <c r="D11" s="10" t="inlineStr">
        <is>
          <t>Valuation sheet</t>
        </is>
      </c>
    </row>
    <row r="12">
      <c r="A12" s="8" t="inlineStr">
        <is>
          <t>Equity weight</t>
        </is>
      </c>
      <c r="B12" s="16">
        <f>B10/(B10+B11)</f>
        <v/>
      </c>
      <c r="C12" s="10" t="inlineStr">
        <is>
          <t>Equity share of total capital.</t>
        </is>
      </c>
      <c r="D12" s="10" t="inlineStr">
        <is>
          <t>Formula</t>
        </is>
      </c>
    </row>
    <row r="13">
      <c r="A13" s="8" t="inlineStr">
        <is>
          <t>Debt weight</t>
        </is>
      </c>
      <c r="B13" s="16">
        <f>B11/(B10+B11)</f>
        <v/>
      </c>
      <c r="C13" s="10" t="inlineStr">
        <is>
          <t>Debt share of total capital.</t>
        </is>
      </c>
      <c r="D13" s="10" t="inlineStr">
        <is>
          <t>Formula</t>
        </is>
      </c>
    </row>
    <row r="14">
      <c r="A14" s="8" t="inlineStr">
        <is>
          <t>Mechanical WACC</t>
        </is>
      </c>
      <c r="B14" s="16">
        <f>B12*B7+B13*B8*(1-B9)</f>
        <v/>
      </c>
      <c r="C14" s="10" t="inlineStr">
        <is>
          <t>Weighted cost of equity and after-tax debt.</t>
        </is>
      </c>
      <c r="D14" s="10" t="inlineStr">
        <is>
          <t>Formula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54" customWidth="1" min="5" max="5"/>
  </cols>
  <sheetData>
    <row r="1" ht="30" customHeight="1">
      <c r="A1" s="1" t="inlineStr">
        <is>
          <t>Ryman Hospitality Properties (RHP) — Bear / Base / Bull Scenario Summary</t>
        </is>
      </c>
    </row>
    <row r="3">
      <c r="A3" s="8" t="inlineStr">
        <is>
          <t>Current price</t>
        </is>
      </c>
      <c r="B3" s="17">
        <f>Valuation!B5</f>
        <v/>
      </c>
    </row>
    <row r="4">
      <c r="A4" s="8" t="inlineStr">
        <is>
          <t>Current shares (M)</t>
        </is>
      </c>
      <c r="B4" s="15">
        <f>Valuation!B6</f>
        <v/>
      </c>
    </row>
    <row r="7">
      <c r="A7" s="14" t="inlineStr">
        <is>
          <t>Metric</t>
        </is>
      </c>
      <c r="B7" s="14" t="inlineStr">
        <is>
          <t>Bear</t>
        </is>
      </c>
      <c r="C7" s="14" t="inlineStr">
        <is>
          <t>Base</t>
        </is>
      </c>
      <c r="D7" s="14" t="inlineStr">
        <is>
          <t>Bull</t>
        </is>
      </c>
      <c r="E7" s="14" t="inlineStr">
        <is>
          <t>Notes</t>
        </is>
      </c>
    </row>
    <row r="8">
      <c r="A8" s="4" t="inlineStr">
        <is>
          <t>Narrative</t>
        </is>
      </c>
      <c r="B8" s="19" t="inlineStr">
        <is>
          <t>Group demand normalizes, capex stays heavy, Desert Ridge accretion disappoints.</t>
        </is>
      </c>
      <c r="C8" s="19" t="inlineStr">
        <is>
          <t>Convention demand stays healthy and acquisitions prove roughly fair per share.</t>
        </is>
      </c>
      <c r="D8" s="19" t="inlineStr">
        <is>
          <t>Group pricing, ancillary spend, and Desert Ridge/Hill Country execution outperform.</t>
        </is>
      </c>
      <c r="E8" s="4" t="n"/>
    </row>
    <row r="9">
      <c r="A9" s="4" t="inlineStr">
        <is>
          <t>Revenue CAGR (FY2026-FY2031)</t>
        </is>
      </c>
      <c r="B9" s="20" t="n">
        <v>0.035</v>
      </c>
      <c r="C9" s="20" t="n">
        <v>0.06</v>
      </c>
      <c r="D9" s="20" t="n">
        <v>0.08500000000000001</v>
      </c>
      <c r="E9" s="4" t="inlineStr">
        <is>
          <t>Five-year top-line CAGR from the $2.80B FY2026 revenue consensus.</t>
        </is>
      </c>
    </row>
    <row r="10">
      <c r="A10" s="4" t="inlineStr">
        <is>
          <t>FY2031 revenue ($M)</t>
        </is>
      </c>
      <c r="B10" s="19">
        <f>2800*(1+B9)^5</f>
        <v/>
      </c>
      <c r="C10" s="19">
        <f>2800*(1+C9)^5</f>
        <v/>
      </c>
      <c r="D10" s="19">
        <f>2800*(1+D9)^5</f>
        <v/>
      </c>
      <c r="E10" s="4" t="inlineStr">
        <is>
          <t>Terminal revenue based on revenue CAGR assumptions.</t>
        </is>
      </c>
    </row>
    <row r="11">
      <c r="A11" s="4" t="inlineStr">
        <is>
          <t>Adjusted FCF margin</t>
        </is>
      </c>
      <c r="B11" s="20" t="n">
        <v>0.15</v>
      </c>
      <c r="C11" s="20" t="n">
        <v>0.18</v>
      </c>
      <c r="D11" s="20" t="n">
        <v>0.21</v>
      </c>
      <c r="E11" s="4" t="inlineStr">
        <is>
          <t>Owner-earnings proxy: normalized FFO/cash earnings less maintenance drag.</t>
        </is>
      </c>
    </row>
    <row r="12">
      <c r="A12" s="4" t="inlineStr">
        <is>
          <t>FY2031 adjusted FCF ($M)</t>
        </is>
      </c>
      <c r="B12" s="19">
        <f>B10*B11</f>
        <v/>
      </c>
      <c r="C12" s="19">
        <f>C10*C11</f>
        <v/>
      </c>
      <c r="D12" s="19">
        <f>D10*D11</f>
        <v/>
      </c>
      <c r="E12" s="4" t="inlineStr">
        <is>
          <t>Terminal cash earnings proxy.</t>
        </is>
      </c>
    </row>
    <row r="13">
      <c r="A13" s="4" t="inlineStr">
        <is>
          <t>Exit FCF multiple</t>
        </is>
      </c>
      <c r="B13" s="21" t="n">
        <v>15</v>
      </c>
      <c r="C13" s="21" t="n">
        <v>17</v>
      </c>
      <c r="D13" s="21" t="n">
        <v>19</v>
      </c>
      <c r="E13" s="4" t="inlineStr">
        <is>
          <t>Multiple on terminal adjusted FCF.</t>
        </is>
      </c>
    </row>
    <row r="14">
      <c r="A14" s="4" t="inlineStr">
        <is>
          <t>Implied EV ($M)</t>
        </is>
      </c>
      <c r="B14" s="19">
        <f>B12*B13</f>
        <v/>
      </c>
      <c r="C14" s="19">
        <f>C12*C13</f>
        <v/>
      </c>
      <c r="D14" s="19">
        <f>D12*D13</f>
        <v/>
      </c>
      <c r="E14" s="4" t="inlineStr">
        <is>
          <t>Terminal adjusted FCF × exit multiple.</t>
        </is>
      </c>
    </row>
    <row r="15">
      <c r="A15" s="4" t="inlineStr">
        <is>
          <t>Less: net debt adj. ($M)</t>
        </is>
      </c>
      <c r="B15" s="19">
        <f>Valuation!B10</f>
        <v/>
      </c>
      <c r="C15" s="19">
        <f>Valuation!B10</f>
        <v/>
      </c>
      <c r="D15" s="19">
        <f>Valuation!B10</f>
        <v/>
      </c>
      <c r="E15" s="4" t="inlineStr">
        <is>
          <t>Uses current net debt as a conservative claim stack proxy.</t>
        </is>
      </c>
    </row>
    <row r="16">
      <c r="A16" s="4" t="inlineStr">
        <is>
          <t>Implied equity value ($M)</t>
        </is>
      </c>
      <c r="B16" s="19">
        <f>B14-B15</f>
        <v/>
      </c>
      <c r="C16" s="19">
        <f>C14-C15</f>
        <v/>
      </c>
      <c r="D16" s="19">
        <f>D14-D15</f>
        <v/>
      </c>
      <c r="E16" s="4" t="inlineStr">
        <is>
          <t>EV less net debt.</t>
        </is>
      </c>
    </row>
    <row r="17">
      <c r="A17" s="4" t="inlineStr">
        <is>
          <t>Diluted shares (M)</t>
        </is>
      </c>
      <c r="B17" s="19" t="n">
        <v>64.2</v>
      </c>
      <c r="C17" s="19" t="n">
        <v>63.8</v>
      </c>
      <c r="D17" s="19" t="n">
        <v>63.2</v>
      </c>
      <c r="E17" s="4" t="inlineStr">
        <is>
          <t>Assumes mild dilution in bear/base and slight offset from retained cash in bull.</t>
        </is>
      </c>
    </row>
    <row r="18">
      <c r="A18" s="4" t="inlineStr">
        <is>
          <t>Target price</t>
        </is>
      </c>
      <c r="B18" s="22">
        <f>B16/B17</f>
        <v/>
      </c>
      <c r="C18" s="22">
        <f>C16/C17</f>
        <v/>
      </c>
      <c r="D18" s="22">
        <f>D16/D17</f>
        <v/>
      </c>
      <c r="E18" s="4" t="inlineStr">
        <is>
          <t>Implied equity value per share.</t>
        </is>
      </c>
    </row>
    <row r="19">
      <c r="A19" s="4" t="inlineStr">
        <is>
          <t>Upside vs. current</t>
        </is>
      </c>
      <c r="B19" s="20">
        <f>B18/$B$3-1</f>
        <v/>
      </c>
      <c r="C19" s="20">
        <f>C18/$B$3-1</f>
        <v/>
      </c>
      <c r="D19" s="20">
        <f>D18/$B$3-1</f>
        <v/>
      </c>
      <c r="E19" s="4" t="inlineStr">
        <is>
          <t>Price return versus $122.81.</t>
        </is>
      </c>
    </row>
    <row r="20">
      <c r="A20" s="4" t="inlineStr">
        <is>
          <t>Scenario weight</t>
        </is>
      </c>
      <c r="B20" s="20" t="n">
        <v>0.25</v>
      </c>
      <c r="C20" s="20" t="n">
        <v>0.5</v>
      </c>
      <c r="D20" s="20" t="n">
        <v>0.25</v>
      </c>
      <c r="E20" s="4" t="inlineStr">
        <is>
          <t>Probabilities sum to 100%.</t>
        </is>
      </c>
    </row>
    <row r="21">
      <c r="A21" s="4" t="inlineStr">
        <is>
          <t>Weighted value / share</t>
        </is>
      </c>
      <c r="B21" s="22">
        <f>B18*B20</f>
        <v/>
      </c>
      <c r="C21" s="22">
        <f>C18*C20</f>
        <v/>
      </c>
      <c r="D21" s="22">
        <f>D18*D20</f>
        <v/>
      </c>
      <c r="E21" s="4" t="inlineStr">
        <is>
          <t>Scenario target price × weight.</t>
        </is>
      </c>
    </row>
    <row r="22">
      <c r="A22" s="23" t="inlineStr"/>
      <c r="B22" s="24">
        <f>SUM(B21:D21)</f>
        <v/>
      </c>
      <c r="C22" s="24" t="inlineStr"/>
      <c r="D22" s="24" t="inlineStr"/>
      <c r="E22" s="23" t="inlineStr">
        <is>
          <t>Total probability-weighted fair value per share.</t>
        </is>
      </c>
    </row>
    <row r="23">
      <c r="A23" s="23" t="inlineStr"/>
      <c r="B23" s="25">
        <f>B22/$B$3-1</f>
        <v/>
      </c>
      <c r="C23" s="25" t="inlineStr"/>
      <c r="D23" s="25" t="inlineStr"/>
      <c r="E23" s="23" t="inlineStr">
        <is>
          <t>Weighted upside from current price.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38" customWidth="1" min="5" max="5"/>
    <col width="30" customWidth="1" min="6" max="6"/>
    <col width="42" customWidth="1" min="7" max="7"/>
    <col width="14" customWidth="1" min="8" max="8"/>
  </cols>
  <sheetData>
    <row r="1">
      <c r="A1" s="1" t="inlineStr">
        <is>
          <t>Ryman Hospitality Properties (RHP) — Actuals / Source Audit</t>
        </is>
      </c>
    </row>
    <row r="2">
      <c r="A2" s="14" t="inlineStr">
        <is>
          <t>Line item</t>
        </is>
      </c>
      <c r="B2" s="14" t="inlineStr">
        <is>
          <t>Period</t>
        </is>
      </c>
      <c r="C2" s="14" t="inlineStr">
        <is>
          <t>Model value</t>
        </is>
      </c>
      <c r="D2" s="14" t="inlineStr">
        <is>
          <t>Unit</t>
        </is>
      </c>
      <c r="E2" s="14" t="inlineStr">
        <is>
          <t>Primary source</t>
        </is>
      </c>
      <c r="F2" s="14" t="inlineStr">
        <is>
          <t>Secondary source</t>
        </is>
      </c>
      <c r="G2" s="14" t="inlineStr">
        <is>
          <t>Resolution / note</t>
        </is>
      </c>
      <c r="H2" s="14" t="inlineStr">
        <is>
          <t>Model cell</t>
        </is>
      </c>
    </row>
    <row r="3">
      <c r="A3" s="10" t="inlineStr">
        <is>
          <t>Share price</t>
        </is>
      </c>
      <c r="B3" s="10" t="inlineStr">
        <is>
          <t>2026-06-12</t>
        </is>
      </c>
      <c r="C3" s="26" t="n">
        <v>122.81</v>
      </c>
      <c r="D3" s="10" t="inlineStr">
        <is>
          <t>USD/share</t>
        </is>
      </c>
      <c r="E3" s="10" t="inlineStr">
        <is>
          <t>https://stockanalysis.com/stocks/rhp/</t>
        </is>
      </c>
      <c r="F3" s="10" t="inlineStr">
        <is>
          <t>research/RHP.md</t>
        </is>
      </c>
      <c r="G3" s="10" t="inlineStr">
        <is>
          <t>June 12 close used because model date is a Sunday.</t>
        </is>
      </c>
      <c r="H3" s="10" t="inlineStr">
        <is>
          <t>Valuation!B5</t>
        </is>
      </c>
    </row>
    <row r="4">
      <c r="A4" s="10" t="inlineStr">
        <is>
          <t>Shares outstanding</t>
        </is>
      </c>
      <c r="B4" s="10" t="inlineStr">
        <is>
          <t>Current</t>
        </is>
      </c>
      <c r="C4" s="27" t="n">
        <v>62.77</v>
      </c>
      <c r="D4" s="10" t="inlineStr">
        <is>
          <t>M</t>
        </is>
      </c>
      <c r="E4" s="10" t="inlineStr">
        <is>
          <t>https://stockanalysis.com/stocks/rhp/statistics/</t>
        </is>
      </c>
      <c r="F4" s="10" t="inlineStr">
        <is>
          <t>https://stockanalysis.com/stocks/rhp/</t>
        </is>
      </c>
      <c r="G4" s="10" t="inlineStr">
        <is>
          <t>Statistics and overview match on 62.77M shares.</t>
        </is>
      </c>
      <c r="H4" s="10" t="inlineStr">
        <is>
          <t>Valuation!B6</t>
        </is>
      </c>
    </row>
    <row r="5">
      <c r="A5" s="10" t="inlineStr">
        <is>
          <t>Market cap</t>
        </is>
      </c>
      <c r="B5" s="10" t="inlineStr">
        <is>
          <t>Current</t>
        </is>
      </c>
      <c r="C5" s="27" t="n">
        <v>7710</v>
      </c>
      <c r="D5" s="10" t="inlineStr">
        <is>
          <t>USD mm</t>
        </is>
      </c>
      <c r="E5" s="10" t="inlineStr">
        <is>
          <t>https://stockanalysis.com/stocks/rhp/statistics/</t>
        </is>
      </c>
      <c r="F5" s="10" t="inlineStr">
        <is>
          <t>https://stockanalysis.com/stocks/rhp/</t>
        </is>
      </c>
      <c r="G5" s="10" t="inlineStr">
        <is>
          <t>Rounded from $7.71B.</t>
        </is>
      </c>
      <c r="H5" s="10" t="inlineStr">
        <is>
          <t>Valuation!B7</t>
        </is>
      </c>
    </row>
    <row r="6">
      <c r="A6" s="10" t="inlineStr">
        <is>
          <t>Enterprise value</t>
        </is>
      </c>
      <c r="B6" s="10" t="inlineStr">
        <is>
          <t>Current</t>
        </is>
      </c>
      <c r="C6" s="27" t="n">
        <v>11410</v>
      </c>
      <c r="D6" s="10" t="inlineStr">
        <is>
          <t>USD mm</t>
        </is>
      </c>
      <c r="E6" s="10" t="inlineStr">
        <is>
          <t>https://stockanalysis.com/stocks/rhp/statistics/</t>
        </is>
      </c>
      <c r="F6" s="10" t="inlineStr">
        <is>
          <t>research/RHP.md</t>
        </is>
      </c>
      <c r="G6" s="10" t="inlineStr">
        <is>
          <t>Provider EV exceeds simple debt-minus-cash because of lease/NCI treatment.</t>
        </is>
      </c>
      <c r="H6" s="10" t="inlineStr">
        <is>
          <t>n/a</t>
        </is>
      </c>
    </row>
    <row r="7">
      <c r="A7" s="10" t="inlineStr">
        <is>
          <t>Revenue</t>
        </is>
      </c>
      <c r="B7" s="10" t="inlineStr">
        <is>
          <t>TTM</t>
        </is>
      </c>
      <c r="C7" s="27" t="n">
        <v>2654</v>
      </c>
      <c r="D7" s="10" t="inlineStr">
        <is>
          <t>USD mm</t>
        </is>
      </c>
      <c r="E7" s="10" t="inlineStr">
        <is>
          <t>https://stockanalysis.com/stocks/rhp/financials/</t>
        </is>
      </c>
      <c r="F7" s="10" t="inlineStr">
        <is>
          <t>research/RHP.md</t>
        </is>
      </c>
      <c r="G7" s="10" t="inlineStr">
        <is>
          <t>TTM through Mar. 31, 2026.</t>
        </is>
      </c>
      <c r="H7" s="10" t="inlineStr">
        <is>
          <t>Valuation!B29</t>
        </is>
      </c>
    </row>
    <row r="8">
      <c r="A8" s="10" t="inlineStr">
        <is>
          <t>Revenue</t>
        </is>
      </c>
      <c r="B8" s="10" t="inlineStr">
        <is>
          <t>FY2025</t>
        </is>
      </c>
      <c r="C8" s="27" t="n">
        <v>2577</v>
      </c>
      <c r="D8" s="10" t="inlineStr">
        <is>
          <t>USD mm</t>
        </is>
      </c>
      <c r="E8" s="10" t="inlineStr">
        <is>
          <t>https://stockanalysis.com/stocks/rhp/financials/</t>
        </is>
      </c>
      <c r="F8" s="10" t="inlineStr">
        <is>
          <t>research/RHP.md</t>
        </is>
      </c>
      <c r="G8" s="10" t="inlineStr">
        <is>
          <t>Matches local research note.</t>
        </is>
      </c>
      <c r="H8" s="10" t="inlineStr">
        <is>
          <t>Valuation!C29</t>
        </is>
      </c>
    </row>
    <row r="9">
      <c r="A9" s="10" t="inlineStr">
        <is>
          <t>Gross profit</t>
        </is>
      </c>
      <c r="B9" s="10" t="inlineStr">
        <is>
          <t>FY2025</t>
        </is>
      </c>
      <c r="C9" s="27" t="n">
        <v>812.0599999999999</v>
      </c>
      <c r="D9" s="10" t="inlineStr">
        <is>
          <t>USD mm</t>
        </is>
      </c>
      <c r="E9" s="10" t="inlineStr">
        <is>
          <t>https://stockanalysis.com/stocks/rhp/financials/</t>
        </is>
      </c>
      <c r="F9" s="10" t="inlineStr">
        <is>
          <t>n/a</t>
        </is>
      </c>
      <c r="G9" s="10" t="inlineStr">
        <is>
          <t>Derived standardized gross profit line from StockAnalysis.</t>
        </is>
      </c>
      <c r="H9" s="10" t="inlineStr">
        <is>
          <t>Valuation!C31</t>
        </is>
      </c>
    </row>
    <row r="10">
      <c r="A10" s="10" t="inlineStr">
        <is>
          <t>Operating income</t>
        </is>
      </c>
      <c r="B10" s="10" t="inlineStr">
        <is>
          <t>FY2025</t>
        </is>
      </c>
      <c r="C10" s="27" t="n">
        <v>487.01</v>
      </c>
      <c r="D10" s="10" t="inlineStr">
        <is>
          <t>USD mm</t>
        </is>
      </c>
      <c r="E10" s="10" t="inlineStr">
        <is>
          <t>https://stockanalysis.com/stocks/rhp/financials/</t>
        </is>
      </c>
      <c r="F10" s="10" t="inlineStr">
        <is>
          <t>research/RHP.md</t>
        </is>
      </c>
      <c r="G10" s="10" t="inlineStr">
        <is>
          <t>Cross-checked to research note narrative.</t>
        </is>
      </c>
      <c r="H10" s="10" t="inlineStr">
        <is>
          <t>Valuation!C33</t>
        </is>
      </c>
    </row>
    <row r="11">
      <c r="A11" s="10" t="inlineStr">
        <is>
          <t>EBITDA</t>
        </is>
      </c>
      <c r="B11" s="10" t="inlineStr">
        <is>
          <t>TTM</t>
        </is>
      </c>
      <c r="C11" s="27" t="n">
        <v>798.77</v>
      </c>
      <c r="D11" s="10" t="inlineStr">
        <is>
          <t>USD mm</t>
        </is>
      </c>
      <c r="E11" s="10" t="inlineStr">
        <is>
          <t>https://stockanalysis.com/stocks/rhp/financials/</t>
        </is>
      </c>
      <c r="F11" s="10" t="inlineStr">
        <is>
          <t>https://stockanalysis.com/stocks/rhp/statistics/</t>
        </is>
      </c>
      <c r="G11" s="10" t="inlineStr">
        <is>
          <t>Aligns with EV/EBITDA screen.</t>
        </is>
      </c>
      <c r="H11" s="10" t="inlineStr">
        <is>
          <t>Valuation!B35</t>
        </is>
      </c>
    </row>
    <row r="12">
      <c r="A12" s="10" t="inlineStr">
        <is>
          <t>Net income</t>
        </is>
      </c>
      <c r="B12" s="10" t="inlineStr">
        <is>
          <t>FY2025</t>
        </is>
      </c>
      <c r="C12" s="27" t="n">
        <v>247.31</v>
      </c>
      <c r="D12" s="10" t="inlineStr">
        <is>
          <t>USD mm</t>
        </is>
      </c>
      <c r="E12" s="10" t="inlineStr">
        <is>
          <t>https://stockanalysis.com/stocks/rhp/financials/</t>
        </is>
      </c>
      <c r="F12" s="10" t="inlineStr">
        <is>
          <t>https://stockanalysis.com/stocks/rhp/financials/cash-flow-statement/</t>
        </is>
      </c>
      <c r="G12" s="10" t="inlineStr">
        <is>
          <t>Income statement and cash flow statement line up.</t>
        </is>
      </c>
      <c r="H12" s="10" t="inlineStr">
        <is>
          <t>Valuation!C37</t>
        </is>
      </c>
    </row>
    <row r="13">
      <c r="A13" s="10" t="inlineStr">
        <is>
          <t>Operating cash flow</t>
        </is>
      </c>
      <c r="B13" s="10" t="inlineStr">
        <is>
          <t>FY2025</t>
        </is>
      </c>
      <c r="C13" s="27" t="n">
        <v>590.63</v>
      </c>
      <c r="D13" s="10" t="inlineStr">
        <is>
          <t>USD mm</t>
        </is>
      </c>
      <c r="E13" s="10" t="inlineStr">
        <is>
          <t>https://stockanalysis.com/stocks/rhp/financials/cash-flow-statement/</t>
        </is>
      </c>
      <c r="F13" s="10" t="inlineStr">
        <is>
          <t>research/RHP.md</t>
        </is>
      </c>
      <c r="G13" s="10" t="inlineStr">
        <is>
          <t>Cash generation before capex and acquisitions.</t>
        </is>
      </c>
      <c r="H13" s="10" t="inlineStr">
        <is>
          <t>Valuation!C40</t>
        </is>
      </c>
    </row>
    <row r="14">
      <c r="A14" s="10" t="inlineStr">
        <is>
          <t>Free cash flow</t>
        </is>
      </c>
      <c r="B14" s="10" t="inlineStr">
        <is>
          <t>FY2025</t>
        </is>
      </c>
      <c r="C14" s="27" t="n">
        <v>232.39</v>
      </c>
      <c r="D14" s="10" t="inlineStr">
        <is>
          <t>USD mm</t>
        </is>
      </c>
      <c r="E14" s="10" t="inlineStr">
        <is>
          <t>https://stockanalysis.com/stocks/rhp/financials/cash-flow-statement/</t>
        </is>
      </c>
      <c r="F14" s="10" t="inlineStr">
        <is>
          <t>research/RHP.md</t>
        </is>
      </c>
      <c r="G14" s="10" t="inlineStr">
        <is>
          <t>Headline FCF remains capex-sensitive for a resort REIT.</t>
        </is>
      </c>
      <c r="H14" s="10" t="inlineStr">
        <is>
          <t>Valuation!C42</t>
        </is>
      </c>
    </row>
    <row r="15">
      <c r="A15" s="10" t="inlineStr">
        <is>
          <t>Cash &amp; ST investments</t>
        </is>
      </c>
      <c r="B15" s="10" t="inlineStr">
        <is>
          <t>TTM</t>
        </is>
      </c>
      <c r="C15" s="27" t="n">
        <v>424.02</v>
      </c>
      <c r="D15" s="10" t="inlineStr">
        <is>
          <t>USD mm</t>
        </is>
      </c>
      <c r="E15" s="10" t="inlineStr">
        <is>
          <t>https://stockanalysis.com/stocks/rhp/financials/balance-sheet/</t>
        </is>
      </c>
      <c r="F15" s="10" t="inlineStr">
        <is>
          <t>research/RHP.md</t>
        </is>
      </c>
      <c r="G15" s="10" t="inlineStr">
        <is>
          <t>TTM balance sheet cash.</t>
        </is>
      </c>
      <c r="H15" s="10" t="inlineStr">
        <is>
          <t>Valuation!B44</t>
        </is>
      </c>
    </row>
    <row r="16">
      <c r="A16" s="10" t="inlineStr">
        <is>
          <t>Total debt</t>
        </is>
      </c>
      <c r="B16" s="10" t="inlineStr">
        <is>
          <t>TTM</t>
        </is>
      </c>
      <c r="C16" s="27" t="n">
        <v>4131</v>
      </c>
      <c r="D16" s="10" t="inlineStr">
        <is>
          <t>USD mm</t>
        </is>
      </c>
      <c r="E16" s="10" t="inlineStr">
        <is>
          <t>https://stockanalysis.com/stocks/rhp/financials/balance-sheet/</t>
        </is>
      </c>
      <c r="F16" s="10" t="inlineStr">
        <is>
          <t>https://stockanalysis.com/stocks/rhp/statistics/</t>
        </is>
      </c>
      <c r="G16" s="10" t="inlineStr">
        <is>
          <t>Debt/EBITDA cross-check in statistics supports figure.</t>
        </is>
      </c>
      <c r="H16" s="10" t="inlineStr">
        <is>
          <t>Valuation!B45</t>
        </is>
      </c>
    </row>
    <row r="17">
      <c r="A17" s="10" t="inlineStr">
        <is>
          <t>Common equity</t>
        </is>
      </c>
      <c r="B17" s="10" t="inlineStr">
        <is>
          <t>FY2025</t>
        </is>
      </c>
      <c r="C17" s="27" t="n">
        <v>750.15</v>
      </c>
      <c r="D17" s="10" t="inlineStr">
        <is>
          <t>USD mm</t>
        </is>
      </c>
      <c r="E17" s="10" t="inlineStr">
        <is>
          <t>https://stockanalysis.com/stocks/rhp/financials/balance-sheet/</t>
        </is>
      </c>
      <c r="F17" s="10" t="inlineStr">
        <is>
          <t>research/RHP.md</t>
        </is>
      </c>
      <c r="G17" s="10" t="inlineStr">
        <is>
          <t>Common equity, not total shareholders equity.</t>
        </is>
      </c>
      <c r="H17" s="10" t="inlineStr">
        <is>
          <t>Valuation!C49</t>
        </is>
      </c>
    </row>
    <row r="18">
      <c r="A18" s="10" t="inlineStr">
        <is>
          <t>Beta</t>
        </is>
      </c>
      <c r="B18" s="10" t="inlineStr">
        <is>
          <t>Current</t>
        </is>
      </c>
      <c r="C18" s="27" t="n">
        <v>1.23</v>
      </c>
      <c r="D18" s="10" t="inlineStr">
        <is>
          <t>x</t>
        </is>
      </c>
      <c r="E18" s="10" t="inlineStr">
        <is>
          <t>https://stockanalysis.com/stocks/rhp/</t>
        </is>
      </c>
      <c r="F18" s="10" t="inlineStr">
        <is>
          <t>https://stockanalysis.com/stocks/rhp/statistics/</t>
        </is>
      </c>
      <c r="G18" s="10" t="inlineStr">
        <is>
          <t>Used for CAPM only; not a valuation anchor.</t>
        </is>
      </c>
      <c r="H18" s="10" t="inlineStr">
        <is>
          <t>WACC!B6</t>
        </is>
      </c>
    </row>
    <row r="19">
      <c r="A19" s="10" t="inlineStr">
        <is>
          <t>FY2026 revenue consensus</t>
        </is>
      </c>
      <c r="B19" s="10" t="inlineStr">
        <is>
          <t>FY2026E</t>
        </is>
      </c>
      <c r="C19" s="27" t="n">
        <v>2800</v>
      </c>
      <c r="D19" s="10" t="inlineStr">
        <is>
          <t>USD mm</t>
        </is>
      </c>
      <c r="E19" s="10" t="inlineStr">
        <is>
          <t>https://stockanalysis.com/stocks/rhp/forecast/</t>
        </is>
      </c>
      <c r="F19" s="10" t="inlineStr">
        <is>
          <t>research/RHP.md</t>
        </is>
      </c>
      <c r="G19" s="10" t="inlineStr">
        <is>
          <t>Visible public forecast row.</t>
        </is>
      </c>
      <c r="H19" s="10" t="inlineStr">
        <is>
          <t>Valuation!E8</t>
        </is>
      </c>
    </row>
    <row r="20">
      <c r="A20" s="10" t="inlineStr">
        <is>
          <t>FY2026 FFO/share consensus</t>
        </is>
      </c>
      <c r="B20" s="10" t="inlineStr">
        <is>
          <t>FY2026E</t>
        </is>
      </c>
      <c r="C20" s="26" t="n">
        <v>8.960000000000001</v>
      </c>
      <c r="D20" s="10" t="inlineStr">
        <is>
          <t>USD/share</t>
        </is>
      </c>
      <c r="E20" s="10" t="inlineStr">
        <is>
          <t>https://stockanalysis.com/stocks/rhp/forecast/</t>
        </is>
      </c>
      <c r="F20" s="10" t="inlineStr">
        <is>
          <t>research/RHP.md</t>
        </is>
      </c>
      <c r="G20" s="10" t="inlineStr">
        <is>
          <t>Primary forward valuation anchor.</t>
        </is>
      </c>
      <c r="H20" s="10" t="inlineStr">
        <is>
          <t>Valuation!E9</t>
        </is>
      </c>
    </row>
    <row r="21">
      <c r="A21" s="10" t="inlineStr">
        <is>
          <t>Price target average</t>
        </is>
      </c>
      <c r="B21" s="10" t="inlineStr">
        <is>
          <t>1-year</t>
        </is>
      </c>
      <c r="C21" s="26" t="n">
        <v>123.2</v>
      </c>
      <c r="D21" s="10" t="inlineStr">
        <is>
          <t>USD/share</t>
        </is>
      </c>
      <c r="E21" s="10" t="inlineStr">
        <is>
          <t>https://stockanalysis.com/stocks/rhp/forecast/</t>
        </is>
      </c>
      <c r="F21" s="10" t="inlineStr">
        <is>
          <t>n/a</t>
        </is>
      </c>
      <c r="G21" s="10" t="inlineStr">
        <is>
          <t>Low/average/median/high also captured on forecast page.</t>
        </is>
      </c>
      <c r="H21" s="10" t="inlineStr">
        <is>
          <t>Valuation!B25</t>
        </is>
      </c>
    </row>
    <row r="22">
      <c r="A22" s="10" t="inlineStr">
        <is>
          <t>10Y Treasury</t>
        </is>
      </c>
      <c r="B22" s="10" t="inlineStr">
        <is>
          <t>2026-06-11</t>
        </is>
      </c>
      <c r="C22" s="12" t="n">
        <v>0.0445</v>
      </c>
      <c r="D22" s="10" t="inlineStr">
        <is>
          <t>percent</t>
        </is>
      </c>
      <c r="E22" s="10" t="inlineStr">
        <is>
          <t>https://fred.stlouisfed.org/series/DGS10</t>
        </is>
      </c>
      <c r="F22" s="10" t="inlineStr">
        <is>
          <t>n/a</t>
        </is>
      </c>
      <c r="G22" s="10" t="inlineStr">
        <is>
          <t>Latest observation before model date was 4.45%.</t>
        </is>
      </c>
      <c r="H22" s="10" t="inlineStr">
        <is>
          <t>WACC!B4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6" customWidth="1" min="2" max="2"/>
    <col width="20" customWidth="1" min="3" max="3"/>
  </cols>
  <sheetData>
    <row r="1">
      <c r="A1" s="1" t="inlineStr">
        <is>
          <t>Ryman Hospitality Properties (RHP) — Underwriting Questions</t>
        </is>
      </c>
    </row>
    <row r="2">
      <c r="A2" s="14" t="inlineStr">
        <is>
          <t>#</t>
        </is>
      </c>
      <c r="B2" s="14" t="inlineStr">
        <is>
          <t>Question</t>
        </is>
      </c>
      <c r="C2" s="14" t="inlineStr">
        <is>
          <t>Focus area</t>
        </is>
      </c>
    </row>
    <row r="3">
      <c r="A3" s="28" t="n">
        <v>1</v>
      </c>
      <c r="B3" s="10" t="inlineStr">
        <is>
          <t>How much of current growth is same-store group pricing and spend, and how much is simply Desert Ridge acquisition math?</t>
        </is>
      </c>
      <c r="C3" s="10" t="inlineStr">
        <is>
          <t>Growth quality</t>
        </is>
      </c>
    </row>
    <row r="4">
      <c r="A4" s="28" t="n">
        <v>2</v>
      </c>
      <c r="B4" s="10" t="inlineStr">
        <is>
          <t>Can Desert Ridge and Hill Country sustain per-share FFO accretion after financing costs and ongoing capex?</t>
        </is>
      </c>
      <c r="C4" s="10" t="inlineStr">
        <is>
          <t>Capital allocation</t>
        </is>
      </c>
    </row>
    <row r="5">
      <c r="A5" s="28" t="n">
        <v>3</v>
      </c>
      <c r="B5" s="10" t="inlineStr">
        <is>
          <t>What is the true maintenance-capex requirement for the Gaylord and JW Marriott resort base?</t>
        </is>
      </c>
      <c r="C5" s="10" t="inlineStr">
        <is>
          <t>Owner earnings</t>
        </is>
      </c>
    </row>
    <row r="6">
      <c r="A6" s="28" t="n">
        <v>4</v>
      </c>
      <c r="B6" s="10" t="inlineStr">
        <is>
          <t>How cyclical are net definite group room nights if corporate meeting budgets soften in 2027?</t>
        </is>
      </c>
      <c r="C6" s="10" t="inlineStr">
        <is>
          <t>Macro sensitivity</t>
        </is>
      </c>
    </row>
    <row r="7">
      <c r="A7" s="28" t="n">
        <v>5</v>
      </c>
      <c r="B7" s="10" t="inlineStr">
        <is>
          <t>Is the Entertainment segment a strategic moat enhancer or a structurally lower-return complexity layer?</t>
        </is>
      </c>
      <c r="C7" s="10" t="inlineStr">
        <is>
          <t>Segment mix</t>
        </is>
      </c>
    </row>
    <row r="8">
      <c r="A8" s="28" t="n">
        <v>6</v>
      </c>
      <c r="B8" s="10" t="inlineStr">
        <is>
          <t>How much refinancing risk sits inside the $4.1B debt stack if rates stay elevated for longer?</t>
        </is>
      </c>
      <c r="C8" s="10" t="inlineStr">
        <is>
          <t>Balance sheet</t>
        </is>
      </c>
    </row>
    <row r="9">
      <c r="A9" s="28" t="n">
        <v>7</v>
      </c>
      <c r="B9" s="10" t="inlineStr">
        <is>
          <t>Does the 3.9% dividend remain comfortably covered through a softer convention cycle?</t>
        </is>
      </c>
      <c r="C9" s="10" t="inlineStr">
        <is>
          <t>Dividend safety</t>
        </is>
      </c>
    </row>
    <row r="10">
      <c r="A10" s="28" t="n">
        <v>8</v>
      </c>
      <c r="B10" s="10" t="inlineStr">
        <is>
          <t>Will equity issuance remain part of the acquisition playbook, or can future deals be funded without share dilution?</t>
        </is>
      </c>
      <c r="C10" s="10" t="inlineStr">
        <is>
          <t>Per-share value</t>
        </is>
      </c>
    </row>
    <row r="11">
      <c r="A11" s="28" t="n">
        <v>9</v>
      </c>
      <c r="B11" s="10" t="inlineStr">
        <is>
          <t>Do Marriott management and asset scarcity justify a premium multiple even if absolute revenue growth slows to mid-single digits?</t>
        </is>
      </c>
      <c r="C11" s="10" t="inlineStr">
        <is>
          <t>Multiple support</t>
        </is>
      </c>
    </row>
    <row r="12">
      <c r="A12" s="28" t="n">
        <v>10</v>
      </c>
      <c r="B12" s="10" t="inlineStr">
        <is>
          <t>Are deferred revenue and booking indicators still confirming healthy future group demand, or merely reflecting price increases?</t>
        </is>
      </c>
      <c r="C12" s="10" t="inlineStr">
        <is>
          <t>Leading indicators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34" customWidth="1" min="4" max="4"/>
    <col width="64" customWidth="1" min="5" max="5"/>
  </cols>
  <sheetData>
    <row r="1">
      <c r="A1" s="1" t="inlineStr">
        <is>
          <t>Ryman Hospitality Properties (RHP) — Sources</t>
        </is>
      </c>
    </row>
    <row r="2">
      <c r="A2" s="14" t="inlineStr">
        <is>
          <t>Source</t>
        </is>
      </c>
      <c r="B2" s="14" t="inlineStr">
        <is>
          <t>Type</t>
        </is>
      </c>
      <c r="C2" s="14" t="inlineStr">
        <is>
          <t>Date / as-of</t>
        </is>
      </c>
      <c r="D2" s="14" t="inlineStr">
        <is>
          <t>Usage</t>
        </is>
      </c>
      <c r="E2" s="14" t="inlineStr">
        <is>
          <t>URL / note</t>
        </is>
      </c>
    </row>
    <row r="3">
      <c r="A3" s="10" t="inlineStr">
        <is>
          <t>StockAnalysis overview</t>
        </is>
      </c>
      <c r="B3" s="10" t="inlineStr">
        <is>
          <t>Market data</t>
        </is>
      </c>
      <c r="C3" s="10" t="inlineStr">
        <is>
          <t>2026-06-14</t>
        </is>
      </c>
      <c r="D3" s="10" t="inlineStr">
        <is>
          <t>Price, beta, shares, company overview</t>
        </is>
      </c>
      <c r="E3" s="10" t="inlineStr">
        <is>
          <t>https://stockanalysis.com/stocks/rhp/</t>
        </is>
      </c>
    </row>
    <row r="4">
      <c r="A4" s="10" t="inlineStr">
        <is>
          <t>StockAnalysis income statement</t>
        </is>
      </c>
      <c r="B4" s="10" t="inlineStr">
        <is>
          <t>Financial statements</t>
        </is>
      </c>
      <c r="C4" s="10" t="inlineStr">
        <is>
          <t>2026-06-14</t>
        </is>
      </c>
      <c r="D4" s="10" t="inlineStr">
        <is>
          <t>Revenue, margins, EBITDA, EPS</t>
        </is>
      </c>
      <c r="E4" s="10" t="inlineStr">
        <is>
          <t>https://stockanalysis.com/stocks/rhp/financials/</t>
        </is>
      </c>
    </row>
    <row r="5">
      <c r="A5" s="10" t="inlineStr">
        <is>
          <t>StockAnalysis balance sheet</t>
        </is>
      </c>
      <c r="B5" s="10" t="inlineStr">
        <is>
          <t>Financial statements</t>
        </is>
      </c>
      <c r="C5" s="10" t="inlineStr">
        <is>
          <t>2026-06-14</t>
        </is>
      </c>
      <c r="D5" s="10" t="inlineStr">
        <is>
          <t>Cash, debt, assets, equity</t>
        </is>
      </c>
      <c r="E5" s="10" t="inlineStr">
        <is>
          <t>https://stockanalysis.com/stocks/rhp/financials/balance-sheet/</t>
        </is>
      </c>
    </row>
    <row r="6">
      <c r="A6" s="10" t="inlineStr">
        <is>
          <t>StockAnalysis cash flow statement</t>
        </is>
      </c>
      <c r="B6" s="10" t="inlineStr">
        <is>
          <t>Financial statements</t>
        </is>
      </c>
      <c r="C6" s="10" t="inlineStr">
        <is>
          <t>2026-06-14</t>
        </is>
      </c>
      <c r="D6" s="10" t="inlineStr">
        <is>
          <t>OCF, capex, FCF</t>
        </is>
      </c>
      <c r="E6" s="10" t="inlineStr">
        <is>
          <t>https://stockanalysis.com/stocks/rhp/financials/cash-flow-statement/</t>
        </is>
      </c>
    </row>
    <row r="7">
      <c r="A7" s="10" t="inlineStr">
        <is>
          <t>StockAnalysis statistics</t>
        </is>
      </c>
      <c r="B7" s="10" t="inlineStr">
        <is>
          <t>Valuation</t>
        </is>
      </c>
      <c r="C7" s="10" t="inlineStr">
        <is>
          <t>2026-06-14</t>
        </is>
      </c>
      <c r="D7" s="10" t="inlineStr">
        <is>
          <t>Market cap, EV, P/FFO, EV/EBITDA, leverage ratios</t>
        </is>
      </c>
      <c r="E7" s="10" t="inlineStr">
        <is>
          <t>https://stockanalysis.com/stocks/rhp/statistics/</t>
        </is>
      </c>
    </row>
    <row r="8">
      <c r="A8" s="10" t="inlineStr">
        <is>
          <t>StockAnalysis forecast</t>
        </is>
      </c>
      <c r="B8" s="10" t="inlineStr">
        <is>
          <t>Consensus</t>
        </is>
      </c>
      <c r="C8" s="10" t="inlineStr">
        <is>
          <t>2026-06-14</t>
        </is>
      </c>
      <c r="D8" s="10" t="inlineStr">
        <is>
          <t>FY2026 revenue, FFO/share, price targets, ratings</t>
        </is>
      </c>
      <c r="E8" s="10" t="inlineStr">
        <is>
          <t>https://stockanalysis.com/stocks/rhp/forecast/</t>
        </is>
      </c>
    </row>
    <row r="9">
      <c r="A9" s="10" t="inlineStr">
        <is>
          <t>FRED DGS10</t>
        </is>
      </c>
      <c r="B9" s="10" t="inlineStr">
        <is>
          <t>Rate source</t>
        </is>
      </c>
      <c r="C9" s="10" t="inlineStr">
        <is>
          <t>2026-06-11 obs / 2026-06-12 update</t>
        </is>
      </c>
      <c r="D9" s="10" t="inlineStr">
        <is>
          <t>Risk-free rate for WACC</t>
        </is>
      </c>
      <c r="E9" s="10" t="inlineStr">
        <is>
          <t>https://fred.stlouisfed.org/series/DGS10</t>
        </is>
      </c>
    </row>
    <row r="10">
      <c r="A10" s="10" t="inlineStr">
        <is>
          <t>Local research note</t>
        </is>
      </c>
      <c r="B10" s="10" t="inlineStr">
        <is>
          <t>Repo-local research</t>
        </is>
      </c>
      <c r="C10" s="10" t="inlineStr">
        <is>
          <t>2026-06-14</t>
        </is>
      </c>
      <c r="D10" s="10" t="inlineStr">
        <is>
          <t>Cross-check on qualitative framing, debt stack, and questions</t>
        </is>
      </c>
      <c r="E10" s="10" t="inlineStr">
        <is>
          <t>research/RHP.md</t>
        </is>
      </c>
    </row>
    <row r="11">
      <c r="A11" s="10" t="inlineStr">
        <is>
          <t>Ryman Hospitality website</t>
        </is>
      </c>
      <c r="B11" s="10" t="inlineStr">
        <is>
          <t>Company profile</t>
        </is>
      </c>
      <c r="C11" s="10" t="inlineStr">
        <is>
          <t>2026-06-14</t>
        </is>
      </c>
      <c r="D11" s="10" t="inlineStr">
        <is>
          <t>Asset footprint and business description</t>
        </is>
      </c>
      <c r="E11" s="10" t="inlineStr">
        <is>
          <t>https://www.rymanhp.com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2026-06-14T08:44:12Z</dcterms:created>
  <dcterms:modified xsi:type="dcterms:W3CDTF">2026-06-14T08:44:12Z</dcterms:modified>
</cp:coreProperties>
</file>