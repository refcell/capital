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Park Hotels &amp; Resorts Inc. (PK) — Valuation Model</t>
        </is>
      </c>
    </row>
    <row r="2">
      <c r="A2" s="2" t="inlineStr">
        <is>
          <t>Company</t>
        </is>
      </c>
      <c r="B2" t="inlineStr">
        <is>
          <t>Park Hotels &amp; Resorts Inc.</t>
        </is>
      </c>
      <c r="C2" t="inlineStr"/>
    </row>
    <row r="3">
      <c r="A3" s="2" t="inlineStr">
        <is>
          <t>Ticker</t>
        </is>
      </c>
      <c r="B3" t="inlineStr">
        <is>
          <t>PK (NYSE)</t>
        </is>
      </c>
      <c r="C3" t="inlineStr"/>
    </row>
    <row r="4">
      <c r="A4" s="2" t="inlineStr">
        <is>
          <t>Model Date</t>
        </is>
      </c>
      <c r="B4" t="inlineStr">
        <is>
          <t>2026-08-24</t>
        </is>
      </c>
      <c r="C4" t="inlineStr"/>
    </row>
    <row r="5">
      <c r="A5" s="2" t="inlineStr">
        <is>
          <t>Primary Lens</t>
        </is>
      </c>
      <c r="B5" t="inlineStr">
        <is>
          <t>P/FFO (REIT-style)</t>
        </is>
      </c>
      <c r="C5" t="inlineStr">
        <is>
          <t>Heavy property depreciation distorts GAAP NI</t>
        </is>
      </c>
    </row>
    <row r="6">
      <c r="A6" s="2" t="inlineStr">
        <is>
          <t>Stance</t>
        </is>
      </c>
      <c r="B6" t="inlineStr">
        <is>
          <t>Watch / Cautious</t>
        </is>
      </c>
      <c r="C6" t="inlineStr">
        <is>
          <t>Impairment year, capex cycle, recovery uncertain</t>
        </is>
      </c>
    </row>
    <row r="7">
      <c r="A7" t="inlineStr"/>
      <c r="B7" t="inlineStr"/>
      <c r="C7" t="inlineStr"/>
    </row>
    <row r="8">
      <c r="A8" s="2" t="inlineStr">
        <is>
          <t>Stock Price</t>
        </is>
      </c>
      <c r="B8" t="inlineStr">
        <is>
          <t>$15.86</t>
        </is>
      </c>
      <c r="C8" t="inlineStr">
        <is>
          <t>Yahoo Finance, Aug 24, 2026</t>
        </is>
      </c>
    </row>
    <row r="9">
      <c r="A9" s="2" t="inlineStr">
        <is>
          <t>Shares Outstanding</t>
        </is>
      </c>
      <c r="B9" t="inlineStr">
        <is>
          <t>201.34M</t>
        </is>
      </c>
      <c r="C9" t="inlineStr">
        <is>
          <t>Yahoo Key Statistics</t>
        </is>
      </c>
    </row>
    <row r="10">
      <c r="A10" s="2" t="inlineStr">
        <is>
          <t>Market Cap</t>
        </is>
      </c>
      <c r="B10" t="inlineStr">
        <is>
          <t>$3.18B</t>
        </is>
      </c>
      <c r="C10" t="inlineStr">
        <is>
          <t>Intraday, Aug 24, 2026</t>
        </is>
      </c>
    </row>
    <row r="11">
      <c r="A11" s="2" t="inlineStr">
        <is>
          <t>Enterprise Value</t>
        </is>
      </c>
      <c r="B11" t="inlineStr">
        <is>
          <t>$7.02B</t>
        </is>
      </c>
      <c r="C11" t="inlineStr">
        <is>
          <t>Yahoo Key Statistics</t>
        </is>
      </c>
    </row>
    <row r="12">
      <c r="A12" s="2" t="inlineStr">
        <is>
          <t>Net Debt (EV-MC)</t>
        </is>
      </c>
      <c r="B12" t="inlineStr">
        <is>
          <t>$3.84B</t>
        </is>
      </c>
      <c r="C12" t="inlineStr">
        <is>
          <t>Calculated</t>
        </is>
      </c>
    </row>
    <row r="13">
      <c r="A13" s="2" t="inlineStr">
        <is>
          <t>Total Debt</t>
        </is>
      </c>
      <c r="B13" t="inlineStr">
        <is>
          <t>$4.05B</t>
        </is>
      </c>
      <c r="C13" t="inlineStr">
        <is>
          <t>Balance Sheet FY2025</t>
        </is>
      </c>
    </row>
    <row r="14">
      <c r="A14" s="2" t="inlineStr">
        <is>
          <t>Total Cash</t>
        </is>
      </c>
      <c r="B14" t="inlineStr">
        <is>
          <t>$0.30B</t>
        </is>
      </c>
      <c r="C14" t="inlineStr">
        <is>
          <t>Cash Flow TTM</t>
        </is>
      </c>
    </row>
    <row r="15">
      <c r="A15" s="2" t="inlineStr">
        <is>
          <t>Price/FFO (TTM normalized)</t>
        </is>
      </c>
      <c r="B15" t="inlineStr">
        <is>
          <t>5.52x</t>
        </is>
      </c>
      <c r="C15" t="inlineStr">
        <is>
          <t>FFO = OpInc + D&amp;A = $579M</t>
        </is>
      </c>
    </row>
    <row r="16">
      <c r="A16" s="2" t="inlineStr">
        <is>
          <t>P/B</t>
        </is>
      </c>
      <c r="B16" t="inlineStr">
        <is>
          <t>1.03x</t>
        </is>
      </c>
      <c r="C16" t="inlineStr">
        <is>
          <t>Yahoo Key Statistics</t>
        </is>
      </c>
    </row>
    <row r="17">
      <c r="A17" s="2" t="inlineStr">
        <is>
          <t>Forward P/E</t>
        </is>
      </c>
      <c r="B17" t="inlineStr">
        <is>
          <t>41.49x</t>
        </is>
      </c>
      <c r="C17" t="inlineStr">
        <is>
          <t>Yahoo Key Statistics</t>
        </is>
      </c>
    </row>
    <row r="18">
      <c r="A18" s="2" t="inlineStr">
        <is>
          <t>Trailing P/E</t>
        </is>
      </c>
      <c r="B18" t="inlineStr">
        <is>
          <t>42.65x</t>
        </is>
      </c>
      <c r="C18" t="inlineStr">
        <is>
          <t>Structurally distorted by D&amp;A + impairment</t>
        </is>
      </c>
    </row>
    <row r="19">
      <c r="A19" s="2" t="inlineStr">
        <is>
          <t>EV/EBITDA</t>
        </is>
      </c>
      <c r="B19" t="inlineStr">
        <is>
          <t>19.33x</t>
        </is>
      </c>
      <c r="C19" t="inlineStr">
        <is>
          <t>Yahoo Key Statistics (S&amp;P Global)</t>
        </is>
      </c>
    </row>
    <row r="20">
      <c r="A20" s="2" t="inlineStr">
        <is>
          <t>EV/Revenue</t>
        </is>
      </c>
      <c r="B20" t="inlineStr">
        <is>
          <t>2.76x</t>
        </is>
      </c>
      <c r="C20" t="inlineStr">
        <is>
          <t>Yahoo Key Statistics</t>
        </is>
      </c>
    </row>
    <row r="21">
      <c r="A21" s="2" t="inlineStr">
        <is>
          <t>Price/Sales</t>
        </is>
      </c>
      <c r="B21" t="inlineStr">
        <is>
          <t>1.24x</t>
        </is>
      </c>
      <c r="C21" t="inlineStr">
        <is>
          <t>Yahoo Key Statistics</t>
        </is>
      </c>
    </row>
    <row r="22">
      <c r="A22" s="2" t="inlineStr">
        <is>
          <t>P/FFO (using GAAP FFO)</t>
        </is>
      </c>
      <c r="B22" t="inlineStr">
        <is>
          <t>28.5x</t>
        </is>
      </c>
      <c r="C22" t="inlineStr">
        <is>
          <t>CAUTION: GAAP FFO distorted by $252M impairment</t>
        </is>
      </c>
    </row>
    <row r="23">
      <c r="A23" s="2" t="inlineStr">
        <is>
          <t>Dividend Yield</t>
        </is>
      </c>
      <c r="B23" t="inlineStr">
        <is>
          <t>6.34%</t>
        </is>
      </c>
      <c r="C23" t="inlineStr">
        <is>
          <t>Annual DPS $1.00</t>
        </is>
      </c>
    </row>
    <row r="24">
      <c r="A24" s="2" t="inlineStr">
        <is>
          <t>Beta (5Y Monthly)</t>
        </is>
      </c>
      <c r="B24" t="inlineStr">
        <is>
          <t>1.34</t>
        </is>
      </c>
      <c r="C24" t="inlineStr">
        <is>
          <t>Yahoo Key Statistics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WACC — Weighted Average Cost of Capital</t>
        </is>
      </c>
    </row>
    <row r="2">
      <c r="A2" s="2" t="inlineStr">
        <is>
          <t>Risk-Free Rate (10Y US Treasury)</t>
        </is>
      </c>
      <c r="B2" t="inlineStr">
        <is>
          <t>4.716%</t>
        </is>
      </c>
      <c r="C2" t="inlineStr">
        <is>
          <t>CNBC US10Y, Aug 24, 2026</t>
        </is>
      </c>
    </row>
    <row r="3">
      <c r="A3" s="2" t="inlineStr">
        <is>
          <t>Equity Risk Premium</t>
        </is>
      </c>
      <c r="B3" t="inlineStr">
        <is>
          <t>5.0%</t>
        </is>
      </c>
      <c r="C3" t="inlineStr">
        <is>
          <t>Assumed standard</t>
        </is>
      </c>
    </row>
    <row r="4">
      <c r="A4" s="2" t="inlineStr">
        <is>
          <t>Beta (Levered, 5Y Monthly)</t>
        </is>
      </c>
      <c r="B4" t="inlineStr">
        <is>
          <t>1.34</t>
        </is>
      </c>
      <c r="C4" t="inlineStr">
        <is>
          <t>Yahoo Key Statistics</t>
        </is>
      </c>
    </row>
    <row r="5">
      <c r="A5" s="2" t="inlineStr">
        <is>
          <t>Cost of Equity (CAPM)</t>
        </is>
      </c>
      <c r="B5" t="inlineStr">
        <is>
          <t>11.42%</t>
        </is>
      </c>
      <c r="C5">
        <f>4.72 + 1.34×5%</f>
        <v/>
      </c>
    </row>
    <row r="6">
      <c r="A6" s="2" t="inlineStr">
        <is>
          <t>Pre-Tax Cost of Debt</t>
        </is>
      </c>
      <c r="B6" t="inlineStr">
        <is>
          <t>5.5%</t>
        </is>
      </c>
      <c r="C6" t="inlineStr">
        <is>
          <t>Estimate; A-rated hotel CMBS</t>
        </is>
      </c>
    </row>
    <row r="7">
      <c r="A7" s="2" t="inlineStr">
        <is>
          <t>Corporate Tax Rate</t>
        </is>
      </c>
      <c r="B7" t="inlineStr">
        <is>
          <t>21%</t>
        </is>
      </c>
      <c r="C7" t="inlineStr">
        <is>
          <t>US statutory</t>
        </is>
      </c>
    </row>
    <row r="8">
      <c r="A8" s="2" t="inlineStr">
        <is>
          <t>After-Tax Cost of Debt</t>
        </is>
      </c>
      <c r="B8" t="inlineStr">
        <is>
          <t>4.35%</t>
        </is>
      </c>
      <c r="C8">
        <f>5.5%×(1-21%)</f>
        <v/>
      </c>
    </row>
    <row r="9">
      <c r="A9" t="inlineStr"/>
      <c r="B9" t="inlineStr"/>
      <c r="C9" t="inlineStr"/>
    </row>
    <row r="10">
      <c r="A10" s="2" t="inlineStr">
        <is>
          <t>Market Cap (Equity)</t>
        </is>
      </c>
      <c r="B10" t="inlineStr">
        <is>
          <t>$3.18B</t>
        </is>
      </c>
      <c r="C10" t="inlineStr">
        <is>
          <t>Aug 24, 2026</t>
        </is>
      </c>
    </row>
    <row r="11">
      <c r="A11" s="2" t="inlineStr">
        <is>
          <t>Enterprise Value</t>
        </is>
      </c>
      <c r="B11" t="inlineStr">
        <is>
          <t>$7.02B</t>
        </is>
      </c>
      <c r="C11" t="inlineStr">
        <is>
          <t>Aug 24, 2026</t>
        </is>
      </c>
    </row>
    <row r="12">
      <c r="A12" s="2" t="inlineStr">
        <is>
          <t>Equity Weight</t>
        </is>
      </c>
      <c r="B12" t="inlineStr">
        <is>
          <t>0.453</t>
        </is>
      </c>
      <c r="C12" t="inlineStr">
        <is>
          <t>MC/EV = 3.18/EV</t>
        </is>
      </c>
    </row>
    <row r="13">
      <c r="A13" s="2" t="inlineStr">
        <is>
          <t>Debt Weight</t>
        </is>
      </c>
      <c r="B13" t="inlineStr">
        <is>
          <t>0.547</t>
        </is>
      </c>
      <c r="C13" t="inlineStr">
        <is>
          <t>1 - equity weight</t>
        </is>
      </c>
    </row>
    <row r="14">
      <c r="A14" t="inlineStr"/>
      <c r="B14" t="inlineStr"/>
      <c r="C14" t="inlineStr"/>
    </row>
    <row r="15">
      <c r="A15" s="2" t="inlineStr">
        <is>
          <t>WACC</t>
        </is>
      </c>
      <c r="B15" t="inlineStr">
        <is>
          <t>7.55%</t>
        </is>
      </c>
      <c r="C15">
        <f> 0.453×11.4% + 0.547×4.3%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Scenarios — P/FFO Framework (5-Year Projection)</t>
        </is>
      </c>
    </row>
    <row r="2">
      <c r="A2" s="3" t="inlineStr">
        <is>
          <t>Note: PK has massive D&amp;A ($275M TTM) that distorts GAAP earnings. P/FFO is the appropriate valuation lens.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Notes</t>
        </is>
      </c>
    </row>
    <row r="5">
      <c r="A5" s="2" t="inlineStr">
        <is>
          <t>Revenue CAGR (5Y)</t>
        </is>
      </c>
      <c r="B5" t="inlineStr">
        <is>
          <t>0.0%</t>
        </is>
      </c>
      <c r="C5" t="inlineStr">
        <is>
          <t>2.0%</t>
        </is>
      </c>
      <c r="D5" t="inlineStr">
        <is>
          <t>5.0%</t>
        </is>
      </c>
      <c r="E5" t="inlineStr">
        <is>
          <t>Base case = modest hotel REI growth</t>
        </is>
      </c>
    </row>
    <row r="6">
      <c r="A6" s="2" t="inlineStr">
        <is>
          <t>Terminal Revenue (5Y)</t>
        </is>
      </c>
      <c r="B6" t="inlineStr">
        <is>
          <t>$2.5B</t>
        </is>
      </c>
      <c r="C6" t="inlineStr">
        <is>
          <t>$2.8B</t>
        </is>
      </c>
      <c r="D6" t="inlineStr">
        <is>
          <t>$3.2B</t>
        </is>
      </c>
      <c r="E6" t="inlineStr"/>
    </row>
    <row r="7">
      <c r="A7" s="2" t="inlineStr">
        <is>
          <t>Terminal FFO ($M)</t>
        </is>
      </c>
      <c r="B7" t="inlineStr">
        <is>
          <t>$550M</t>
        </is>
      </c>
      <c r="C7" t="inlineStr">
        <is>
          <t>$600M</t>
        </is>
      </c>
      <c r="D7" t="inlineStr">
        <is>
          <t>$680M</t>
        </is>
      </c>
      <c r="E7" t="inlineStr">
        <is>
          <t>OpInc + D&amp;A</t>
        </is>
      </c>
    </row>
    <row r="8">
      <c r="A8" s="2" t="inlineStr">
        <is>
          <t>Terminal FFO/Share ($)</t>
        </is>
      </c>
      <c r="B8" t="inlineStr">
        <is>
          <t>$2.73</t>
        </is>
      </c>
      <c r="C8" t="inlineStr">
        <is>
          <t>$2.98</t>
        </is>
      </c>
      <c r="D8" t="inlineStr">
        <is>
          <t>$3.38</t>
        </is>
      </c>
      <c r="E8" t="inlineStr"/>
    </row>
    <row r="9">
      <c r="A9" s="2" t="inlineStr">
        <is>
          <t>Exit P/FFO Multiple</t>
        </is>
      </c>
      <c r="B9" t="inlineStr">
        <is>
          <t>4.5x</t>
        </is>
      </c>
      <c r="C9" t="inlineStr">
        <is>
          <t>5.5x</t>
        </is>
      </c>
      <c r="D9" t="inlineStr">
        <is>
          <t>7.0x</t>
        </is>
      </c>
      <c r="E9" t="inlineStr">
        <is>
          <t>Operating co. (not REIT); below lodging-REIT norms</t>
        </is>
      </c>
    </row>
    <row r="10">
      <c r="A10" s="2" t="inlineStr">
        <is>
          <t>Implied Price/Share ($)</t>
        </is>
      </c>
      <c r="B10" t="inlineStr">
        <is>
          <t>$12.29</t>
        </is>
      </c>
      <c r="C10" t="inlineStr">
        <is>
          <t>$16.39</t>
        </is>
      </c>
      <c r="D10" t="inlineStr">
        <is>
          <t>$23.64</t>
        </is>
      </c>
      <c r="E10" t="inlineStr">
        <is>
          <t>FFO/share × exit P/FFO</t>
        </is>
      </c>
    </row>
    <row r="11">
      <c r="A11" s="2" t="inlineStr">
        <is>
          <t>Upside from Current Price</t>
        </is>
      </c>
      <c r="B11" t="inlineStr">
        <is>
          <t>-23%</t>
        </is>
      </c>
      <c r="C11" t="inlineStr">
        <is>
          <t>3%</t>
        </is>
      </c>
      <c r="D11" t="inlineStr">
        <is>
          <t>49%</t>
        </is>
      </c>
      <c r="E11" t="inlineStr"/>
    </row>
    <row r="12">
      <c r="A12" s="2" t="inlineStr">
        <is>
          <t>Weight</t>
        </is>
      </c>
      <c r="B12" t="inlineStr">
        <is>
          <t>25%</t>
        </is>
      </c>
      <c r="C12" t="inlineStr">
        <is>
          <t>50%</t>
        </is>
      </c>
      <c r="D12" t="inlineStr">
        <is>
          <t>25%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s="2" t="inlineStr">
        <is>
          <t>Probability-Weighted FV ($/share)</t>
        </is>
      </c>
      <c r="B14" t="inlineStr"/>
      <c r="C14" t="inlineStr"/>
      <c r="D14" t="inlineStr">
        <is>
          <t>$17.18</t>
        </is>
      </c>
      <c r="E14" t="inlineStr">
        <is>
          <t>Sum of weighted</t>
        </is>
      </c>
    </row>
    <row r="15">
      <c r="A15" s="2" t="inlineStr">
        <is>
          <t>Current Price ($)</t>
        </is>
      </c>
      <c r="B15" t="inlineStr"/>
      <c r="C15" t="inlineStr"/>
      <c r="D15" t="inlineStr">
        <is>
          <t>$15.86</t>
        </is>
      </c>
      <c r="E15" t="inlineStr"/>
    </row>
    <row r="16">
      <c r="A16" s="2" t="inlineStr">
        <is>
          <t>Implied Upside</t>
        </is>
      </c>
      <c r="B16" t="inlineStr"/>
      <c r="C16" t="inlineStr"/>
      <c r="D16" t="inlineStr">
        <is>
          <t>8%</t>
        </is>
      </c>
      <c r="E16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Actuals Source Audit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Source</t>
        </is>
      </c>
      <c r="D2" s="4" t="inlineStr">
        <is>
          <t>Date</t>
        </is>
      </c>
    </row>
    <row r="3">
      <c r="A3" s="2" t="inlineStr">
        <is>
          <t>Stock Price</t>
        </is>
      </c>
      <c r="B3" t="inlineStr">
        <is>
          <t>$15.86</t>
        </is>
      </c>
      <c r="C3" t="inlineStr">
        <is>
          <t>Yahoo Finance, /quote/PK/</t>
        </is>
      </c>
      <c r="D3" t="inlineStr">
        <is>
          <t>Aug 24, 2026</t>
        </is>
      </c>
    </row>
    <row r="4">
      <c r="A4" s="2" t="inlineStr">
        <is>
          <t>Market Cap</t>
        </is>
      </c>
      <c r="B4" t="inlineStr">
        <is>
          <t>$3.18B</t>
        </is>
      </c>
      <c r="C4" t="inlineStr">
        <is>
          <t>Yahoo Key Statistics</t>
        </is>
      </c>
      <c r="D4" t="inlineStr">
        <is>
          <t>Aug 24, 2026</t>
        </is>
      </c>
    </row>
    <row r="5">
      <c r="A5" s="2" t="inlineStr">
        <is>
          <t>Enterprise Value</t>
        </is>
      </c>
      <c r="B5" t="inlineStr">
        <is>
          <t>$7.02B</t>
        </is>
      </c>
      <c r="C5" t="inlineStr">
        <is>
          <t>Yahoo Key Statistics</t>
        </is>
      </c>
      <c r="D5" t="inlineStr">
        <is>
          <t>Aug 24, 2026</t>
        </is>
      </c>
    </row>
    <row r="6">
      <c r="A6" s="2" t="inlineStr">
        <is>
          <t>Shares Outstanding</t>
        </is>
      </c>
      <c r="B6" t="inlineStr">
        <is>
          <t>201.34M</t>
        </is>
      </c>
      <c r="C6" t="inlineStr">
        <is>
          <t>Yahoo Key Statistics</t>
        </is>
      </c>
      <c r="D6" t="inlineStr">
        <is>
          <t>Aug 24, 2026</t>
        </is>
      </c>
    </row>
    <row r="7">
      <c r="A7" s="2" t="inlineStr">
        <is>
          <t>Beta (5Y Monthly)</t>
        </is>
      </c>
      <c r="B7" t="inlineStr">
        <is>
          <t>1.34</t>
        </is>
      </c>
      <c r="C7" t="inlineStr">
        <is>
          <t>Yahoo Key Statistics</t>
        </is>
      </c>
      <c r="D7" t="inlineStr">
        <is>
          <t>Aug 24, 2026</t>
        </is>
      </c>
    </row>
    <row r="8">
      <c r="A8" t="inlineStr"/>
      <c r="B8" t="inlineStr"/>
      <c r="C8" t="inlineStr"/>
      <c r="D8" t="inlineStr"/>
    </row>
    <row r="9">
      <c r="A9" s="2" t="inlineStr">
        <is>
          <t>Revenue TTM</t>
        </is>
      </c>
      <c r="B9" t="inlineStr">
        <is>
          <t>$2.541B</t>
        </is>
      </c>
      <c r="C9" t="inlineStr">
        <is>
          <t>Yahoo Financials / Income Statement</t>
        </is>
      </c>
      <c r="D9" t="inlineStr">
        <is>
          <t>TTM</t>
        </is>
      </c>
    </row>
    <row r="10">
      <c r="A10" s="2" t="inlineStr">
        <is>
          <t>Revenue FY2025</t>
        </is>
      </c>
      <c r="B10" t="inlineStr">
        <is>
          <t>$2.541B</t>
        </is>
      </c>
      <c r="C10" t="inlineStr">
        <is>
          <t>Yahoo Financials / Income Statement</t>
        </is>
      </c>
      <c r="D10" t="inlineStr">
        <is>
          <t>12/31/2025</t>
        </is>
      </c>
    </row>
    <row r="11">
      <c r="A11" s="2" t="inlineStr">
        <is>
          <t>Revenue FY2024</t>
        </is>
      </c>
      <c r="B11" t="inlineStr">
        <is>
          <t>$2.599B</t>
        </is>
      </c>
      <c r="C11" t="inlineStr">
        <is>
          <t>Yahoo Financials / Income Statement</t>
        </is>
      </c>
      <c r="D11" t="inlineStr">
        <is>
          <t>12/31/2024</t>
        </is>
      </c>
    </row>
    <row r="12">
      <c r="A12" s="2" t="inlineStr">
        <is>
          <t>Revenue FY2023</t>
        </is>
      </c>
      <c r="B12" t="inlineStr">
        <is>
          <t>$2.698B</t>
        </is>
      </c>
      <c r="C12" t="inlineStr">
        <is>
          <t>Yahoo Financials / Income Statement</t>
        </is>
      </c>
      <c r="D12" t="inlineStr">
        <is>
          <t>12/31/2023</t>
        </is>
      </c>
    </row>
    <row r="13">
      <c r="A13" s="2" t="inlineStr">
        <is>
          <t>Revenue FY2022</t>
        </is>
      </c>
      <c r="B13" t="inlineStr">
        <is>
          <t>$2.501B</t>
        </is>
      </c>
      <c r="C13" t="inlineStr">
        <is>
          <t>Yahoo Financials / Income Statement</t>
        </is>
      </c>
      <c r="D13" t="inlineStr">
        <is>
          <t>12/31/2022</t>
        </is>
      </c>
    </row>
    <row r="14">
      <c r="A14" s="2" t="inlineStr">
        <is>
          <t>Gross Profit TTM</t>
        </is>
      </c>
      <c r="B14" t="inlineStr">
        <is>
          <t>$742M</t>
        </is>
      </c>
      <c r="C14" t="inlineStr">
        <is>
          <t>Yahoo Financials / Income Statement</t>
        </is>
      </c>
      <c r="D14" t="inlineStr">
        <is>
          <t>TTM</t>
        </is>
      </c>
    </row>
    <row r="15">
      <c r="A15" s="2" t="inlineStr">
        <is>
          <t>Operating Income TTM</t>
        </is>
      </c>
      <c r="B15" t="inlineStr">
        <is>
          <t>$304M</t>
        </is>
      </c>
      <c r="C15" t="inlineStr">
        <is>
          <t>Yahoo Financials / Income Statement</t>
        </is>
      </c>
      <c r="D15" t="inlineStr">
        <is>
          <t>TTM</t>
        </is>
      </c>
    </row>
    <row r="16">
      <c r="A16" s="2" t="inlineStr">
        <is>
          <t>Net Income TTM</t>
        </is>
      </c>
      <c r="B16" t="inlineStr">
        <is>
          <t>-$163M</t>
        </is>
      </c>
      <c r="C16" t="inlineStr">
        <is>
          <t>Yahoo Financials / Income Statement</t>
        </is>
      </c>
      <c r="D16" t="inlineStr">
        <is>
          <t>TTM</t>
        </is>
      </c>
    </row>
    <row r="17">
      <c r="A17" s="2" t="inlineStr">
        <is>
          <t>EBITDA TTM</t>
        </is>
      </c>
      <c r="B17" t="inlineStr">
        <is>
          <t>$363M</t>
        </is>
      </c>
      <c r="C17" t="inlineStr">
        <is>
          <t>Yahoo Financials / Income Statement</t>
        </is>
      </c>
      <c r="D17" t="inlineStr">
        <is>
          <t>TTM</t>
        </is>
      </c>
    </row>
    <row r="18">
      <c r="A18" s="2" t="inlineStr">
        <is>
          <t>Normalized EBITDA TTM</t>
        </is>
      </c>
      <c r="B18" t="inlineStr">
        <is>
          <t>$615M</t>
        </is>
      </c>
      <c r="C18" t="inlineStr">
        <is>
          <t>Yahoo Financials / Income Statement</t>
        </is>
      </c>
      <c r="D18" t="inlineStr">
        <is>
          <t>TTM</t>
        </is>
      </c>
    </row>
    <row r="19">
      <c r="A19" s="2" t="inlineStr">
        <is>
          <t>D&amp;A TTM</t>
        </is>
      </c>
      <c r="B19" t="inlineStr">
        <is>
          <t>$275M</t>
        </is>
      </c>
      <c r="C19" t="inlineStr">
        <is>
          <t>Yahoo Financials / Income Statement</t>
        </is>
      </c>
      <c r="D19" t="inlineStr">
        <is>
          <t>TTM</t>
        </is>
      </c>
    </row>
    <row r="20">
      <c r="A20" t="inlineStr"/>
      <c r="B20" t="inlineStr"/>
      <c r="C20" t="inlineStr"/>
      <c r="D20" t="inlineStr"/>
    </row>
    <row r="21">
      <c r="A21" s="2" t="inlineStr">
        <is>
          <t>Total Assets (FY25)</t>
        </is>
      </c>
      <c r="B21" t="inlineStr">
        <is>
          <t>$7.700B</t>
        </is>
      </c>
      <c r="C21" t="inlineStr">
        <is>
          <t>Yahoo Balance Sheet</t>
        </is>
      </c>
      <c r="D21" t="inlineStr">
        <is>
          <t>12/31/2025</t>
        </is>
      </c>
    </row>
    <row r="22">
      <c r="A22" s="2" t="inlineStr">
        <is>
          <t>Total Debt (FY25)</t>
        </is>
      </c>
      <c r="B22" t="inlineStr">
        <is>
          <t>$4.047B</t>
        </is>
      </c>
      <c r="C22" t="inlineStr">
        <is>
          <t>Yahoo Balance Sheet</t>
        </is>
      </c>
      <c r="D22" t="inlineStr">
        <is>
          <t>12/31/2025</t>
        </is>
      </c>
    </row>
    <row r="23">
      <c r="A23" s="2" t="inlineStr">
        <is>
          <t>Total Cash (TTM End)</t>
        </is>
      </c>
      <c r="B23" t="inlineStr">
        <is>
          <t>$302M</t>
        </is>
      </c>
      <c r="C23" t="inlineStr">
        <is>
          <t>Yahoo Cash Flow Statement</t>
        </is>
      </c>
      <c r="D23" t="inlineStr">
        <is>
          <t>TTM</t>
        </is>
      </c>
    </row>
    <row r="24">
      <c r="A24" s="2" t="inlineStr">
        <is>
          <t>Common Equity (FY25)</t>
        </is>
      </c>
      <c r="B24" t="inlineStr">
        <is>
          <t>$3.131B</t>
        </is>
      </c>
      <c r="C24" t="inlineStr">
        <is>
          <t>Yahoo Balance Sheet</t>
        </is>
      </c>
      <c r="D24" t="inlineStr">
        <is>
          <t>12/31/2025</t>
        </is>
      </c>
    </row>
    <row r="25">
      <c r="A25" s="2" t="inlineStr">
        <is>
          <t>Net Tangible Assets (FY25)</t>
        </is>
      </c>
      <c r="B25" t="inlineStr">
        <is>
          <t>$3.090B</t>
        </is>
      </c>
      <c r="C25" t="inlineStr">
        <is>
          <t>Yahoo Balance Sheet</t>
        </is>
      </c>
      <c r="D25" t="inlineStr">
        <is>
          <t>12/31/2025</t>
        </is>
      </c>
    </row>
    <row r="26">
      <c r="A26" s="2" t="inlineStr">
        <is>
          <t>Book Value/Share (MRQ)</t>
        </is>
      </c>
      <c r="B26" t="inlineStr">
        <is>
          <t>$15.35</t>
        </is>
      </c>
      <c r="C26" t="inlineStr">
        <is>
          <t>Yahoo Key Statistics</t>
        </is>
      </c>
      <c r="D26" t="inlineStr">
        <is>
          <t>6/30/2026</t>
        </is>
      </c>
    </row>
    <row r="27">
      <c r="A27" s="2" t="inlineStr">
        <is>
          <t>Debt/Equity (MRQ)</t>
        </is>
      </c>
      <c r="B27" t="inlineStr">
        <is>
          <t>135.25%</t>
        </is>
      </c>
      <c r="C27" t="inlineStr">
        <is>
          <t>Yahoo Key Statistics</t>
        </is>
      </c>
      <c r="D27" t="inlineStr">
        <is>
          <t>6/30/2026</t>
        </is>
      </c>
    </row>
    <row r="28">
      <c r="A28" t="inlineStr"/>
      <c r="B28" t="inlineStr"/>
      <c r="C28" t="inlineStr"/>
      <c r="D28" t="inlineStr"/>
    </row>
    <row r="29">
      <c r="A29" s="2" t="inlineStr">
        <is>
          <t>OCF TTM</t>
        </is>
      </c>
      <c r="B29" t="inlineStr">
        <is>
          <t>$404M</t>
        </is>
      </c>
      <c r="C29" t="inlineStr">
        <is>
          <t>Yahoo Cash Flow Statement</t>
        </is>
      </c>
      <c r="D29" t="inlineStr">
        <is>
          <t>TTM</t>
        </is>
      </c>
    </row>
    <row r="30">
      <c r="A30" s="2" t="inlineStr">
        <is>
          <t>CapEx TTM</t>
        </is>
      </c>
      <c r="B30" t="inlineStr">
        <is>
          <t>$323M</t>
        </is>
      </c>
      <c r="C30" t="inlineStr">
        <is>
          <t>Yahoo Cash Flow Statement</t>
        </is>
      </c>
      <c r="D30" t="inlineStr">
        <is>
          <t>TTM</t>
        </is>
      </c>
    </row>
    <row r="31">
      <c r="A31" s="2" t="inlineStr">
        <is>
          <t>FCF TTM</t>
        </is>
      </c>
      <c r="B31" t="inlineStr">
        <is>
          <t>$81M</t>
        </is>
      </c>
      <c r="C31" t="inlineStr">
        <is>
          <t>Yahoo Cash Flow Statement</t>
        </is>
      </c>
      <c r="D31" t="inlineStr">
        <is>
          <t>TTM</t>
        </is>
      </c>
    </row>
    <row r="32">
      <c r="A32" s="2" t="inlineStr">
        <is>
          <t>Levered FCF (Yahoo)</t>
        </is>
      </c>
      <c r="B32" t="inlineStr">
        <is>
          <t>$1.07B</t>
        </is>
      </c>
      <c r="C32" t="inlineStr">
        <is>
          <t>Yahoo Key Statistics</t>
        </is>
      </c>
      <c r="D32" t="inlineStr">
        <is>
          <t>TTM — likely includes portfolio activity</t>
        </is>
      </c>
    </row>
    <row r="33">
      <c r="A33" t="inlineStr"/>
      <c r="B33" t="inlineStr"/>
      <c r="C33" t="inlineStr"/>
      <c r="D33" t="inlineStr"/>
    </row>
    <row r="34">
      <c r="A34" s="2" t="inlineStr">
        <is>
          <t>Analyst EPS FY26</t>
        </is>
      </c>
      <c r="B34" t="inlineStr">
        <is>
          <t>$0.54</t>
        </is>
      </c>
      <c r="C34" t="inlineStr">
        <is>
          <t>Yahoo Analysis — Normalized</t>
        </is>
      </c>
      <c r="D34" t="inlineStr">
        <is>
          <t>Aug 24, 2026</t>
        </is>
      </c>
    </row>
    <row r="35">
      <c r="A35" s="2" t="inlineStr">
        <is>
          <t>Analyst EPS FY27</t>
        </is>
      </c>
      <c r="B35" t="inlineStr">
        <is>
          <t>$0.56</t>
        </is>
      </c>
      <c r="C35" t="inlineStr">
        <is>
          <t>Yahoo Analysis — Normalized</t>
        </is>
      </c>
      <c r="D35" t="inlineStr">
        <is>
          <t>Aug 24, 2026</t>
        </is>
      </c>
    </row>
    <row r="36">
      <c r="A36" s="2" t="inlineStr">
        <is>
          <t>Analyst Revenue FY26</t>
        </is>
      </c>
      <c r="B36" t="inlineStr">
        <is>
          <t>$2.53B</t>
        </is>
      </c>
      <c r="C36" t="inlineStr">
        <is>
          <t>Yahoo Analysis</t>
        </is>
      </c>
      <c r="D36" t="inlineStr">
        <is>
          <t>Aug 24, 2026</t>
        </is>
      </c>
    </row>
    <row r="37">
      <c r="A37" s="2" t="inlineStr">
        <is>
          <t>Analyst Revenue FY27</t>
        </is>
      </c>
      <c r="B37" t="inlineStr">
        <is>
          <t>$2.58B</t>
        </is>
      </c>
      <c r="C37" t="inlineStr">
        <is>
          <t>Yahoo Analysis</t>
        </is>
      </c>
      <c r="D37" t="inlineStr">
        <is>
          <t>Aug 24, 2026</t>
        </is>
      </c>
    </row>
    <row r="38">
      <c r="A38" s="2" t="inlineStr">
        <is>
          <t>No. of Analysts (EPS FY26)</t>
        </is>
      </c>
      <c r="B38" t="inlineStr">
        <is>
          <t>11</t>
        </is>
      </c>
      <c r="C38" t="inlineStr">
        <is>
          <t>Yahoo Analysis</t>
        </is>
      </c>
      <c r="D38" t="inlineStr">
        <is>
          <t>Aug 24, 2026</t>
        </is>
      </c>
    </row>
    <row r="39">
      <c r="A39" s="2" t="inlineStr">
        <is>
          <t>No. of Analysts (EPS FY27)</t>
        </is>
      </c>
      <c r="B39" t="inlineStr">
        <is>
          <t>15</t>
        </is>
      </c>
      <c r="C39" t="inlineStr">
        <is>
          <t>Yahoo Analysis</t>
        </is>
      </c>
      <c r="D39" t="inlineStr">
        <is>
          <t>Aug 24, 2026</t>
        </is>
      </c>
    </row>
    <row r="40">
      <c r="A40" t="inlineStr"/>
      <c r="B40" t="inlineStr"/>
      <c r="C40" t="inlineStr"/>
      <c r="D40" t="inlineStr"/>
    </row>
    <row r="41">
      <c r="A41" s="2" t="inlineStr">
        <is>
          <t>Forward P/E</t>
        </is>
      </c>
      <c r="B41" t="inlineStr">
        <is>
          <t>41.49x</t>
        </is>
      </c>
      <c r="C41" t="inlineStr">
        <is>
          <t>Yahoo Key Statistics</t>
        </is>
      </c>
      <c r="D41" t="inlineStr">
        <is>
          <t>Aug 24, 2026</t>
        </is>
      </c>
    </row>
    <row r="42">
      <c r="A42" s="2" t="inlineStr">
        <is>
          <t>Trailing P/E</t>
        </is>
      </c>
      <c r="B42" t="inlineStr">
        <is>
          <t>42.65x</t>
        </is>
      </c>
      <c r="C42" t="inlineStr">
        <is>
          <t>Yahoo Key Statistics</t>
        </is>
      </c>
      <c r="D42" t="inlineStr">
        <is>
          <t>Aug 24, 2026</t>
        </is>
      </c>
    </row>
    <row r="43">
      <c r="A43" s="2" t="inlineStr">
        <is>
          <t>P/B</t>
        </is>
      </c>
      <c r="B43" t="inlineStr">
        <is>
          <t>1.03x</t>
        </is>
      </c>
      <c r="C43" t="inlineStr">
        <is>
          <t>Yahoo Key Statistics</t>
        </is>
      </c>
      <c r="D43" t="inlineStr">
        <is>
          <t>Aug 24, 2026</t>
        </is>
      </c>
    </row>
    <row r="44">
      <c r="A44" s="2" t="inlineStr">
        <is>
          <t>EV/EBITDA</t>
        </is>
      </c>
      <c r="B44" t="inlineStr">
        <is>
          <t>19.33x</t>
        </is>
      </c>
      <c r="C44" t="inlineStr">
        <is>
          <t>Yahoo Key Statistics (S&amp;P Global)</t>
        </is>
      </c>
      <c r="D44" t="inlineStr">
        <is>
          <t>Aug 24, 2026</t>
        </is>
      </c>
    </row>
    <row r="45">
      <c r="A45" s="2" t="inlineStr">
        <is>
          <t>Dividend Yield</t>
        </is>
      </c>
      <c r="B45" t="inlineStr">
        <is>
          <t>6.34%</t>
        </is>
      </c>
      <c r="C45" t="inlineStr">
        <is>
          <t>Yahoo Key Statistics</t>
        </is>
      </c>
      <c r="D45" t="inlineStr">
        <is>
          <t>Aug 24, 2026</t>
        </is>
      </c>
    </row>
    <row r="46">
      <c r="A46" s="2" t="inlineStr">
        <is>
          <t>10Y Treasury Yield</t>
        </is>
      </c>
      <c r="B46" t="inlineStr">
        <is>
          <t>4.716%</t>
        </is>
      </c>
      <c r="C46" t="inlineStr">
        <is>
          <t>CNBC US10Y</t>
        </is>
      </c>
      <c r="D46" t="inlineStr">
        <is>
          <t>Aug 24, 2026</t>
        </is>
      </c>
    </row>
    <row r="47">
      <c r="A47" s="2" t="inlineStr">
        <is>
          <t>Next Earnings Date</t>
        </is>
      </c>
      <c r="B47" t="inlineStr">
        <is>
          <t>Unknown — Q3 FY26 expected Oct 2026</t>
        </is>
      </c>
      <c r="C47" t="inlineStr">
        <is>
          <t>Yahoo Analysis</t>
        </is>
      </c>
      <c r="D47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5" customWidth="1" min="3" max="3"/>
  </cols>
  <sheetData>
    <row r="1">
      <c r="A1" s="1" t="inlineStr">
        <is>
          <t>Open Questions</t>
        </is>
      </c>
    </row>
    <row r="2">
      <c r="A2" s="2" t="inlineStr">
        <is>
          <t>1</t>
        </is>
      </c>
      <c r="B2" t="inlineStr">
        <is>
          <t>Why did total assets drop $1.46B from FY2024 ($9.161B) to FY2025 ($7.700B)? This appears to be a $259M impairment charge plus balance sheet normalization — what properties were written down?</t>
        </is>
      </c>
      <c r="C2" t="inlineStr">
        <is>
          <t>Impairment / Asset write-down</t>
        </is>
      </c>
    </row>
    <row r="3">
      <c r="A3" s="2" t="inlineStr">
        <is>
          <t>2</t>
        </is>
      </c>
      <c r="B3" t="inlineStr">
        <is>
          <t>Why did normalized EBITDA collapse from $642M in FY2024 to $592M in FY2025, and further to $615M TTM? What drives the gap between reported EBITDA ($363M TTM) and normalized EBITDA ($615M TTM)?</t>
        </is>
      </c>
      <c r="C3" t="inlineStr">
        <is>
          <t>Earnings normalization</t>
        </is>
      </c>
    </row>
    <row r="4">
      <c r="A4" s="2" t="inlineStr">
        <is>
          <t>3</t>
        </is>
      </c>
      <c r="B4" t="inlineStr">
        <is>
          <t>PK elected out of REIT status in June 2016 to access capital markets and pursue acquisitions. Does this mean PK is NOT valued as a REIT by the market? If so, is P/FFO still the right lens or should we use EV/EBITDA?</t>
        </is>
      </c>
      <c r="C4" t="inlineStr">
        <is>
          <t>REIT classification</t>
        </is>
      </c>
    </row>
    <row r="5">
      <c r="A5" s="2" t="inlineStr">
        <is>
          <t>4</t>
        </is>
      </c>
      <c r="B5" t="inlineStr">
        <is>
          <t>The CapEx TTM ($323M) exceeds CapEx FY2022 ($168M) by nearly 2x — is this a renovation cycle, acquisition-related capex, or structural increase? When does the cycle end?</t>
        </is>
      </c>
      <c r="C5" t="inlineStr">
        <is>
          <t>Capex cycle</t>
        </is>
      </c>
    </row>
    <row r="6">
      <c r="A6" s="2" t="inlineStr">
        <is>
          <t>5</t>
        </is>
      </c>
      <c r="B6" t="inlineStr">
        <is>
          <t>Levered FCF on Yahoo Key Statistics shows $1.07B but FCF on the cash flow statement is only $81M. The $1B difference likely includes investing inflows from property dispositions or portfolio management. What comprises Levered FCF?</t>
        </is>
      </c>
      <c r="C6" t="inlineStr">
        <is>
          <t>FCF discrepancy</t>
        </is>
      </c>
    </row>
    <row r="7">
      <c r="A7" s="2" t="inlineStr">
        <is>
          <t>6</t>
        </is>
      </c>
      <c r="B7" t="inlineStr">
        <is>
          <t>Shares outstanding: BS shows 199,901K ordinary shares but Key Statistics says 201.34M. The difference may include treasury shares. Which is the correct denominator?</t>
        </is>
      </c>
      <c r="C7" t="inlineStr">
        <is>
          <t>Share count</t>
        </is>
      </c>
    </row>
    <row r="8">
      <c r="A8" s="2" t="inlineStr">
        <is>
          <t>7</t>
        </is>
      </c>
      <c r="B8" t="inlineStr">
        <is>
          <t>Management has been repurchasing shares ($45M TTM, $116M FY2025, $180M FY2024, $227M FY2023). At current prices (~$15.86) vs. book value ($15.35), is the buyback accretive to BVPS?</t>
        </is>
      </c>
      <c r="C8" t="inlineStr">
        <is>
          <t>Buyback analysis</t>
        </is>
      </c>
    </row>
    <row r="9">
      <c r="A9" s="2" t="inlineStr">
        <is>
          <t>8</t>
        </is>
      </c>
      <c r="B9" t="inlineStr">
        <is>
          <t>The $259M impairment in FY2025 was for the W. Detroit (Detroit, MI) hotel project that was abandoned. Are there other distressed assets in the portfolio that could face further write-downs?</t>
        </is>
      </c>
      <c r="C9" t="inlineStr">
        <is>
          <t>Portfolio risk</t>
        </is>
      </c>
    </row>
    <row r="10">
      <c r="A10" s="2" t="inlineStr">
        <is>
          <t>9</t>
        </is>
      </c>
      <c r="B10" t="inlineStr">
        <is>
          <t>What is the debt maturity profile? PK has $4.05B total debt — what comes due in 2027-2029 and at what rates? Refinancing risk?</t>
        </is>
      </c>
      <c r="C10" t="inlineStr">
        <is>
          <t>Debt maturity</t>
        </is>
      </c>
    </row>
    <row r="11">
      <c r="A11" s="2" t="inlineStr">
        <is>
          <t>10</t>
        </is>
      </c>
      <c r="B11" t="inlineStr">
        <is>
          <t>PK's portfolio spans 90+ properties across 37 states. Any concentration risk by geography, brand (Marriott, Hilton, Hyatt, IHG), or segment (full-service vs. extended-stay)?</t>
        </is>
      </c>
      <c r="C11" t="inlineStr">
        <is>
          <t>Portfolio concentration</t>
        </is>
      </c>
    </row>
    <row r="12">
      <c r="A12" s="2" t="inlineStr">
        <is>
          <t>11</t>
        </is>
      </c>
      <c r="B12" t="inlineStr">
        <is>
          <t>The dividend yield is 6.34% at $1.00/share. With OCF of $404M and 201.34M shares, dividends consume ~$201M. What's the AFFO coverage ratio?</t>
        </is>
      </c>
      <c r="C12" t="inlineStr">
        <is>
          <t>Dividend sustainability</t>
        </is>
      </c>
    </row>
    <row r="13">
      <c r="A13" s="2" t="inlineStr">
        <is>
          <t>12</t>
        </is>
      </c>
      <c r="B13" t="inlineStr">
        <is>
          <t>Recent earnings beats in Q1 and Q2 FY2026 (+38%, +48%) contrast with massive misses in Q3/Q4 FY25. What drove the turnaround? Normalization of occupancy/revenue per available room (RevPAR)?</t>
        </is>
      </c>
      <c r="C13" t="inlineStr">
        <is>
          <t>Earnings quality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40" customWidth="1" min="3" max="3"/>
  </cols>
  <sheetData>
    <row r="1">
      <c r="A1" s="1" t="inlineStr">
        <is>
          <t>Sources</t>
        </is>
      </c>
    </row>
    <row r="2">
      <c r="A2" s="2" t="inlineStr">
        <is>
          <t>1</t>
        </is>
      </c>
      <c r="B2" t="inlineStr">
        <is>
          <t>Yahoo Finance — PK quote page: https://finance.yahoo.com/quote/PK/</t>
        </is>
      </c>
      <c r="C2" t="inlineStr">
        <is>
          <t>Price, market cap, volume, range</t>
        </is>
      </c>
    </row>
    <row r="3">
      <c r="A3" s="2" t="inlineStr">
        <is>
          <t>2</t>
        </is>
      </c>
      <c r="B3" t="inlineStr">
        <is>
          <t>Yahoo Finance — PK profile: https://finance.yahoo.com/quote/PK/profile/</t>
        </is>
      </c>
      <c r="C3" t="inlineStr">
        <is>
          <t>Company description, executives, sector</t>
        </is>
      </c>
    </row>
    <row r="4">
      <c r="A4" s="2" t="inlineStr">
        <is>
          <t>3</t>
        </is>
      </c>
      <c r="B4" t="inlineStr">
        <is>
          <t>Yahoo Finance — PK financials (Income Statement): https://finance.yahoo.com/quote/PK/financials/</t>
        </is>
      </c>
      <c r="C4" t="inlineStr">
        <is>
          <t>Revenue, COGS, gross profit, operating income, EBITDA, net income, D&amp;A</t>
        </is>
      </c>
    </row>
    <row r="5">
      <c r="A5" s="2" t="inlineStr">
        <is>
          <t>4</t>
        </is>
      </c>
      <c r="B5" t="inlineStr">
        <is>
          <t>Yahoo Finance — PK balance sheet: https://finance.yahoo.com/quote/PK/balance-sheet/</t>
        </is>
      </c>
      <c r="C5" t="inlineStr">
        <is>
          <t>Assets, liabilities, debt, equity, book value</t>
        </is>
      </c>
    </row>
    <row r="6">
      <c r="A6" s="2" t="inlineStr">
        <is>
          <t>5</t>
        </is>
      </c>
      <c r="B6" t="inlineStr">
        <is>
          <t>Yahoo Finance — PK cash flow: https://finance.yahoo.com/quote/PK/cash-flow/</t>
        </is>
      </c>
      <c r="C6" t="inlineStr">
        <is>
          <t>OCF, CapEx, FCF, investing/financing CF</t>
        </is>
      </c>
    </row>
    <row r="7">
      <c r="A7" s="2" t="inlineStr">
        <is>
          <t>6</t>
        </is>
      </c>
      <c r="B7" t="inlineStr">
        <is>
          <t>Yahoo Finance — PK key statistics: https://finance.yahoo.com/quote/PK/key-statistics/</t>
        </is>
      </c>
      <c r="C7" t="inlineStr">
        <is>
          <t>Valuation multiples, beta, P/B, forward P/E, EV/EBITDA, shares</t>
        </is>
      </c>
    </row>
    <row r="8">
      <c r="A8" s="2" t="inlineStr">
        <is>
          <t>7</t>
        </is>
      </c>
      <c r="B8" t="inlineStr">
        <is>
          <t>Yahoo Finance — PK analysis: https://finance.yahoo.com/quote/PK/analysis/</t>
        </is>
      </c>
      <c r="C8" t="inlineStr">
        <is>
          <t>Analyst estimates, EPS trends, revisions</t>
        </is>
      </c>
    </row>
    <row r="9">
      <c r="A9" s="2" t="inlineStr">
        <is>
          <t>8</t>
        </is>
      </c>
      <c r="B9" t="inlineStr">
        <is>
          <t>CNBC — US10Y: https://www.cnbc.com/quotes/US10Y</t>
        </is>
      </c>
      <c r="C9" t="inlineStr">
        <is>
          <t>10Y Treasury yield for WACC</t>
        </is>
      </c>
    </row>
    <row r="10">
      <c r="A10" s="2" t="inlineStr">
        <is>
          <t>9</t>
        </is>
      </c>
      <c r="B10" t="inlineStr">
        <is>
          <t>StockAnalysis — PK: https://stockanalysis.com/quote/PK/</t>
        </is>
      </c>
      <c r="C10" t="inlineStr">
        <is>
          <t>404 — unavailable</t>
        </is>
      </c>
    </row>
    <row r="11">
      <c r="A11" s="2" t="inlineStr">
        <is>
          <t>10</t>
        </is>
      </c>
      <c r="B11" t="inlineStr">
        <is>
          <t>Yahoo Finance related tickers (APLE, HST, PEB, SHO, RLJ, SVC, INN, CLDT, RHP)</t>
        </is>
      </c>
      <c r="C11" t="inlineStr">
        <is>
          <t>Peer group for lodging REIT comparison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2026-08-25T03:10:41Z</dcterms:created>
  <dcterms:modified xsi:type="dcterms:W3CDTF">2026-08-25T03:10:41Z</dcterms:modified>
</cp:coreProperties>
</file>