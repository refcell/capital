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luation" sheetId="1" state="visible" r:id="rId1"/>
    <sheet name="Questions" sheetId="2" state="visible" r:id="rId2"/>
    <sheet name="Alibaba Actuals Update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7">
    <numFmt numFmtId="164" formatCode="m/d/yyyy"/>
    <numFmt numFmtId="165" formatCode="&quot;$&quot;#,##0.00"/>
    <numFmt numFmtId="166" formatCode="0.0%"/>
    <numFmt numFmtId="167" formatCode="[$¥]#,##0.00"/>
    <numFmt numFmtId="168" formatCode="[$¥]#,##0"/>
    <numFmt numFmtId="169" formatCode="&quot;$&quot;#,##0"/>
    <numFmt numFmtId="170" formatCode="0.0000"/>
  </numFmts>
  <fonts count="10">
    <font>
      <name val="Arial"/>
      <color rgb="FF000000"/>
      <sz val="10"/>
      <scheme val="minor"/>
    </font>
    <font>
      <name val="Arial"/>
      <color theme="1"/>
      <scheme val="minor"/>
    </font>
    <font>
      <name val="Helvetica Neue"/>
      <b val="1"/>
      <color theme="1"/>
    </font>
    <font>
      <name val="Helvetica Neue"/>
      <color theme="1"/>
    </font>
    <font>
      <name val="Helvetica Neue"/>
      <color theme="1"/>
      <sz val="9"/>
    </font>
    <font>
      <name val="&quot;docs-Helvetica Neue&quot;"/>
      <color rgb="FF000000"/>
    </font>
    <font>
      <name val="Arial"/>
      <b val="1"/>
      <color theme="1"/>
    </font>
    <font>
      <name val="Arial"/>
      <color theme="1"/>
    </font>
    <font>
      <name val="Arial"/>
      <color rgb="FF000000"/>
    </font>
    <font>
      <b val="1"/>
      <color rgb="00FFFFFF"/>
    </font>
  </fonts>
  <fills count="13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0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2" fillId="2" borderId="1" pivotButton="0" quotePrefix="0" xfId="0"/>
    <xf numFmtId="164" fontId="3" fillId="2" borderId="2" pivotButton="0" quotePrefix="0" xfId="0"/>
    <xf numFmtId="0" fontId="3" fillId="0" borderId="0" pivotButton="0" quotePrefix="0" xfId="0"/>
    <xf numFmtId="0" fontId="4" fillId="3" borderId="1" pivotButton="0" quotePrefix="0" xfId="0"/>
    <xf numFmtId="0" fontId="2" fillId="3" borderId="3" applyAlignment="1" pivotButton="0" quotePrefix="0" xfId="0">
      <alignment horizontal="right" vertical="bottom"/>
    </xf>
    <xf numFmtId="0" fontId="2" fillId="3" borderId="2" applyAlignment="1" pivotButton="0" quotePrefix="0" xfId="0">
      <alignment horizontal="right" vertical="bottom"/>
    </xf>
    <xf numFmtId="0" fontId="3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10" fontId="3" fillId="0" borderId="0" pivotButton="0" quotePrefix="0" xfId="0"/>
    <xf numFmtId="165" fontId="3" fillId="0" borderId="0" pivotButton="0" quotePrefix="0" xfId="0"/>
    <xf numFmtId="165" fontId="3" fillId="0" borderId="0" pivotButton="0" quotePrefix="0" xfId="0"/>
    <xf numFmtId="3" fontId="3" fillId="4" borderId="4" pivotButton="0" quotePrefix="0" xfId="0"/>
    <xf numFmtId="3" fontId="3" fillId="4" borderId="5" pivotButton="0" quotePrefix="0" xfId="0"/>
    <xf numFmtId="3" fontId="3" fillId="4" borderId="6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bottom"/>
    </xf>
    <xf numFmtId="10" fontId="3" fillId="4" borderId="7" pivotButton="0" quotePrefix="0" xfId="0"/>
    <xf numFmtId="10" fontId="3" fillId="4" borderId="0" pivotButton="0" quotePrefix="0" xfId="0"/>
    <xf numFmtId="10" fontId="3" fillId="4" borderId="8" pivotButton="0" quotePrefix="0" xfId="0"/>
    <xf numFmtId="4" fontId="3" fillId="4" borderId="7" pivotButton="0" quotePrefix="0" xfId="0"/>
    <xf numFmtId="4" fontId="3" fillId="4" borderId="0" pivotButton="0" quotePrefix="0" xfId="0"/>
    <xf numFmtId="4" fontId="3" fillId="4" borderId="8" pivotButton="0" quotePrefix="0" xfId="0"/>
    <xf numFmtId="3" fontId="3" fillId="0" borderId="0" pivotButton="0" quotePrefix="0" xfId="0"/>
    <xf numFmtId="166" fontId="3" fillId="4" borderId="7" pivotButton="0" quotePrefix="0" xfId="0"/>
    <xf numFmtId="166" fontId="3" fillId="4" borderId="0" pivotButton="0" quotePrefix="0" xfId="0"/>
    <xf numFmtId="166" fontId="3" fillId="4" borderId="8" pivotButton="0" quotePrefix="0" xfId="0"/>
    <xf numFmtId="3" fontId="3" fillId="4" borderId="7" pivotButton="0" quotePrefix="0" xfId="0"/>
    <xf numFmtId="3" fontId="3" fillId="4" borderId="0" pivotButton="0" quotePrefix="0" xfId="0"/>
    <xf numFmtId="3" fontId="3" fillId="4" borderId="8" pivotButton="0" quotePrefix="0" xfId="0"/>
    <xf numFmtId="0" fontId="2" fillId="0" borderId="0" applyAlignment="1" pivotButton="0" quotePrefix="0" xfId="0">
      <alignment vertical="bottom" wrapText="1"/>
    </xf>
    <xf numFmtId="4" fontId="3" fillId="4" borderId="7" applyAlignment="1" pivotButton="0" quotePrefix="0" xfId="0">
      <alignment horizontal="right"/>
    </xf>
    <xf numFmtId="4" fontId="3" fillId="4" borderId="0" applyAlignment="1" pivotButton="0" quotePrefix="0" xfId="0">
      <alignment horizontal="right"/>
    </xf>
    <xf numFmtId="4" fontId="3" fillId="4" borderId="0" applyAlignment="1" pivotButton="0" quotePrefix="0" xfId="0">
      <alignment vertical="top" wrapText="1"/>
    </xf>
    <xf numFmtId="4" fontId="3" fillId="4" borderId="8" applyAlignment="1" pivotButton="0" quotePrefix="0" xfId="0">
      <alignment vertical="top" wrapText="1"/>
    </xf>
    <xf numFmtId="4" fontId="3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vertical="bottom" wrapText="1"/>
    </xf>
    <xf numFmtId="4" fontId="3" fillId="4" borderId="8" applyAlignment="1" pivotButton="0" quotePrefix="0" xfId="0">
      <alignment horizontal="right"/>
    </xf>
    <xf numFmtId="4" fontId="3" fillId="0" borderId="0" pivotButton="0" quotePrefix="0" xfId="0"/>
    <xf numFmtId="3" fontId="3" fillId="4" borderId="0" applyAlignment="1" pivotButton="0" quotePrefix="0" xfId="0">
      <alignment vertical="top" wrapText="1"/>
    </xf>
    <xf numFmtId="3" fontId="3" fillId="4" borderId="8" applyAlignment="1" pivotButton="0" quotePrefix="0" xfId="0">
      <alignment vertical="top" wrapText="1"/>
    </xf>
    <xf numFmtId="2" fontId="3" fillId="0" borderId="0" applyAlignment="1" pivotButton="0" quotePrefix="0" xfId="0">
      <alignment horizontal="right"/>
    </xf>
    <xf numFmtId="3" fontId="3" fillId="4" borderId="7" pivotButton="0" quotePrefix="0" xfId="0"/>
    <xf numFmtId="3" fontId="3" fillId="4" borderId="0" pivotButton="0" quotePrefix="0" xfId="0"/>
    <xf numFmtId="3" fontId="3" fillId="4" borderId="8" pivotButton="0" quotePrefix="0" xfId="0"/>
    <xf numFmtId="1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3" fillId="0" borderId="0" pivotButton="0" quotePrefix="0" xfId="0"/>
    <xf numFmtId="4" fontId="3" fillId="4" borderId="7" pivotButton="0" quotePrefix="0" xfId="0"/>
    <xf numFmtId="4" fontId="3" fillId="4" borderId="0" pivotButton="0" quotePrefix="0" xfId="0"/>
    <xf numFmtId="4" fontId="3" fillId="0" borderId="0" applyAlignment="1" pivotButton="0" quotePrefix="0" xfId="0">
      <alignment vertical="top" wrapText="1"/>
    </xf>
    <xf numFmtId="9" fontId="3" fillId="4" borderId="7" pivotButton="0" quotePrefix="0" xfId="0"/>
    <xf numFmtId="9" fontId="3" fillId="4" borderId="0" pivotButton="0" quotePrefix="0" xfId="0"/>
    <xf numFmtId="9" fontId="3" fillId="4" borderId="8" pivotButton="0" quotePrefix="0" xfId="0"/>
    <xf numFmtId="0" fontId="3" fillId="2" borderId="2" applyAlignment="1" pivotButton="0" quotePrefix="0" xfId="0">
      <alignment horizontal="right"/>
    </xf>
    <xf numFmtId="4" fontId="3" fillId="4" borderId="9" pivotButton="0" quotePrefix="0" xfId="0"/>
    <xf numFmtId="4" fontId="3" fillId="4" borderId="10" pivotButton="0" quotePrefix="0" xfId="0"/>
    <xf numFmtId="4" fontId="3" fillId="4" borderId="11" pivotButton="0" quotePrefix="0" xfId="0"/>
    <xf numFmtId="0" fontId="3" fillId="0" borderId="0" applyAlignment="1" pivotButton="0" quotePrefix="0" xfId="0">
      <alignment horizontal="right"/>
    </xf>
    <xf numFmtId="167" fontId="2" fillId="5" borderId="12" applyAlignment="1" pivotButton="0" quotePrefix="0" xfId="0">
      <alignment vertical="bottom"/>
    </xf>
    <xf numFmtId="4" fontId="3" fillId="6" borderId="4" pivotButton="0" quotePrefix="0" xfId="0"/>
    <xf numFmtId="4" fontId="3" fillId="6" borderId="5" pivotButton="0" quotePrefix="0" xfId="0"/>
    <xf numFmtId="4" fontId="3" fillId="6" borderId="6" pivotButton="0" quotePrefix="0" xfId="0"/>
    <xf numFmtId="168" fontId="3" fillId="5" borderId="13" applyAlignment="1" pivotButton="0" quotePrefix="0" xfId="0">
      <alignment vertical="bottom"/>
    </xf>
    <xf numFmtId="4" fontId="3" fillId="6" borderId="7" pivotButton="0" quotePrefix="0" xfId="0"/>
    <xf numFmtId="4" fontId="3" fillId="6" borderId="0" pivotButton="0" quotePrefix="0" xfId="0"/>
    <xf numFmtId="4" fontId="3" fillId="6" borderId="8" pivotButton="0" quotePrefix="0" xfId="0"/>
    <xf numFmtId="10" fontId="2" fillId="5" borderId="13" applyAlignment="1" pivotButton="0" quotePrefix="0" xfId="0">
      <alignment vertical="bottom"/>
    </xf>
    <xf numFmtId="167" fontId="3" fillId="5" borderId="13" applyAlignment="1" pivotButton="0" quotePrefix="0" xfId="0">
      <alignment vertical="bottom"/>
    </xf>
    <xf numFmtId="4" fontId="3" fillId="6" borderId="9" applyAlignment="1" pivotButton="0" quotePrefix="0" xfId="0">
      <alignment horizontal="right"/>
    </xf>
    <xf numFmtId="4" fontId="3" fillId="6" borderId="10" applyAlignment="1" pivotButton="0" quotePrefix="0" xfId="0">
      <alignment horizontal="right"/>
    </xf>
    <xf numFmtId="4" fontId="3" fillId="6" borderId="11" applyAlignment="1" pivotButton="0" quotePrefix="0" xfId="0">
      <alignment horizontal="right"/>
    </xf>
    <xf numFmtId="0" fontId="2" fillId="0" borderId="0" applyAlignment="1" pivotButton="0" quotePrefix="0" xfId="0">
      <alignment vertical="bottom"/>
    </xf>
    <xf numFmtId="4" fontId="3" fillId="5" borderId="13" applyAlignment="1" pivotButton="0" quotePrefix="0" xfId="0">
      <alignment vertical="bottom"/>
    </xf>
    <xf numFmtId="2" fontId="3" fillId="7" borderId="4" applyAlignment="1" pivotButton="0" quotePrefix="0" xfId="0">
      <alignment horizontal="right" vertical="bottom"/>
    </xf>
    <xf numFmtId="2" fontId="3" fillId="7" borderId="5" applyAlignment="1" pivotButton="0" quotePrefix="0" xfId="0">
      <alignment horizontal="right" vertical="bottom"/>
    </xf>
    <xf numFmtId="2" fontId="3" fillId="7" borderId="5" pivotButton="0" quotePrefix="0" xfId="0"/>
    <xf numFmtId="2" fontId="3" fillId="7" borderId="6" pivotButton="0" quotePrefix="0" xfId="0"/>
    <xf numFmtId="0" fontId="2" fillId="0" borderId="0" applyAlignment="1" pivotButton="0" quotePrefix="0" xfId="0">
      <alignment vertical="bottom" wrapText="1"/>
    </xf>
    <xf numFmtId="4" fontId="3" fillId="5" borderId="13" applyAlignment="1" pivotButton="0" quotePrefix="0" xfId="0">
      <alignment vertical="bottom"/>
    </xf>
    <xf numFmtId="0" fontId="2" fillId="0" borderId="0" applyAlignment="1" pivotButton="0" quotePrefix="0" xfId="0">
      <alignment horizontal="left"/>
    </xf>
    <xf numFmtId="2" fontId="3" fillId="7" borderId="7" applyAlignment="1" pivotButton="0" quotePrefix="0" xfId="0">
      <alignment horizontal="right"/>
    </xf>
    <xf numFmtId="2" fontId="3" fillId="7" borderId="0" applyAlignment="1" pivotButton="0" quotePrefix="0" xfId="0">
      <alignment horizontal="right"/>
    </xf>
    <xf numFmtId="2" fontId="3" fillId="7" borderId="0" pivotButton="0" quotePrefix="0" xfId="0"/>
    <xf numFmtId="2" fontId="3" fillId="7" borderId="8" pivotButton="0" quotePrefix="0" xfId="0"/>
    <xf numFmtId="2" fontId="3" fillId="7" borderId="7" applyAlignment="1" pivotButton="0" quotePrefix="0" xfId="0">
      <alignment horizontal="right" vertical="bottom"/>
    </xf>
    <xf numFmtId="2" fontId="3" fillId="7" borderId="0" applyAlignment="1" pivotButton="0" quotePrefix="0" xfId="0">
      <alignment horizontal="right" vertical="bottom"/>
    </xf>
    <xf numFmtId="2" fontId="3" fillId="7" borderId="8" applyAlignment="1" pivotButton="0" quotePrefix="0" xfId="0">
      <alignment horizontal="right"/>
    </xf>
    <xf numFmtId="4" fontId="3" fillId="5" borderId="14" applyAlignment="1" pivotButton="0" quotePrefix="0" xfId="0">
      <alignment vertical="bottom"/>
    </xf>
    <xf numFmtId="165" fontId="1" fillId="0" borderId="0" pivotButton="0" quotePrefix="0" xfId="0"/>
    <xf numFmtId="10" fontId="3" fillId="0" borderId="0" applyAlignment="1" pivotButton="0" quotePrefix="0" xfId="0">
      <alignment vertical="bottom"/>
    </xf>
    <xf numFmtId="2" fontId="3" fillId="7" borderId="9" applyAlignment="1" pivotButton="0" quotePrefix="0" xfId="0">
      <alignment horizontal="right"/>
    </xf>
    <xf numFmtId="2" fontId="3" fillId="7" borderId="10" applyAlignment="1" pivotButton="0" quotePrefix="0" xfId="0">
      <alignment horizontal="right"/>
    </xf>
    <xf numFmtId="2" fontId="3" fillId="7" borderId="10" pivotButton="0" quotePrefix="0" xfId="0"/>
    <xf numFmtId="2" fontId="3" fillId="7" borderId="11" pivotButton="0" quotePrefix="0" xfId="0"/>
    <xf numFmtId="10" fontId="3" fillId="4" borderId="12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49" fontId="3" fillId="0" borderId="0" applyAlignment="1" pivotButton="0" quotePrefix="0" xfId="0">
      <alignment horizontal="right"/>
    </xf>
    <xf numFmtId="10" fontId="3" fillId="4" borderId="13" applyAlignment="1" pivotButton="0" quotePrefix="0" xfId="0">
      <alignment vertical="bottom" wrapText="1"/>
    </xf>
    <xf numFmtId="2" fontId="3" fillId="8" borderId="4" applyAlignment="1" pivotButton="0" quotePrefix="0" xfId="0">
      <alignment horizontal="right" vertical="bottom"/>
    </xf>
    <xf numFmtId="2" fontId="3" fillId="8" borderId="5" applyAlignment="1" pivotButton="0" quotePrefix="0" xfId="0">
      <alignment horizontal="right" vertical="bottom"/>
    </xf>
    <xf numFmtId="2" fontId="3" fillId="8" borderId="5" pivotButton="0" quotePrefix="0" xfId="0"/>
    <xf numFmtId="2" fontId="3" fillId="8" borderId="6" pivotButton="0" quotePrefix="0" xfId="0"/>
    <xf numFmtId="168" fontId="3" fillId="4" borderId="13" applyAlignment="1" pivotButton="0" quotePrefix="0" xfId="0">
      <alignment vertical="bottom" wrapText="1"/>
    </xf>
    <xf numFmtId="2" fontId="3" fillId="8" borderId="7" applyAlignment="1" pivotButton="0" quotePrefix="0" xfId="0">
      <alignment horizontal="right"/>
    </xf>
    <xf numFmtId="2" fontId="3" fillId="8" borderId="0" applyAlignment="1" pivotButton="0" quotePrefix="0" xfId="0">
      <alignment horizontal="right"/>
    </xf>
    <xf numFmtId="2" fontId="3" fillId="8" borderId="0" pivotButton="0" quotePrefix="0" xfId="0"/>
    <xf numFmtId="2" fontId="3" fillId="8" borderId="8" pivotButton="0" quotePrefix="0" xfId="0"/>
    <xf numFmtId="4" fontId="3" fillId="4" borderId="13" applyAlignment="1" pivotButton="0" quotePrefix="0" xfId="0">
      <alignment vertical="bottom" wrapText="1"/>
    </xf>
    <xf numFmtId="167" fontId="2" fillId="4" borderId="13" applyAlignment="1" pivotButton="0" quotePrefix="0" xfId="0">
      <alignment vertical="bottom" wrapText="1"/>
    </xf>
    <xf numFmtId="0" fontId="3" fillId="0" borderId="0" applyAlignment="1" pivotButton="0" quotePrefix="0" xfId="0">
      <alignment horizontal="right" vertical="bottom"/>
    </xf>
    <xf numFmtId="2" fontId="3" fillId="8" borderId="9" applyAlignment="1" pivotButton="0" quotePrefix="0" xfId="0">
      <alignment horizontal="right"/>
    </xf>
    <xf numFmtId="2" fontId="3" fillId="8" borderId="10" applyAlignment="1" pivotButton="0" quotePrefix="0" xfId="0">
      <alignment horizontal="right"/>
    </xf>
    <xf numFmtId="2" fontId="3" fillId="8" borderId="10" pivotButton="0" quotePrefix="0" xfId="0"/>
    <xf numFmtId="2" fontId="3" fillId="8" borderId="11" pivotButton="0" quotePrefix="0" xfId="0"/>
    <xf numFmtId="10" fontId="1" fillId="4" borderId="14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10" fontId="1" fillId="0" borderId="0" pivotButton="0" quotePrefix="0" xfId="0"/>
    <xf numFmtId="0" fontId="2" fillId="9" borderId="1" applyAlignment="1" pivotButton="0" quotePrefix="0" xfId="0">
      <alignment horizontal="left" vertical="bottom"/>
    </xf>
    <xf numFmtId="0" fontId="2" fillId="9" borderId="3" applyAlignment="1" pivotButton="0" quotePrefix="0" xfId="0">
      <alignment horizontal="right" vertical="bottom"/>
    </xf>
    <xf numFmtId="10" fontId="2" fillId="9" borderId="3" applyAlignment="1" pivotButton="0" quotePrefix="0" xfId="0">
      <alignment horizontal="right" vertical="bottom"/>
    </xf>
    <xf numFmtId="165" fontId="2" fillId="9" borderId="3" applyAlignment="1" pivotButton="0" quotePrefix="0" xfId="0">
      <alignment horizontal="right" vertical="bottom"/>
    </xf>
    <xf numFmtId="0" fontId="2" fillId="9" borderId="3" applyAlignment="1" pivotButton="0" quotePrefix="0" xfId="0">
      <alignment horizontal="right" vertical="top" wrapText="1"/>
    </xf>
    <xf numFmtId="0" fontId="2" fillId="9" borderId="2" applyAlignment="1" pivotButton="0" quotePrefix="0" xfId="0">
      <alignment horizontal="right" vertical="top" wrapText="1"/>
    </xf>
    <xf numFmtId="168" fontId="3" fillId="10" borderId="12" pivotButton="0" quotePrefix="0" xfId="0"/>
    <xf numFmtId="0" fontId="2" fillId="0" borderId="0" applyAlignment="1" pivotButton="0" quotePrefix="0" xfId="0">
      <alignment horizontal="left" vertical="bottom"/>
    </xf>
    <xf numFmtId="10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167" fontId="3" fillId="10" borderId="14" pivotButton="0" quotePrefix="0" xfId="0"/>
    <xf numFmtId="0" fontId="3" fillId="0" borderId="0" applyAlignment="1" pivotButton="0" quotePrefix="0" xfId="0">
      <alignment horizontal="left" vertical="bottom"/>
    </xf>
    <xf numFmtId="169" fontId="3" fillId="6" borderId="4" applyAlignment="1" pivotButton="0" quotePrefix="0" xfId="0">
      <alignment horizontal="right" vertical="bottom"/>
    </xf>
    <xf numFmtId="10" fontId="3" fillId="6" borderId="5" applyAlignment="1" pivotButton="0" quotePrefix="0" xfId="0">
      <alignment horizontal="right" vertical="bottom"/>
    </xf>
    <xf numFmtId="169" fontId="3" fillId="6" borderId="5" applyAlignment="1" pivotButton="0" quotePrefix="0" xfId="0">
      <alignment horizontal="right" vertical="bottom"/>
    </xf>
    <xf numFmtId="10" fontId="3" fillId="6" borderId="5" applyAlignment="1" pivotButton="0" quotePrefix="0" xfId="0">
      <alignment vertical="bottom"/>
    </xf>
    <xf numFmtId="169" fontId="3" fillId="6" borderId="5" applyAlignment="1" pivotButton="0" quotePrefix="0" xfId="0">
      <alignment vertical="top" wrapText="1"/>
    </xf>
    <xf numFmtId="169" fontId="3" fillId="6" borderId="6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bottom"/>
    </xf>
    <xf numFmtId="169" fontId="3" fillId="6" borderId="7" applyAlignment="1" pivotButton="0" quotePrefix="0" xfId="0">
      <alignment horizontal="right" vertical="bottom"/>
    </xf>
    <xf numFmtId="10" fontId="3" fillId="6" borderId="0" applyAlignment="1" pivotButton="0" quotePrefix="0" xfId="0">
      <alignment horizontal="right" vertical="bottom"/>
    </xf>
    <xf numFmtId="169" fontId="3" fillId="6" borderId="0" applyAlignment="1" pivotButton="0" quotePrefix="0" xfId="0">
      <alignment horizontal="right" vertical="bottom"/>
    </xf>
    <xf numFmtId="10" fontId="3" fillId="6" borderId="0" applyAlignment="1" pivotButton="0" quotePrefix="0" xfId="0">
      <alignment vertical="bottom"/>
    </xf>
    <xf numFmtId="169" fontId="3" fillId="6" borderId="0" applyAlignment="1" pivotButton="0" quotePrefix="0" xfId="0">
      <alignment vertical="top" wrapText="1"/>
    </xf>
    <xf numFmtId="169" fontId="3" fillId="6" borderId="8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0" fontId="3" fillId="7" borderId="12" pivotButton="0" quotePrefix="0" xfId="0"/>
    <xf numFmtId="169" fontId="3" fillId="6" borderId="7" applyAlignment="1" pivotButton="0" quotePrefix="0" xfId="0">
      <alignment horizontal="right" vertical="bottom"/>
    </xf>
    <xf numFmtId="10" fontId="3" fillId="6" borderId="0" applyAlignment="1" pivotButton="0" quotePrefix="0" xfId="0">
      <alignment horizontal="right" vertical="bottom"/>
    </xf>
    <xf numFmtId="168" fontId="3" fillId="7" borderId="13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168" fontId="5" fillId="7" borderId="13" applyAlignment="1" pivotButton="0" quotePrefix="0" xfId="0">
      <alignment horizontal="right"/>
    </xf>
    <xf numFmtId="10" fontId="2" fillId="7" borderId="14" applyAlignment="1" pivotButton="0" quotePrefix="0" xfId="0">
      <alignment vertical="bottom"/>
    </xf>
    <xf numFmtId="0" fontId="3" fillId="0" borderId="0" applyAlignment="1" pivotButton="0" quotePrefix="0" xfId="0">
      <alignment horizontal="left" vertical="bottom"/>
    </xf>
    <xf numFmtId="169" fontId="3" fillId="6" borderId="0" pivotButton="0" quotePrefix="0" xfId="0"/>
    <xf numFmtId="169" fontId="3" fillId="6" borderId="8" pivotButton="0" quotePrefix="0" xfId="0"/>
    <xf numFmtId="9" fontId="3" fillId="3" borderId="12" pivotButton="0" quotePrefix="0" xfId="0"/>
    <xf numFmtId="10" fontId="3" fillId="6" borderId="0" applyAlignment="1" pivotButton="0" quotePrefix="0" xfId="0">
      <alignment vertical="bottom"/>
    </xf>
    <xf numFmtId="10" fontId="3" fillId="3" borderId="13" pivotButton="0" quotePrefix="0" xfId="0"/>
    <xf numFmtId="10" fontId="3" fillId="3" borderId="13" pivotButton="0" quotePrefix="0" xfId="0"/>
    <xf numFmtId="168" fontId="3" fillId="3" borderId="13" pivotButton="0" quotePrefix="0" xfId="0"/>
    <xf numFmtId="167" fontId="1" fillId="3" borderId="13" pivotButton="0" quotePrefix="0" xfId="0"/>
    <xf numFmtId="10" fontId="2" fillId="3" borderId="14" pivotButton="0" quotePrefix="0" xfId="0"/>
    <xf numFmtId="169" fontId="1" fillId="0" borderId="0" pivotButton="0" quotePrefix="0" xfId="0"/>
    <xf numFmtId="169" fontId="3" fillId="6" borderId="9" applyAlignment="1" pivotButton="0" quotePrefix="0" xfId="0">
      <alignment horizontal="right" vertical="bottom"/>
    </xf>
    <xf numFmtId="10" fontId="3" fillId="6" borderId="10" applyAlignment="1" pivotButton="0" quotePrefix="0" xfId="0">
      <alignment horizontal="right" vertical="bottom"/>
    </xf>
    <xf numFmtId="169" fontId="3" fillId="6" borderId="10" applyAlignment="1" pivotButton="0" quotePrefix="0" xfId="0">
      <alignment horizontal="right" vertical="bottom"/>
    </xf>
    <xf numFmtId="10" fontId="3" fillId="6" borderId="10" applyAlignment="1" pivotButton="0" quotePrefix="0" xfId="0">
      <alignment vertical="bottom"/>
    </xf>
    <xf numFmtId="169" fontId="3" fillId="6" borderId="10" applyAlignment="1" pivotButton="0" quotePrefix="0" xfId="0">
      <alignment vertical="top" wrapText="1"/>
    </xf>
    <xf numFmtId="169" fontId="3" fillId="6" borderId="11" pivotButton="0" quotePrefix="0" xfId="0"/>
    <xf numFmtId="10" fontId="3" fillId="0" borderId="0" applyAlignment="1" pivotButton="0" quotePrefix="0" xfId="0">
      <alignment horizontal="right" vertical="bottom"/>
    </xf>
    <xf numFmtId="165" fontId="1" fillId="0" borderId="0" pivotButton="0" quotePrefix="0" xfId="0"/>
    <xf numFmtId="165" fontId="2" fillId="9" borderId="3" applyAlignment="1" pivotButton="0" quotePrefix="0" xfId="0">
      <alignment horizontal="right" vertical="bottom"/>
    </xf>
    <xf numFmtId="9" fontId="1" fillId="0" borderId="0" pivotButton="0" quotePrefix="0" xfId="0"/>
    <xf numFmtId="169" fontId="3" fillId="6" borderId="5" applyAlignment="1" pivotButton="0" quotePrefix="0" xfId="0">
      <alignment horizontal="right" vertical="bottom"/>
    </xf>
    <xf numFmtId="169" fontId="3" fillId="6" borderId="5" applyAlignment="1" pivotButton="0" quotePrefix="0" xfId="0">
      <alignment vertical="bottom"/>
    </xf>
    <xf numFmtId="4" fontId="3" fillId="6" borderId="6" applyAlignment="1" pivotButton="0" quotePrefix="0" xfId="0">
      <alignment vertical="top" wrapText="1"/>
    </xf>
    <xf numFmtId="169" fontId="3" fillId="6" borderId="0" applyAlignment="1" pivotButton="0" quotePrefix="0" xfId="0">
      <alignment vertical="bottom"/>
    </xf>
    <xf numFmtId="3" fontId="3" fillId="6" borderId="8" pivotButton="0" quotePrefix="0" xfId="0"/>
    <xf numFmtId="3" fontId="3" fillId="6" borderId="8" applyAlignment="1" pivotButton="0" quotePrefix="0" xfId="0">
      <alignment vertical="top" wrapText="1"/>
    </xf>
    <xf numFmtId="10" fontId="2" fillId="0" borderId="0" pivotButton="0" quotePrefix="0" xfId="0"/>
    <xf numFmtId="169" fontId="3" fillId="6" borderId="10" applyAlignment="1" pivotButton="0" quotePrefix="0" xfId="0">
      <alignment vertical="bottom"/>
    </xf>
    <xf numFmtId="169" fontId="3" fillId="6" borderId="10" pivotButton="0" quotePrefix="0" xfId="0"/>
    <xf numFmtId="3" fontId="3" fillId="6" borderId="11" pivotButton="0" quotePrefix="0" xfId="0"/>
    <xf numFmtId="0" fontId="6" fillId="0" borderId="0" applyAlignment="1" pivotButton="0" quotePrefix="0" xfId="0">
      <alignment vertical="bottom"/>
    </xf>
    <xf numFmtId="0" fontId="6" fillId="2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0" fontId="7" fillId="0" borderId="0" applyAlignment="1" pivotButton="0" quotePrefix="0" xfId="0">
      <alignment vertical="bottom" wrapText="1"/>
    </xf>
    <xf numFmtId="0" fontId="8" fillId="11" borderId="0" applyAlignment="1" pivotButton="0" quotePrefix="0" xfId="0">
      <alignment horizontal="left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 wrapText="1"/>
    </xf>
    <xf numFmtId="10" fontId="7" fillId="0" borderId="0" applyAlignment="1" pivotButton="0" quotePrefix="0" xfId="0">
      <alignment vertical="bottom"/>
    </xf>
    <xf numFmtId="0" fontId="0" fillId="0" borderId="0" pivotButton="0" quotePrefix="0" xfId="0"/>
    <xf numFmtId="0" fontId="9" fillId="1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7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K27" authorId="0" shapeId="0">
      <text>
        <t>FY2026 results release does not disclose operating lease liabilities. Left from prior model value; update from FY2026 20-F when filed.</t>
      </text>
    </comment>
    <comment ref="K31" authorId="0" shapeId="0">
      <text>
        <t>FY2026 results release did not provide a share repurchase cash-use line comparable to FY2025; set to 0 in the model table and documented on the source sheet.</t>
      </text>
    </comment>
    <comment ref="K34" authorId="0" shapeId="0">
      <text>
        <t>FY2026 disclosed net proceeds from convertible unsecured senior notes/capped calls and exchangeable bonds: 20,967 + 10,986.</t>
      </text>
    </comment>
    <comment ref="K35" authorId="0" shapeId="0">
      <text>
        <t>FY2026 release did not disclose a debt repayment line comparable to FY2025.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O138"/>
  <sheetViews>
    <sheetView showGridLines="1" workbookViewId="0">
      <selection activeCell="A1" sqref="A1"/>
    </sheetView>
  </sheetViews>
  <sheetFormatPr baseColWidth="8" defaultColWidth="12.63" defaultRowHeight="15.75" customHeight="1"/>
  <cols>
    <col width="3.88" customWidth="1" style="200" min="1" max="1"/>
    <col width="22.63" customWidth="1" style="200" min="2" max="2"/>
    <col width="16.88" customWidth="1" style="200" min="3" max="3"/>
    <col width="4.63" customWidth="1" style="200" min="4" max="4"/>
    <col width="24.63" customWidth="1" style="200" min="5" max="5"/>
    <col width="12.13" customWidth="1" style="200" min="6" max="6"/>
    <col width="11.13" customWidth="1" style="200" min="7" max="7"/>
    <col width="11.25" customWidth="1" style="200" min="8" max="8"/>
    <col width="10.5" customWidth="1" style="200" min="9" max="9"/>
    <col width="10" customWidth="1" style="200" min="10" max="10"/>
    <col width="11" customWidth="1" style="200" min="11" max="11"/>
    <col width="11" customWidth="1" style="200" min="12" max="12"/>
  </cols>
  <sheetData>
    <row r="1">
      <c r="A1" s="1" t="n"/>
      <c r="B1" s="1" t="n"/>
      <c r="C1" s="2" t="n"/>
      <c r="E1" s="1" t="n"/>
    </row>
    <row r="2">
      <c r="A2" s="1" t="n"/>
      <c r="B2" s="3" t="inlineStr">
        <is>
          <t>Alibaba</t>
        </is>
      </c>
      <c r="C2" s="4" t="n">
        <v>46159</v>
      </c>
      <c r="D2" s="21" t="n"/>
      <c r="E2" s="6" t="inlineStr">
        <is>
          <t>in millions, exept per shares</t>
        </is>
      </c>
      <c r="F2" s="7" t="inlineStr">
        <is>
          <t>Y20</t>
        </is>
      </c>
      <c r="G2" s="7" t="inlineStr">
        <is>
          <t>Y21</t>
        </is>
      </c>
      <c r="H2" s="7" t="inlineStr">
        <is>
          <t>Y22</t>
        </is>
      </c>
      <c r="I2" s="7" t="inlineStr">
        <is>
          <t>Y23</t>
        </is>
      </c>
      <c r="J2" s="7" t="inlineStr">
        <is>
          <t>Y24</t>
        </is>
      </c>
      <c r="K2" s="8" t="inlineStr">
        <is>
          <t>Y25</t>
        </is>
      </c>
      <c r="L2" s="8" t="inlineStr">
        <is>
          <t>Y26</t>
        </is>
      </c>
      <c r="M2" s="21" t="inlineStr">
        <is>
          <t>USD to CNY</t>
        </is>
      </c>
      <c r="N2" s="21" t="n"/>
    </row>
    <row r="3">
      <c r="A3" s="1" t="n"/>
      <c r="B3" s="80" t="n"/>
      <c r="C3" s="11" t="n"/>
      <c r="D3" s="66" t="n"/>
      <c r="E3" s="21" t="n"/>
      <c r="F3" s="21" t="n"/>
      <c r="G3" s="21" t="n"/>
      <c r="H3" s="21" t="n"/>
      <c r="I3" s="21" t="n"/>
      <c r="J3" s="21" t="n"/>
      <c r="K3" s="14" t="n"/>
      <c r="L3" s="14" t="n"/>
      <c r="M3" s="203">
        <f>IFERROR(__xludf.DUMMYFUNCTION("GOOGLEFINANCE(""CURRENCY:USDCNY"")"),6.898)</f>
        <v/>
      </c>
      <c r="N3" s="21" t="n"/>
    </row>
    <row r="4">
      <c r="B4" s="21" t="n"/>
      <c r="C4" s="17" t="n"/>
      <c r="D4" s="17" t="n"/>
      <c r="E4" s="11" t="inlineStr">
        <is>
          <t>Revenue</t>
        </is>
      </c>
      <c r="F4" s="18" t="n">
        <v>509711</v>
      </c>
      <c r="G4" s="19" t="n">
        <v>717289</v>
      </c>
      <c r="H4" s="19" t="n">
        <v>853062</v>
      </c>
      <c r="I4" s="19" t="n">
        <v>868687</v>
      </c>
      <c r="J4" s="19" t="n">
        <v>941168</v>
      </c>
      <c r="K4" s="20" t="n">
        <v>996347</v>
      </c>
      <c r="L4" s="20" t="n">
        <v>1023670</v>
      </c>
      <c r="M4" s="21" t="n"/>
      <c r="N4" s="21" t="n"/>
    </row>
    <row r="5">
      <c r="B5" s="21" t="n"/>
      <c r="C5" s="21" t="n"/>
      <c r="D5" s="17" t="n"/>
      <c r="E5" s="80" t="inlineStr">
        <is>
          <t>Revenue Growth</t>
        </is>
      </c>
      <c r="F5" s="23" t="n"/>
      <c r="G5" s="24">
        <f>(G4-F4)/F4</f>
        <v/>
      </c>
      <c r="H5" s="24">
        <f>(H4-G4)/G4</f>
        <v/>
      </c>
      <c r="I5" s="24">
        <f>(I4-H4)/H4</f>
        <v/>
      </c>
      <c r="J5" s="24">
        <f>(J4-I4)/I4</f>
        <v/>
      </c>
      <c r="K5" s="25">
        <f>(K4-J4)/J4</f>
        <v/>
      </c>
      <c r="L5" s="25">
        <f>(L4-K4)/K4</f>
        <v/>
      </c>
      <c r="M5" s="21" t="n"/>
      <c r="N5" s="21" t="n"/>
    </row>
    <row r="6">
      <c r="B6" s="21" t="n"/>
      <c r="C6" s="21" t="n"/>
      <c r="D6" s="21" t="n"/>
      <c r="E6" s="11" t="inlineStr">
        <is>
          <t>COGS</t>
        </is>
      </c>
      <c r="F6" s="56" t="n">
        <v>282367</v>
      </c>
      <c r="G6" s="57" t="n">
        <v>421205</v>
      </c>
      <c r="H6" s="57" t="n">
        <v>549450</v>
      </c>
      <c r="I6" s="57" t="n">
        <v>549695</v>
      </c>
      <c r="J6" s="57" t="n">
        <v>586323</v>
      </c>
      <c r="K6" s="28" t="n">
        <v>598285</v>
      </c>
      <c r="L6" s="28" t="n">
        <v>616136</v>
      </c>
      <c r="M6" s="21" t="n"/>
      <c r="N6" s="21" t="n"/>
    </row>
    <row r="7">
      <c r="B7" s="21" t="n"/>
      <c r="C7" s="21" t="n"/>
      <c r="D7" s="29" t="n"/>
      <c r="E7" s="11" t="inlineStr">
        <is>
          <t>Profit Margin</t>
        </is>
      </c>
      <c r="F7" s="30">
        <f>(F4-F6)/F4</f>
        <v/>
      </c>
      <c r="G7" s="31">
        <f>(G4-G6)/G4</f>
        <v/>
      </c>
      <c r="H7" s="31">
        <f>(H4-H6)/H4</f>
        <v/>
      </c>
      <c r="I7" s="31">
        <f>(I4-I6)/I4</f>
        <v/>
      </c>
      <c r="J7" s="31">
        <f>(J4-J6)/J4</f>
        <v/>
      </c>
      <c r="K7" s="32">
        <f>(K4-K6)/K4</f>
        <v/>
      </c>
      <c r="L7" s="32">
        <f>(L4-L6)/L4</f>
        <v/>
      </c>
      <c r="M7" s="52" t="n"/>
      <c r="N7" s="52" t="n"/>
    </row>
    <row r="8">
      <c r="A8" s="1" t="n"/>
      <c r="B8" s="21" t="n"/>
      <c r="C8" s="17" t="n"/>
      <c r="D8" s="21" t="n"/>
      <c r="E8" s="11" t="inlineStr">
        <is>
          <t>Gross Profit</t>
        </is>
      </c>
      <c r="F8" s="49">
        <f>F4-F6</f>
        <v/>
      </c>
      <c r="G8" s="50">
        <f>G4-G6</f>
        <v/>
      </c>
      <c r="H8" s="50">
        <f>H4-H6</f>
        <v/>
      </c>
      <c r="I8" s="50">
        <f>I4-I6</f>
        <v/>
      </c>
      <c r="J8" s="50">
        <f>J4-J6</f>
        <v/>
      </c>
      <c r="K8" s="51">
        <f>K4-K6</f>
        <v/>
      </c>
      <c r="L8" s="51">
        <f>L4-L6</f>
        <v/>
      </c>
      <c r="M8" s="21" t="n"/>
      <c r="N8" s="21" t="n"/>
    </row>
    <row r="9">
      <c r="A9" s="1" t="n"/>
      <c r="B9" s="21" t="n"/>
      <c r="C9" s="17" t="n"/>
      <c r="D9" s="21" t="n"/>
      <c r="E9" s="11" t="inlineStr">
        <is>
          <t>Gross Profit Growth</t>
        </is>
      </c>
      <c r="F9" s="30" t="n"/>
      <c r="G9" s="31">
        <f>(G8-F8)/F8</f>
        <v/>
      </c>
      <c r="H9" s="31">
        <f>(H8-G8)/G8</f>
        <v/>
      </c>
      <c r="I9" s="31">
        <f>(I8-H8)/H8</f>
        <v/>
      </c>
      <c r="J9" s="31">
        <f>(J8-I8)/I8</f>
        <v/>
      </c>
      <c r="K9" s="32">
        <f>(K8-J8)/J8</f>
        <v/>
      </c>
      <c r="L9" s="32">
        <f>(L8-K8)/K8</f>
        <v/>
      </c>
      <c r="M9" s="21" t="n"/>
      <c r="N9" s="21" t="n"/>
    </row>
    <row r="10">
      <c r="B10" s="21" t="n"/>
      <c r="C10" s="21" t="n"/>
      <c r="D10" s="21" t="n"/>
      <c r="E10" s="86" t="inlineStr">
        <is>
          <t>SG&amp;A</t>
        </is>
      </c>
      <c r="F10" s="37" t="n">
        <v>78870</v>
      </c>
      <c r="G10" s="38" t="n">
        <v>136743</v>
      </c>
      <c r="H10" s="39" t="n">
        <v>151721</v>
      </c>
      <c r="I10" s="39" t="n">
        <v>145679</v>
      </c>
      <c r="J10" s="39" t="n">
        <v>157126</v>
      </c>
      <c r="K10" s="40" t="n">
        <v>188260</v>
      </c>
      <c r="L10" s="40" t="n">
        <v>278105</v>
      </c>
      <c r="M10" s="21" t="n"/>
      <c r="N10" s="21" t="n"/>
    </row>
    <row r="11">
      <c r="A11" s="1" t="n"/>
      <c r="B11" s="21" t="n"/>
      <c r="C11" s="21" t="n"/>
      <c r="D11" s="45" t="n"/>
      <c r="E11" s="86" t="inlineStr">
        <is>
          <t>R&amp;D</t>
        </is>
      </c>
      <c r="F11" s="56" t="n">
        <v>43080</v>
      </c>
      <c r="G11" s="57" t="n">
        <v>57236</v>
      </c>
      <c r="H11" s="39" t="n">
        <v>55465</v>
      </c>
      <c r="I11" s="39" t="n">
        <v>56744</v>
      </c>
      <c r="J11" s="39" t="n">
        <v>52256</v>
      </c>
      <c r="K11" s="40" t="n">
        <v>57151</v>
      </c>
      <c r="L11" s="40" t="n">
        <v>66533</v>
      </c>
      <c r="M11" s="21" t="n"/>
      <c r="N11" s="21" t="n"/>
    </row>
    <row r="12">
      <c r="A12" s="1" t="n"/>
      <c r="B12" s="21" t="n"/>
      <c r="C12" s="21" t="n"/>
      <c r="D12" s="45" t="n"/>
      <c r="E12" s="86" t="inlineStr">
        <is>
          <t>Other Operating Expenses</t>
        </is>
      </c>
      <c r="F12" s="56" t="n">
        <v>12388</v>
      </c>
      <c r="G12" s="57" t="n">
        <v>12427</v>
      </c>
      <c r="H12" s="39" t="n">
        <v>11647</v>
      </c>
      <c r="I12" s="39" t="n">
        <v>13504</v>
      </c>
      <c r="J12" s="39" t="n">
        <v>21592</v>
      </c>
      <c r="K12" s="40" t="n">
        <v>6336</v>
      </c>
      <c r="L12" s="40" t="n">
        <v>5079</v>
      </c>
      <c r="M12" s="21" t="n"/>
      <c r="N12" s="21" t="n"/>
    </row>
    <row r="13">
      <c r="A13" s="1" t="n"/>
      <c r="B13" s="21" t="n"/>
      <c r="C13" s="45" t="n"/>
      <c r="D13" s="66" t="n"/>
      <c r="E13" s="86" t="inlineStr">
        <is>
          <t>Operating Expenses</t>
        </is>
      </c>
      <c r="F13" s="37">
        <f>F6+F10+F11+F12</f>
        <v/>
      </c>
      <c r="G13" s="38">
        <f>G6+G10+G11+G12</f>
        <v/>
      </c>
      <c r="H13" s="38">
        <f>H6+H10+H11+H12</f>
        <v/>
      </c>
      <c r="I13" s="38">
        <f>I6+I10+I11+I12</f>
        <v/>
      </c>
      <c r="J13" s="38">
        <f>J6+J10+J11+J12</f>
        <v/>
      </c>
      <c r="K13" s="44">
        <f>K6+K10+K11+K12</f>
        <v/>
      </c>
      <c r="L13" s="44">
        <f>L6+L10+L11+L12</f>
        <v/>
      </c>
      <c r="M13" s="21" t="n"/>
      <c r="N13" s="21" t="n"/>
    </row>
    <row r="14">
      <c r="A14" s="1" t="n"/>
      <c r="B14" s="21" t="n"/>
      <c r="C14" s="45" t="n"/>
      <c r="D14" s="45" t="n"/>
      <c r="E14" s="86" t="inlineStr">
        <is>
          <t>Operating Income</t>
        </is>
      </c>
      <c r="F14" s="49">
        <f>F4-F13</f>
        <v/>
      </c>
      <c r="G14" s="50">
        <f>G4-G13</f>
        <v/>
      </c>
      <c r="H14" s="46">
        <f>H4-H13</f>
        <v/>
      </c>
      <c r="I14" s="46">
        <f>I4-I13</f>
        <v/>
      </c>
      <c r="J14" s="46">
        <f>J4-J13</f>
        <v/>
      </c>
      <c r="K14" s="47">
        <f>K4-K13</f>
        <v/>
      </c>
      <c r="L14" s="47">
        <f>L4-L13</f>
        <v/>
      </c>
      <c r="M14" s="21" t="n"/>
      <c r="N14" s="21" t="n"/>
    </row>
    <row r="15">
      <c r="A15" s="1" t="n"/>
      <c r="B15" s="21" t="n"/>
      <c r="C15" s="45" t="n"/>
      <c r="D15" s="48" t="n"/>
      <c r="E15" s="86" t="inlineStr">
        <is>
          <t>Operating Margin</t>
        </is>
      </c>
      <c r="F15" s="30">
        <f>F14/F4</f>
        <v/>
      </c>
      <c r="G15" s="31">
        <f>G14/G4</f>
        <v/>
      </c>
      <c r="H15" s="31">
        <f>H14/H4</f>
        <v/>
      </c>
      <c r="I15" s="31">
        <f>I14/I4</f>
        <v/>
      </c>
      <c r="J15" s="31">
        <f>J14/J4</f>
        <v/>
      </c>
      <c r="K15" s="32">
        <f>K14/K4</f>
        <v/>
      </c>
      <c r="L15" s="32">
        <f>L14/L4</f>
        <v/>
      </c>
      <c r="M15" s="21" t="n"/>
      <c r="N15" s="21" t="n"/>
    </row>
    <row r="16">
      <c r="A16" s="1" t="n"/>
      <c r="B16" s="21" t="n"/>
      <c r="C16" s="45" t="n"/>
      <c r="D16" s="48" t="n"/>
      <c r="E16" s="86" t="inlineStr">
        <is>
          <t>Interest Income</t>
        </is>
      </c>
      <c r="F16" s="49" t="n">
        <v>67776</v>
      </c>
      <c r="G16" s="50" t="n">
        <v>68318</v>
      </c>
      <c r="H16" s="50" t="n">
        <v>-20611</v>
      </c>
      <c r="I16" s="50" t="n">
        <v>-16989</v>
      </c>
      <c r="J16" s="50" t="n">
        <v>-17911</v>
      </c>
      <c r="K16" s="51" t="n">
        <v>11163</v>
      </c>
      <c r="L16" s="51" t="n">
        <v>77719</v>
      </c>
      <c r="M16" s="21" t="n"/>
      <c r="N16" s="21" t="n"/>
    </row>
    <row r="17">
      <c r="A17" s="1" t="n"/>
      <c r="B17" s="21" t="n"/>
      <c r="C17" s="45" t="n"/>
      <c r="D17" s="48" t="n"/>
      <c r="E17" s="86" t="inlineStr">
        <is>
          <t>Other expense, net</t>
        </is>
      </c>
      <c r="F17" s="49" t="n">
        <v>6863</v>
      </c>
      <c r="G17" s="50" t="n">
        <v>7582</v>
      </c>
      <c r="H17" s="50" t="n">
        <v>-14618</v>
      </c>
      <c r="I17" s="50" t="n">
        <v>3109</v>
      </c>
      <c r="J17" s="50" t="n">
        <v>-4364</v>
      </c>
      <c r="K17" s="51" t="n">
        <v>3387</v>
      </c>
      <c r="L17" s="51" t="n">
        <v>1518</v>
      </c>
      <c r="M17" s="21" t="n"/>
      <c r="N17" s="21" t="n"/>
    </row>
    <row r="18">
      <c r="A18" s="1" t="n"/>
      <c r="B18" s="21" t="n"/>
      <c r="C18" s="21" t="n"/>
      <c r="D18" s="52" t="n"/>
      <c r="E18" s="86" t="inlineStr">
        <is>
          <t>Pretax Income</t>
        </is>
      </c>
      <c r="F18" s="56" t="n">
        <v>166645</v>
      </c>
      <c r="G18" s="57" t="n">
        <v>165578</v>
      </c>
      <c r="H18" s="39" t="n">
        <v>59550</v>
      </c>
      <c r="I18" s="39" t="n">
        <v>89185</v>
      </c>
      <c r="J18" s="39" t="n">
        <v>101596</v>
      </c>
      <c r="K18" s="40" t="n">
        <v>155455</v>
      </c>
      <c r="L18" s="40" t="n">
        <v>129387</v>
      </c>
      <c r="M18" s="53" t="n"/>
      <c r="N18" s="53" t="n"/>
      <c r="O18" s="54" t="n"/>
    </row>
    <row r="19">
      <c r="A19" s="1" t="n"/>
      <c r="B19" s="21" t="n"/>
      <c r="C19" s="52" t="n"/>
      <c r="D19" s="55" t="n"/>
      <c r="E19" s="86" t="inlineStr">
        <is>
          <t>Taxes</t>
        </is>
      </c>
      <c r="F19" s="56" t="n">
        <v>20562</v>
      </c>
      <c r="G19" s="57" t="n">
        <v>29278</v>
      </c>
      <c r="H19" s="57" t="n">
        <v>26815</v>
      </c>
      <c r="I19" s="57" t="n">
        <v>15549</v>
      </c>
      <c r="J19" s="57" t="n">
        <v>22529</v>
      </c>
      <c r="K19" s="28" t="n">
        <v>35445</v>
      </c>
      <c r="L19" s="28" t="n">
        <v>30045</v>
      </c>
      <c r="M19" s="53" t="inlineStr">
        <is>
          <t>normalized p/e</t>
        </is>
      </c>
      <c r="N19" s="53" t="n"/>
      <c r="O19" s="54" t="n"/>
    </row>
    <row r="20">
      <c r="A20" s="1" t="n"/>
      <c r="B20" s="21" t="n"/>
      <c r="C20" s="21" t="n"/>
      <c r="D20" s="55" t="n"/>
      <c r="E20" s="86" t="inlineStr">
        <is>
          <t>Net Income</t>
        </is>
      </c>
      <c r="F20" s="56">
        <f>F18-F19</f>
        <v/>
      </c>
      <c r="G20" s="57">
        <f>G18-G19</f>
        <v/>
      </c>
      <c r="H20" s="39">
        <f>H18-H19</f>
        <v/>
      </c>
      <c r="I20" s="39">
        <f>I18-I19</f>
        <v/>
      </c>
      <c r="J20" s="39">
        <f>79741</f>
        <v/>
      </c>
      <c r="K20" s="40" t="n">
        <v>129470</v>
      </c>
      <c r="L20" s="40" t="n">
        <v>105904</v>
      </c>
      <c r="M20" s="58">
        <f>C26/G20</f>
        <v/>
      </c>
      <c r="N20" s="53" t="n"/>
      <c r="O20" s="54" t="n"/>
    </row>
    <row r="21">
      <c r="B21" s="21" t="n"/>
      <c r="C21" s="21" t="n"/>
      <c r="D21" s="21" t="n"/>
      <c r="E21" s="86" t="inlineStr">
        <is>
          <t>Net Income Growth</t>
        </is>
      </c>
      <c r="F21" s="59" t="n"/>
      <c r="G21" s="60">
        <f>(G20-F20)/ABS(F20)</f>
        <v/>
      </c>
      <c r="H21" s="60">
        <f>(H20-G20)/ABS(G20)</f>
        <v/>
      </c>
      <c r="I21" s="60">
        <f>(I20-H20)/ABS(H20)</f>
        <v/>
      </c>
      <c r="J21" s="60">
        <f>(J20-I20)/ABS(I20)</f>
        <v/>
      </c>
      <c r="K21" s="61">
        <f>(K20-J20)/ABS(J20)</f>
        <v/>
      </c>
      <c r="L21" s="61">
        <f>(L20-K20)/ABS(K20)</f>
        <v/>
      </c>
      <c r="M21" s="53" t="n"/>
      <c r="N21" s="53" t="n"/>
      <c r="O21" s="54" t="n"/>
    </row>
    <row r="22">
      <c r="B22" s="21" t="n"/>
      <c r="C22" s="21" t="n"/>
      <c r="D22" s="52" t="n"/>
      <c r="E22" s="86" t="inlineStr">
        <is>
          <t>EPS</t>
        </is>
      </c>
      <c r="F22" s="56">
        <f>F20/F23</f>
        <v/>
      </c>
      <c r="G22" s="57">
        <f>G20/G23</f>
        <v/>
      </c>
      <c r="H22" s="39">
        <f>H20/H23</f>
        <v/>
      </c>
      <c r="I22" s="39">
        <f>I20/I23</f>
        <v/>
      </c>
      <c r="J22" s="39">
        <f>J20/J23</f>
        <v/>
      </c>
      <c r="K22" s="40">
        <f>K20/K23</f>
        <v/>
      </c>
      <c r="L22" s="40">
        <f>L20/L23</f>
        <v/>
      </c>
      <c r="M22" s="53" t="n"/>
      <c r="N22" s="53" t="n"/>
      <c r="O22" s="54" t="n"/>
    </row>
    <row r="23">
      <c r="A23" s="1" t="n"/>
      <c r="B23" s="3" t="inlineStr">
        <is>
          <t>BABA</t>
        </is>
      </c>
      <c r="C23" s="62" t="inlineStr">
        <is>
          <t>Alibaba FY26 release / market data</t>
        </is>
      </c>
      <c r="D23" s="21" t="n"/>
      <c r="E23" s="86" t="inlineStr">
        <is>
          <t>Shares</t>
        </is>
      </c>
      <c r="F23" s="63" t="n">
        <v>2627</v>
      </c>
      <c r="G23" s="64" t="n">
        <v>2702</v>
      </c>
      <c r="H23" s="64" t="n">
        <v>2694</v>
      </c>
      <c r="I23" s="64" t="n">
        <v>2622</v>
      </c>
      <c r="J23" s="64" t="n">
        <v>2522</v>
      </c>
      <c r="K23" s="65" t="n">
        <v>2414.75</v>
      </c>
      <c r="L23" s="65" t="n">
        <v>2404.375</v>
      </c>
      <c r="M23" s="53" t="n"/>
      <c r="N23" s="53" t="n"/>
      <c r="O23" s="54" t="n"/>
    </row>
    <row r="24">
      <c r="A24" s="1" t="n"/>
      <c r="B24" s="80" t="n"/>
      <c r="C24" s="21" t="n"/>
      <c r="D24" s="21" t="n"/>
      <c r="E24" s="80" t="n"/>
      <c r="F24" s="66" t="n"/>
      <c r="G24" s="66" t="n"/>
      <c r="H24" s="52" t="n"/>
      <c r="I24" s="52" t="n"/>
      <c r="J24" s="52" t="n"/>
      <c r="K24" s="21" t="n"/>
      <c r="L24" s="21" t="n"/>
      <c r="M24" s="53" t="n"/>
      <c r="N24" s="53" t="n"/>
      <c r="O24" s="54" t="n"/>
    </row>
    <row r="25">
      <c r="A25" s="1" t="n"/>
      <c r="B25" s="80" t="inlineStr">
        <is>
          <t>Share Price</t>
        </is>
      </c>
      <c r="C25" s="67">
        <f>IFERROR(__xludf.DUMMYFUNCTION("GOOGLEFINANCE(B23)*M3"),914.60582)</f>
        <v/>
      </c>
      <c r="D25" s="21" t="n"/>
      <c r="E25" s="80" t="inlineStr">
        <is>
          <t>Total Debt</t>
        </is>
      </c>
      <c r="F25" s="68" t="n">
        <v>125430</v>
      </c>
      <c r="G25" s="69" t="n">
        <v>149153</v>
      </c>
      <c r="H25" s="69" t="n">
        <v>141344</v>
      </c>
      <c r="I25" s="69" t="n">
        <v>161354</v>
      </c>
      <c r="J25" s="69" t="n">
        <v>205614</v>
      </c>
      <c r="K25" s="70" t="n">
        <v>230703</v>
      </c>
      <c r="L25" s="70" t="n">
        <v>259996</v>
      </c>
      <c r="M25" s="53" t="n"/>
      <c r="N25" s="53" t="n"/>
      <c r="O25" s="54" t="n"/>
    </row>
    <row r="26">
      <c r="A26" s="1" t="n"/>
      <c r="B26" s="11" t="inlineStr">
        <is>
          <t>Market Cap (Actual)</t>
        </is>
      </c>
      <c r="C26" s="71">
        <f>IFERROR(__xludf.DUMMYFUNCTION("GOOGLEFINANCE(B23, ""marketcap"")*M3/1000000"),2194184.82)</f>
        <v/>
      </c>
      <c r="D26" s="21" t="n"/>
      <c r="E26" s="80" t="inlineStr">
        <is>
          <t>Shareholder Equity</t>
        </is>
      </c>
      <c r="F26" s="72" t="n">
        <v>755401</v>
      </c>
      <c r="G26" s="73" t="n">
        <v>937470</v>
      </c>
      <c r="H26" s="73" t="n">
        <v>948479</v>
      </c>
      <c r="I26" s="73" t="n">
        <v>989657</v>
      </c>
      <c r="J26" s="73" t="n">
        <v>986544</v>
      </c>
      <c r="K26" s="74" t="n">
        <v>1009858</v>
      </c>
      <c r="L26" s="74" t="n">
        <v>1060886</v>
      </c>
      <c r="M26" s="53" t="n"/>
      <c r="N26" s="53" t="n"/>
      <c r="O26" s="54" t="n"/>
    </row>
    <row r="27">
      <c r="A27" s="1" t="n"/>
      <c r="B27" s="11" t="inlineStr">
        <is>
          <t>Market Cap (Estimate)</t>
        </is>
      </c>
      <c r="C27" s="71">
        <f>C39</f>
        <v/>
      </c>
      <c r="D27" s="21" t="n"/>
      <c r="E27" s="80" t="inlineStr">
        <is>
          <t>Operating Lease Liabilities</t>
        </is>
      </c>
      <c r="F27" s="72" t="n">
        <v>21857</v>
      </c>
      <c r="G27" s="73" t="n">
        <v>32286</v>
      </c>
      <c r="H27" s="73" t="n">
        <v>35253</v>
      </c>
      <c r="I27" s="73" t="n">
        <v>34215</v>
      </c>
      <c r="J27" s="73" t="n">
        <v>34838</v>
      </c>
      <c r="K27" s="74" t="n">
        <v>34838</v>
      </c>
      <c r="L27" s="74" t="n">
        <v>34838</v>
      </c>
      <c r="M27" s="53" t="n"/>
      <c r="N27" s="53" t="n"/>
      <c r="O27" s="54" t="n"/>
    </row>
    <row r="28">
      <c r="A28" s="1" t="n"/>
      <c r="B28" s="11" t="inlineStr">
        <is>
          <t>ROIC</t>
        </is>
      </c>
      <c r="C28" s="75">
        <f>L20/L29</f>
        <v/>
      </c>
      <c r="D28" s="21" t="n"/>
      <c r="E28" s="80" t="inlineStr">
        <is>
          <t>Cash and Cash Equivalents</t>
        </is>
      </c>
      <c r="F28" s="72" t="n">
        <v>363215</v>
      </c>
      <c r="G28" s="73" t="n">
        <v>483445</v>
      </c>
      <c r="H28" s="73" t="n">
        <v>455085</v>
      </c>
      <c r="I28" s="73" t="n">
        <v>524470</v>
      </c>
      <c r="J28" s="73" t="n">
        <v>571029</v>
      </c>
      <c r="K28" s="74" t="n">
        <v>597132</v>
      </c>
      <c r="L28" s="74" t="n">
        <v>520824</v>
      </c>
      <c r="M28" s="53" t="n"/>
      <c r="N28" s="53" t="n"/>
      <c r="O28" s="54" t="n"/>
    </row>
    <row r="29">
      <c r="A29" s="1" t="n"/>
      <c r="B29" s="80" t="inlineStr">
        <is>
          <t>EV</t>
        </is>
      </c>
      <c r="C29" s="76">
        <f>C26+L25-L28</f>
        <v/>
      </c>
      <c r="D29" s="21" t="n"/>
      <c r="E29" s="80" t="inlineStr">
        <is>
          <t>Invested Capital</t>
        </is>
      </c>
      <c r="F29" s="77">
        <f>F25+F26+F27-F28</f>
        <v/>
      </c>
      <c r="G29" s="78">
        <f>G25+G26+G27-G28</f>
        <v/>
      </c>
      <c r="H29" s="78">
        <f>H25+H26+H27-H28</f>
        <v/>
      </c>
      <c r="I29" s="78">
        <f>I25+I26+I27-I28</f>
        <v/>
      </c>
      <c r="J29" s="78">
        <f>J25+J26+J27-J28</f>
        <v/>
      </c>
      <c r="K29" s="79">
        <f>K25+K26+K27-K28</f>
        <v/>
      </c>
      <c r="L29" s="79">
        <f>L25+L26+L27-L28</f>
        <v/>
      </c>
      <c r="M29" s="53" t="n"/>
      <c r="N29" s="53" t="n"/>
      <c r="O29" s="54" t="n"/>
    </row>
    <row r="30">
      <c r="A30" s="1" t="n"/>
      <c r="B30" s="80" t="inlineStr">
        <is>
          <t>P/E</t>
        </is>
      </c>
      <c r="C30" s="87">
        <f>C26/L20</f>
        <v/>
      </c>
      <c r="D30" s="21" t="n"/>
      <c r="E30" s="80" t="n"/>
      <c r="F30" s="66" t="n"/>
      <c r="G30" s="66" t="n"/>
      <c r="H30" s="52" t="n"/>
      <c r="I30" s="52" t="n"/>
      <c r="J30" s="52" t="n"/>
      <c r="K30" s="21" t="n"/>
      <c r="L30" s="21" t="n"/>
      <c r="M30" s="53" t="n"/>
      <c r="N30" s="53" t="n"/>
      <c r="O30" s="54" t="n"/>
    </row>
    <row r="31">
      <c r="B31" s="86" t="inlineStr">
        <is>
          <t>P/S</t>
        </is>
      </c>
      <c r="C31" s="87">
        <f>C26/L4</f>
        <v/>
      </c>
      <c r="D31" s="21" t="n"/>
      <c r="E31" s="11" t="inlineStr">
        <is>
          <t>Share Repurchased</t>
        </is>
      </c>
      <c r="F31" s="82" t="n">
        <v>0</v>
      </c>
      <c r="G31" s="83" t="n">
        <v>-773</v>
      </c>
      <c r="H31" s="84" t="n">
        <v>-61225</v>
      </c>
      <c r="I31" s="84" t="n">
        <v>-74746</v>
      </c>
      <c r="J31" s="84" t="n">
        <v>-88745</v>
      </c>
      <c r="K31" s="85" t="n">
        <v>-86662</v>
      </c>
      <c r="L31" s="85" t="n">
        <v>0</v>
      </c>
      <c r="M31" s="53" t="n"/>
      <c r="N31" s="53" t="n"/>
      <c r="O31" s="54" t="n"/>
    </row>
    <row r="32">
      <c r="B32" s="86" t="inlineStr">
        <is>
          <t>P/B</t>
        </is>
      </c>
      <c r="C32" s="87">
        <f>C26/L26</f>
        <v/>
      </c>
      <c r="D32" s="21" t="n"/>
      <c r="E32" s="88" t="inlineStr">
        <is>
          <t>Share Issuance Proceeds</t>
        </is>
      </c>
      <c r="F32" s="89" t="n">
        <v>91506</v>
      </c>
      <c r="G32" s="90" t="n">
        <v>175</v>
      </c>
      <c r="H32" s="91" t="n">
        <v>109</v>
      </c>
      <c r="I32" s="91" t="n">
        <v>11</v>
      </c>
      <c r="J32" s="91" t="n">
        <v>843</v>
      </c>
      <c r="K32" s="92" t="n">
        <v>0</v>
      </c>
      <c r="L32" s="92" t="n">
        <v>0</v>
      </c>
      <c r="M32" s="21" t="n"/>
      <c r="N32" s="21" t="n"/>
    </row>
    <row r="33">
      <c r="B33" s="86" t="inlineStr">
        <is>
          <t>EV / Revenue</t>
        </is>
      </c>
      <c r="C33" s="87">
        <f>C29/L4</f>
        <v/>
      </c>
      <c r="D33" s="21" t="n"/>
      <c r="E33" s="80" t="inlineStr">
        <is>
          <t>Stock Based Comp</t>
        </is>
      </c>
      <c r="F33" s="93" t="n">
        <v>31742</v>
      </c>
      <c r="G33" s="94" t="n">
        <v>50120</v>
      </c>
      <c r="H33" s="94" t="n">
        <v>23971</v>
      </c>
      <c r="I33" s="91" t="n">
        <v>30831</v>
      </c>
      <c r="J33" s="94" t="n">
        <v>18546</v>
      </c>
      <c r="K33" s="95" t="n">
        <v>13970</v>
      </c>
      <c r="L33" s="95" t="n">
        <v>11180</v>
      </c>
      <c r="M33" s="53" t="n"/>
      <c r="N33" s="53" t="n"/>
      <c r="O33" s="54" t="n"/>
    </row>
    <row r="34">
      <c r="B34" s="86" t="inlineStr">
        <is>
          <t>EV / Pretax Income</t>
        </is>
      </c>
      <c r="C34" s="96">
        <f>C29/L18</f>
        <v/>
      </c>
      <c r="D34" s="80" t="n"/>
      <c r="E34" s="88" t="inlineStr">
        <is>
          <t>Debt Issuance</t>
        </is>
      </c>
      <c r="F34" s="89" t="n">
        <v>15788</v>
      </c>
      <c r="G34" s="90" t="n">
        <v>38410</v>
      </c>
      <c r="H34" s="91" t="n">
        <v>9427</v>
      </c>
      <c r="I34" s="91" t="n">
        <v>22790</v>
      </c>
      <c r="J34" s="91" t="n">
        <v>20570</v>
      </c>
      <c r="K34" s="92" t="n">
        <v>67032</v>
      </c>
      <c r="L34" s="92" t="n">
        <v>31953</v>
      </c>
      <c r="M34" s="53" t="n"/>
      <c r="N34" s="53" t="n"/>
      <c r="O34" s="54" t="n"/>
    </row>
    <row r="35">
      <c r="A35" s="1" t="n"/>
      <c r="B35" s="80" t="n"/>
      <c r="C35" s="179" t="n"/>
      <c r="D35" s="98" t="n"/>
      <c r="E35" s="88" t="inlineStr">
        <is>
          <t>Debt Repayment</t>
        </is>
      </c>
      <c r="F35" s="99" t="n">
        <v>-31741</v>
      </c>
      <c r="G35" s="100" t="n">
        <v>-7061</v>
      </c>
      <c r="H35" s="101" t="n">
        <v>-16713</v>
      </c>
      <c r="I35" s="101" t="n">
        <v>-11448</v>
      </c>
      <c r="J35" s="101" t="n">
        <v>-18105</v>
      </c>
      <c r="K35" s="102" t="n">
        <v>-16220</v>
      </c>
      <c r="L35" s="102" t="n">
        <v>0</v>
      </c>
      <c r="M35" s="53" t="n"/>
      <c r="N35" s="53" t="n"/>
      <c r="O35" s="54" t="n"/>
    </row>
    <row r="36">
      <c r="A36" s="1" t="n"/>
      <c r="B36" s="86" t="inlineStr">
        <is>
          <t>Discount (WAPM)</t>
        </is>
      </c>
      <c r="C36" s="103" t="n">
        <v>0.11</v>
      </c>
      <c r="D36" s="158" t="n"/>
      <c r="E36" s="88" t="n"/>
      <c r="F36" s="105" t="n"/>
      <c r="G36" s="105" t="n"/>
      <c r="H36" s="105" t="n"/>
      <c r="I36" s="66" t="n"/>
      <c r="J36" s="21" t="n"/>
      <c r="K36" s="21" t="n"/>
      <c r="L36" s="21" t="n"/>
      <c r="M36" s="21" t="n"/>
      <c r="N36" s="21" t="n"/>
    </row>
    <row r="37">
      <c r="B37" s="86" t="inlineStr">
        <is>
          <t>Terminal Growth Rate</t>
        </is>
      </c>
      <c r="C37" s="106" t="n">
        <v>0.06</v>
      </c>
      <c r="D37" s="80" t="n"/>
      <c r="E37" s="11" t="inlineStr">
        <is>
          <t>Operating Cash Flow</t>
        </is>
      </c>
      <c r="F37" s="107" t="n">
        <v>180607</v>
      </c>
      <c r="G37" s="108" t="n">
        <v>231786</v>
      </c>
      <c r="H37" s="109" t="n">
        <v>142759</v>
      </c>
      <c r="I37" s="109" t="n">
        <v>199752</v>
      </c>
      <c r="J37" s="109" t="n">
        <v>182593</v>
      </c>
      <c r="K37" s="110" t="n">
        <v>163509</v>
      </c>
      <c r="L37" s="110" t="n">
        <v>76213</v>
      </c>
      <c r="M37" s="21" t="n"/>
      <c r="N37" s="21" t="n"/>
    </row>
    <row r="38">
      <c r="B38" s="86" t="inlineStr">
        <is>
          <t>NPV</t>
        </is>
      </c>
      <c r="C38" s="111">
        <f t="array" ref="C38">NPV(C36, J50:J60)</f>
        <v/>
      </c>
      <c r="D38" s="80" t="n"/>
      <c r="E38" s="88" t="inlineStr">
        <is>
          <t>Investing Cash Flow</t>
        </is>
      </c>
      <c r="F38" s="112" t="n">
        <v>-108072</v>
      </c>
      <c r="G38" s="113" t="n">
        <v>-244194</v>
      </c>
      <c r="H38" s="114" t="n">
        <v>-198592</v>
      </c>
      <c r="I38" s="114" t="n">
        <v>-135506</v>
      </c>
      <c r="J38" s="114" t="n">
        <v>-21824</v>
      </c>
      <c r="K38" s="115" t="n">
        <v>-185415</v>
      </c>
      <c r="L38" s="115" t="n">
        <v>-67336</v>
      </c>
      <c r="M38" s="21" t="n"/>
      <c r="N38" s="21" t="n"/>
    </row>
    <row r="39">
      <c r="B39" s="86" t="inlineStr">
        <is>
          <t>NPV + Cash - Debt</t>
        </is>
      </c>
      <c r="C39" s="111">
        <f>C38+L28-L25</f>
        <v/>
      </c>
      <c r="D39" s="80" t="n"/>
      <c r="E39" s="88" t="inlineStr">
        <is>
          <t>Financing Cash Flow</t>
        </is>
      </c>
      <c r="F39" s="112" t="n">
        <v>70853</v>
      </c>
      <c r="G39" s="113" t="n">
        <v>30082</v>
      </c>
      <c r="H39" s="114" t="n">
        <v>-64449</v>
      </c>
      <c r="I39" s="114" t="n">
        <v>-65619</v>
      </c>
      <c r="J39" s="114" t="n">
        <v>-108244</v>
      </c>
      <c r="K39" s="115" t="n">
        <v>-76215</v>
      </c>
      <c r="L39" s="115" t="n">
        <v>-20573</v>
      </c>
      <c r="M39" s="21" t="n"/>
      <c r="N39" s="21" t="n"/>
    </row>
    <row r="40">
      <c r="B40" s="86" t="inlineStr">
        <is>
          <t>Shares</t>
        </is>
      </c>
      <c r="C40" s="116">
        <f>L23</f>
        <v/>
      </c>
      <c r="D40" s="80" t="n"/>
      <c r="E40" s="88" t="inlineStr">
        <is>
          <t>Net Cash Change</t>
        </is>
      </c>
      <c r="F40" s="112" t="n">
        <v>143388</v>
      </c>
      <c r="G40" s="113" t="n">
        <v>17674</v>
      </c>
      <c r="H40" s="114" t="n">
        <v>-120282</v>
      </c>
      <c r="I40" s="114" t="n">
        <v>-1373</v>
      </c>
      <c r="J40" s="114" t="n">
        <v>52525</v>
      </c>
      <c r="K40" s="115" t="n">
        <v>-97156</v>
      </c>
      <c r="L40" s="115" t="n">
        <v>-15700</v>
      </c>
      <c r="M40" s="21" t="n"/>
      <c r="N40" s="21" t="n"/>
    </row>
    <row r="41">
      <c r="A41" s="1" t="n"/>
      <c r="B41" s="86" t="inlineStr">
        <is>
          <t>Expected Price</t>
        </is>
      </c>
      <c r="C41" s="117">
        <f>C39/C40</f>
        <v/>
      </c>
      <c r="D41" s="118" t="n"/>
      <c r="E41" s="88" t="inlineStr">
        <is>
          <t>Free Cash Flow</t>
        </is>
      </c>
      <c r="F41" s="119" t="n">
        <v>180607</v>
      </c>
      <c r="G41" s="120" t="n">
        <v>231786</v>
      </c>
      <c r="H41" s="121" t="n">
        <v>142759</v>
      </c>
      <c r="I41" s="121" t="n">
        <v>199752</v>
      </c>
      <c r="J41" s="121" t="n">
        <v>149664</v>
      </c>
      <c r="K41" s="122" t="n">
        <v>73870</v>
      </c>
      <c r="L41" s="122" t="n">
        <v>-46609</v>
      </c>
      <c r="M41" s="21" t="n"/>
      <c r="N41" s="21" t="n"/>
    </row>
    <row r="42">
      <c r="A42" s="1" t="n"/>
      <c r="B42" s="80" t="inlineStr">
        <is>
          <t>Price Safety Margin</t>
        </is>
      </c>
      <c r="C42" s="123">
        <f>(C41-C25)/C41</f>
        <v/>
      </c>
      <c r="D42" s="158" t="n"/>
      <c r="E42" s="124" t="n"/>
      <c r="F42" s="52" t="n"/>
      <c r="G42" s="52" t="n"/>
      <c r="H42" s="125" t="n"/>
      <c r="I42" s="21" t="n"/>
      <c r="J42" s="21" t="n"/>
      <c r="K42" s="21" t="n"/>
      <c r="L42" s="21" t="n"/>
      <c r="M42" s="21" t="n"/>
      <c r="N42" s="21" t="n"/>
    </row>
    <row r="43">
      <c r="B43" s="80" t="n"/>
      <c r="C43" s="126" t="n"/>
      <c r="D43" s="52" t="n"/>
      <c r="E43" s="127" t="inlineStr">
        <is>
          <t>Year (Projected)</t>
        </is>
      </c>
      <c r="F43" s="128" t="inlineStr">
        <is>
          <t>Revenue</t>
        </is>
      </c>
      <c r="G43" s="129" t="inlineStr">
        <is>
          <t>Growth Rate</t>
        </is>
      </c>
      <c r="H43" s="180" t="inlineStr">
        <is>
          <t>Net Income</t>
        </is>
      </c>
      <c r="I43" s="128" t="inlineStr">
        <is>
          <t>GR Margin</t>
        </is>
      </c>
      <c r="J43" s="131" t="inlineStr">
        <is>
          <t>FCF</t>
        </is>
      </c>
      <c r="K43" s="132" t="inlineStr">
        <is>
          <t>Debt</t>
        </is>
      </c>
      <c r="L43" s="53" t="n"/>
      <c r="M43" s="21" t="n"/>
      <c r="N43" s="21" t="n"/>
    </row>
    <row r="44">
      <c r="A44" s="1" t="n"/>
      <c r="B44" s="11" t="inlineStr">
        <is>
          <t>(NPV + C - 2033 D)</t>
        </is>
      </c>
      <c r="C44" s="133">
        <f>C38+K28-K60</f>
        <v/>
      </c>
      <c r="D44" s="52" t="n"/>
      <c r="E44" s="134" t="n"/>
      <c r="F44" s="135" t="n"/>
      <c r="G44" s="135" t="n"/>
      <c r="H44" s="136" t="n"/>
      <c r="I44" s="137" t="n"/>
      <c r="J44" s="53" t="n"/>
      <c r="K44" s="53" t="n"/>
      <c r="L44" s="53" t="n"/>
      <c r="M44" s="21" t="n"/>
      <c r="N44" s="21" t="n"/>
    </row>
    <row r="45">
      <c r="A45" s="1" t="n"/>
      <c r="B45" s="11" t="inlineStr">
        <is>
          <t>--&gt; Share Price</t>
        </is>
      </c>
      <c r="C45" s="138">
        <f>C44/K23</f>
        <v/>
      </c>
      <c r="D45" s="52" t="n"/>
      <c r="E45" s="161" t="n">
        <v>2020</v>
      </c>
      <c r="F45" s="140">
        <f>F4</f>
        <v/>
      </c>
      <c r="G45" s="141">
        <f>F5</f>
        <v/>
      </c>
      <c r="H45" s="182">
        <f>F20</f>
        <v/>
      </c>
      <c r="I45" s="143" t="n">
        <v>0</v>
      </c>
      <c r="J45" s="144">
        <f>F41</f>
        <v/>
      </c>
      <c r="K45" s="145">
        <f>F25</f>
        <v/>
      </c>
      <c r="L45" s="53" t="n"/>
      <c r="M45" s="21" t="n"/>
      <c r="N45" s="21" t="n"/>
    </row>
    <row r="46">
      <c r="A46" s="1" t="n"/>
      <c r="B46" s="1" t="n"/>
      <c r="C46" s="126" t="n"/>
      <c r="D46" s="52" t="n"/>
      <c r="E46" s="161" t="n">
        <v>2021</v>
      </c>
      <c r="F46" s="155">
        <f>G4</f>
        <v/>
      </c>
      <c r="G46" s="156">
        <f>G5</f>
        <v/>
      </c>
      <c r="H46" s="149">
        <f>G20</f>
        <v/>
      </c>
      <c r="I46" s="165" t="n">
        <v>0</v>
      </c>
      <c r="J46" s="151">
        <f>G41</f>
        <v/>
      </c>
      <c r="K46" s="152">
        <f>G25</f>
        <v/>
      </c>
      <c r="L46" s="153" t="n">
        <v>1</v>
      </c>
      <c r="M46" s="1" t="n"/>
      <c r="N46" s="1" t="n"/>
    </row>
    <row r="47">
      <c r="A47" s="1" t="n"/>
      <c r="B47" s="86" t="inlineStr">
        <is>
          <t>Terminal + 10 Growth Rate</t>
        </is>
      </c>
      <c r="C47" s="154">
        <f>C37</f>
        <v/>
      </c>
      <c r="D47" s="80" t="n"/>
      <c r="E47" s="161" t="n">
        <v>2022</v>
      </c>
      <c r="F47" s="155">
        <f>H4</f>
        <v/>
      </c>
      <c r="G47" s="156">
        <f>H5</f>
        <v/>
      </c>
      <c r="H47" s="149">
        <f>H20</f>
        <v/>
      </c>
      <c r="I47" s="165" t="n">
        <v>0</v>
      </c>
      <c r="J47" s="151">
        <f>H41</f>
        <v/>
      </c>
      <c r="K47" s="152">
        <f>H25</f>
        <v/>
      </c>
      <c r="L47" s="153">
        <f>(K47/K46)</f>
        <v/>
      </c>
      <c r="M47" s="1" t="n"/>
      <c r="N47" s="1" t="n"/>
    </row>
    <row r="48">
      <c r="B48" s="80" t="inlineStr">
        <is>
          <t>Terminal NPV</t>
        </is>
      </c>
      <c r="C48" s="157">
        <f t="array" ref="C48">NPV(C36, I64:I74)</f>
        <v/>
      </c>
      <c r="D48" s="158" t="n"/>
      <c r="E48" s="161" t="n">
        <v>2023</v>
      </c>
      <c r="F48" s="155">
        <f>I4</f>
        <v/>
      </c>
      <c r="G48" s="156">
        <f>I5</f>
        <v/>
      </c>
      <c r="H48" s="149">
        <f>I20</f>
        <v/>
      </c>
      <c r="I48" s="165" t="n">
        <v>0</v>
      </c>
      <c r="J48" s="151">
        <f>I41</f>
        <v/>
      </c>
      <c r="K48" s="152">
        <f>I25</f>
        <v/>
      </c>
      <c r="L48" s="153">
        <f>K48/K47</f>
        <v/>
      </c>
      <c r="M48" s="1" t="n"/>
      <c r="N48" s="1" t="n"/>
    </row>
    <row r="49">
      <c r="B49" s="11" t="inlineStr">
        <is>
          <t>Terminal Share Price</t>
        </is>
      </c>
      <c r="C49" s="159">
        <f>C48/K64</f>
        <v/>
      </c>
      <c r="D49" s="158" t="n"/>
      <c r="E49" s="161" t="n">
        <v>2024</v>
      </c>
      <c r="F49" s="155">
        <f>J4</f>
        <v/>
      </c>
      <c r="G49" s="156">
        <f>J5</f>
        <v/>
      </c>
      <c r="H49" s="149">
        <f>J20</f>
        <v/>
      </c>
      <c r="I49" s="165" t="n">
        <v>0</v>
      </c>
      <c r="J49" s="151">
        <f>J41</f>
        <v/>
      </c>
      <c r="K49" s="152">
        <f>J25</f>
        <v/>
      </c>
      <c r="L49" s="153">
        <f>K49/K48</f>
        <v/>
      </c>
      <c r="M49" s="1" t="n"/>
      <c r="N49" s="1" t="n"/>
    </row>
    <row r="50">
      <c r="B50" s="11" t="inlineStr">
        <is>
          <t>Reversed ROR</t>
        </is>
      </c>
      <c r="C50" s="160">
        <f>(C49/C25)^(1/10)-1</f>
        <v/>
      </c>
      <c r="D50" s="158" t="n"/>
      <c r="E50" s="161" t="n">
        <v>2026</v>
      </c>
      <c r="F50" s="155">
        <f>L4</f>
        <v/>
      </c>
      <c r="G50" s="156">
        <f>L5</f>
        <v/>
      </c>
      <c r="H50" s="149">
        <f>L20</f>
        <v/>
      </c>
      <c r="I50" s="165" t="n">
        <v>0</v>
      </c>
      <c r="J50" s="151">
        <f>L41</f>
        <v/>
      </c>
      <c r="K50" s="152">
        <f>L25</f>
        <v/>
      </c>
      <c r="L50" s="126">
        <f>AVERAGE(L46:L49)</f>
        <v/>
      </c>
      <c r="M50" s="1" t="n"/>
      <c r="N50" s="1" t="n"/>
    </row>
    <row r="51">
      <c r="A51" s="1" t="n"/>
      <c r="B51" s="86" t="n"/>
      <c r="D51" s="158" t="n"/>
      <c r="E51" s="161" t="n">
        <v>2027</v>
      </c>
      <c r="F51" s="155">
        <f>F50*(1+G51)</f>
        <v/>
      </c>
      <c r="G51" s="156">
        <f>AVERAGE(G49:G50)</f>
        <v/>
      </c>
      <c r="H51" s="149">
        <f>H50*(1+G51)</f>
        <v/>
      </c>
      <c r="I51" s="165">
        <f>AVERAGE(G49:G50)</f>
        <v/>
      </c>
      <c r="J51" s="162">
        <f>AVERAGE(J48:J50)</f>
        <v/>
      </c>
      <c r="K51" s="163">
        <f>L50*K50</f>
        <v/>
      </c>
      <c r="L51" s="21" t="n"/>
      <c r="M51" s="21" t="n"/>
      <c r="N51" s="21" t="n"/>
    </row>
    <row r="52">
      <c r="A52" s="1" t="n"/>
      <c r="B52" s="11" t="inlineStr">
        <is>
          <t>FCF Margin GR</t>
        </is>
      </c>
      <c r="C52" s="164">
        <f>I52</f>
        <v/>
      </c>
      <c r="D52" s="53" t="n"/>
      <c r="E52" s="161" t="n">
        <v>2028</v>
      </c>
      <c r="F52" s="155">
        <f>F51*(1+G52)</f>
        <v/>
      </c>
      <c r="G52" s="156">
        <f>G51-(G51-G60) / 10</f>
        <v/>
      </c>
      <c r="H52" s="149">
        <f>H51*(1+G52)</f>
        <v/>
      </c>
      <c r="I52" s="165">
        <f>I51 * (1+G51)</f>
        <v/>
      </c>
      <c r="J52" s="151">
        <f>J51*(1+G52)</f>
        <v/>
      </c>
      <c r="K52" s="152">
        <f>L50*K51</f>
        <v/>
      </c>
      <c r="L52" s="53" t="n"/>
      <c r="M52" s="21" t="n"/>
      <c r="N52" s="21" t="n"/>
    </row>
    <row r="53">
      <c r="A53" s="1" t="n"/>
      <c r="B53" s="11" t="inlineStr">
        <is>
          <t>2033 FCF:Net Income</t>
        </is>
      </c>
      <c r="C53" s="167">
        <f>J60/H60</f>
        <v/>
      </c>
      <c r="D53" s="53" t="n"/>
      <c r="E53" s="161" t="n">
        <v>2029</v>
      </c>
      <c r="F53" s="155">
        <f>F52*(1+G53)</f>
        <v/>
      </c>
      <c r="G53" s="156">
        <f>G52-(G51-G60) / 10</f>
        <v/>
      </c>
      <c r="H53" s="149">
        <f>H52*(1+G53)</f>
        <v/>
      </c>
      <c r="I53" s="165">
        <f>I52 * (1+G52)</f>
        <v/>
      </c>
      <c r="J53" s="151">
        <f>J52*(1+G53)</f>
        <v/>
      </c>
      <c r="K53" s="152">
        <f>L50*K52</f>
        <v/>
      </c>
      <c r="L53" s="53" t="n"/>
      <c r="M53" s="21" t="n"/>
      <c r="N53" s="21" t="n"/>
    </row>
    <row r="54">
      <c r="A54" s="1" t="n"/>
      <c r="B54" s="11" t="inlineStr">
        <is>
          <t>2043 Disc FCF Margin</t>
        </is>
      </c>
      <c r="C54" s="167">
        <f>C53*(1+C52)^10</f>
        <v/>
      </c>
      <c r="D54" s="53" t="n"/>
      <c r="E54" s="161" t="n">
        <v>2030</v>
      </c>
      <c r="F54" s="155">
        <f>F53*(1+G54)</f>
        <v/>
      </c>
      <c r="G54" s="156">
        <f>G53-(G51-G60) / 10</f>
        <v/>
      </c>
      <c r="H54" s="149">
        <f>H53*(1+G54)</f>
        <v/>
      </c>
      <c r="I54" s="165">
        <f>I53 * (1+G53)</f>
        <v/>
      </c>
      <c r="J54" s="151">
        <f>J53*(1+G54)</f>
        <v/>
      </c>
      <c r="K54" s="152">
        <f>L50*K53</f>
        <v/>
      </c>
      <c r="L54" s="53" t="n"/>
      <c r="M54" s="21" t="n"/>
      <c r="N54" s="21" t="n"/>
    </row>
    <row r="55">
      <c r="B55" s="11" t="inlineStr">
        <is>
          <t>Terminal Discounted NPV</t>
        </is>
      </c>
      <c r="C55" s="168">
        <f t="array" ref="C55">NPV(C36, J64:J74)</f>
        <v/>
      </c>
      <c r="D55" s="21" t="n"/>
      <c r="E55" s="161" t="n">
        <v>2031</v>
      </c>
      <c r="F55" s="155">
        <f>F54*(1+G55)</f>
        <v/>
      </c>
      <c r="G55" s="156">
        <f>G54-(G51-G60) / 10</f>
        <v/>
      </c>
      <c r="H55" s="149">
        <f>H54*(1+G55)</f>
        <v/>
      </c>
      <c r="I55" s="165">
        <f>I54 * (1+G54)</f>
        <v/>
      </c>
      <c r="J55" s="151">
        <f>J54*(1+G55)</f>
        <v/>
      </c>
      <c r="K55" s="152">
        <f>L50*K54</f>
        <v/>
      </c>
      <c r="L55" s="53" t="n"/>
      <c r="M55" s="21" t="n"/>
      <c r="N55" s="21" t="n"/>
    </row>
    <row r="56">
      <c r="B56" s="11" t="inlineStr">
        <is>
          <t>Terminal Share Price</t>
        </is>
      </c>
      <c r="C56" s="169">
        <f>C55/K64</f>
        <v/>
      </c>
      <c r="D56" s="53" t="n"/>
      <c r="E56" s="124" t="n">
        <v>2032</v>
      </c>
      <c r="F56" s="155">
        <f>F55*(1+G56)</f>
        <v/>
      </c>
      <c r="G56" s="156">
        <f>G55-(G51-G60) / 10</f>
        <v/>
      </c>
      <c r="H56" s="149">
        <f>H55*(1+G56)</f>
        <v/>
      </c>
      <c r="I56" s="165">
        <f>I55 * (1+G55)</f>
        <v/>
      </c>
      <c r="J56" s="151">
        <f>J55*(1+G56)</f>
        <v/>
      </c>
      <c r="K56" s="152">
        <f>L50*K55</f>
        <v/>
      </c>
      <c r="L56" s="53" t="n"/>
      <c r="M56" s="21" t="n"/>
      <c r="N56" s="21" t="n"/>
    </row>
    <row r="57">
      <c r="A57" s="1" t="n"/>
      <c r="B57" s="11" t="inlineStr">
        <is>
          <t>Reversed ROR</t>
        </is>
      </c>
      <c r="C57" s="170">
        <f>(C56/C25)^(1/10)-1</f>
        <v/>
      </c>
      <c r="D57" s="53" t="n"/>
      <c r="E57" s="124" t="n">
        <v>2033</v>
      </c>
      <c r="F57" s="155">
        <f>F56*(1+G57)</f>
        <v/>
      </c>
      <c r="G57" s="156">
        <f>G56-(G51-G60) / 10</f>
        <v/>
      </c>
      <c r="H57" s="149">
        <f>H56*(1+G57)</f>
        <v/>
      </c>
      <c r="I57" s="165">
        <f>I56 * (1+G56)</f>
        <v/>
      </c>
      <c r="J57" s="151">
        <f>J56*(1+G57)</f>
        <v/>
      </c>
      <c r="K57" s="163">
        <f>L50*K56</f>
        <v/>
      </c>
      <c r="L57" s="21" t="n"/>
      <c r="M57" s="21" t="n"/>
      <c r="N57" s="21" t="n"/>
    </row>
    <row r="58">
      <c r="A58" s="1" t="n"/>
      <c r="B58" s="86" t="n"/>
      <c r="C58" s="126" t="n"/>
      <c r="D58" s="53" t="n"/>
      <c r="E58" s="124" t="n">
        <v>2034</v>
      </c>
      <c r="F58" s="155">
        <f>F57*(1+G58)</f>
        <v/>
      </c>
      <c r="G58" s="156">
        <f>G57-(G51-G60) / 10</f>
        <v/>
      </c>
      <c r="H58" s="149">
        <f>H57*(1+G58)</f>
        <v/>
      </c>
      <c r="I58" s="165">
        <f>I57 * (1+G57)</f>
        <v/>
      </c>
      <c r="J58" s="151">
        <f>J57*(1+G58)</f>
        <v/>
      </c>
      <c r="K58" s="163">
        <f>L50*K57</f>
        <v/>
      </c>
      <c r="L58" s="21" t="n"/>
      <c r="M58" s="21" t="n"/>
      <c r="N58" s="21" t="n"/>
    </row>
    <row r="59">
      <c r="A59" s="1" t="n"/>
      <c r="B59" s="80" t="n"/>
      <c r="C59" s="171" t="n"/>
      <c r="D59" s="21" t="n"/>
      <c r="E59" s="124" t="n">
        <v>2035</v>
      </c>
      <c r="F59" s="155">
        <f>F58*(1+G59)</f>
        <v/>
      </c>
      <c r="G59" s="156">
        <f>G58-(G51-G60) / 10</f>
        <v/>
      </c>
      <c r="H59" s="149">
        <f>H58*(1+G59)</f>
        <v/>
      </c>
      <c r="I59" s="165">
        <f>I58 * (1+G58)</f>
        <v/>
      </c>
      <c r="J59" s="151">
        <f>J58*(1+G59)</f>
        <v/>
      </c>
      <c r="K59" s="163">
        <f>L50*K58</f>
        <v/>
      </c>
      <c r="L59" s="21" t="n"/>
      <c r="M59" s="21" t="n"/>
      <c r="N59" s="21" t="n"/>
    </row>
    <row r="60">
      <c r="A60" s="1" t="n"/>
      <c r="B60" s="11" t="n"/>
      <c r="C60" s="171" t="n"/>
      <c r="D60" s="21" t="n"/>
      <c r="E60" s="124" t="n">
        <v>2036</v>
      </c>
      <c r="F60" s="172">
        <f>F59*(1+G60)</f>
        <v/>
      </c>
      <c r="G60" s="173">
        <f>C37</f>
        <v/>
      </c>
      <c r="H60" s="174">
        <f>H59*(1+G60)</f>
        <v/>
      </c>
      <c r="I60" s="175">
        <f>I59 * (1+G59)</f>
        <v/>
      </c>
      <c r="J60" s="176">
        <f>J59*(1+G60)</f>
        <v/>
      </c>
      <c r="K60" s="177">
        <f>L50*K59</f>
        <v/>
      </c>
      <c r="L60" s="21" t="n"/>
      <c r="M60" s="21" t="n"/>
      <c r="N60" s="21" t="n"/>
    </row>
    <row r="61">
      <c r="A61" s="1" t="n"/>
      <c r="B61" s="11" t="n"/>
      <c r="C61" s="126" t="n"/>
      <c r="D61" s="158" t="n"/>
      <c r="E61" s="21" t="n"/>
      <c r="F61" s="178" t="n"/>
      <c r="G61" s="178" t="n"/>
      <c r="H61" s="21" t="n"/>
      <c r="I61" s="21" t="n"/>
      <c r="J61" s="21" t="n"/>
      <c r="K61" s="21" t="n"/>
      <c r="L61" s="21" t="n"/>
      <c r="M61" s="21" t="n"/>
      <c r="N61" s="21" t="n"/>
    </row>
    <row r="62">
      <c r="A62" s="1" t="n"/>
      <c r="B62" s="1" t="n"/>
      <c r="C62" s="179" t="n"/>
      <c r="D62" s="158" t="n"/>
      <c r="E62" s="127" t="inlineStr">
        <is>
          <t>Year (Projected)</t>
        </is>
      </c>
      <c r="F62" s="128" t="inlineStr">
        <is>
          <t>Discounted NI</t>
        </is>
      </c>
      <c r="G62" s="128" t="inlineStr">
        <is>
          <t>Growth Rate</t>
        </is>
      </c>
      <c r="H62" s="180" t="inlineStr">
        <is>
          <t>Net Income</t>
        </is>
      </c>
      <c r="I62" s="131" t="inlineStr">
        <is>
          <t>FCF</t>
        </is>
      </c>
      <c r="J62" s="131" t="inlineStr">
        <is>
          <t>Disc. FCF</t>
        </is>
      </c>
      <c r="K62" s="132" t="inlineStr">
        <is>
          <t>Shares</t>
        </is>
      </c>
      <c r="L62" s="21" t="n"/>
      <c r="M62" s="21" t="n"/>
      <c r="N62" s="21" t="n"/>
    </row>
    <row r="63">
      <c r="A63" s="1" t="n"/>
      <c r="B63" s="1" t="n"/>
      <c r="C63" s="181" t="n"/>
      <c r="D63" s="158" t="n"/>
      <c r="E63" s="134" t="n"/>
      <c r="F63" s="135" t="n"/>
      <c r="G63" s="135" t="n"/>
      <c r="H63" s="136" t="n"/>
      <c r="I63" s="137" t="n"/>
      <c r="J63" s="53" t="n"/>
      <c r="L63" s="21" t="n"/>
      <c r="M63" s="21" t="n"/>
      <c r="N63" s="21" t="n"/>
    </row>
    <row r="64">
      <c r="A64" s="126" t="n"/>
      <c r="B64" s="1" t="n"/>
      <c r="C64" s="126" t="n"/>
      <c r="D64" s="52" t="n"/>
      <c r="E64" s="124" t="n">
        <v>2036</v>
      </c>
      <c r="F64" s="140">
        <f>F60*C54</f>
        <v/>
      </c>
      <c r="G64" s="141">
        <f>G60</f>
        <v/>
      </c>
      <c r="H64" s="182">
        <f>H60</f>
        <v/>
      </c>
      <c r="I64" s="183">
        <f>J60</f>
        <v/>
      </c>
      <c r="J64" s="144">
        <f>H64*C54</f>
        <v/>
      </c>
      <c r="K64" s="184">
        <f>L64*K23</f>
        <v/>
      </c>
      <c r="L64" s="21">
        <f>((K23-H23)/H23 + 1)</f>
        <v/>
      </c>
      <c r="M64" s="21" t="n"/>
      <c r="N64" s="21" t="n"/>
    </row>
    <row r="65">
      <c r="A65" s="126" t="n"/>
      <c r="B65" s="1" t="n"/>
      <c r="C65" s="126" t="n"/>
      <c r="D65" s="52" t="n"/>
      <c r="E65" s="124" t="n">
        <v>2037</v>
      </c>
      <c r="F65" s="155">
        <f>F64*(1+G65)</f>
        <v/>
      </c>
      <c r="G65" s="156">
        <f>G64-(G64-G74) / 10</f>
        <v/>
      </c>
      <c r="H65" s="149">
        <f>H64*(1+G65)</f>
        <v/>
      </c>
      <c r="I65" s="185">
        <f>I64*(1+G65)</f>
        <v/>
      </c>
      <c r="J65" s="162">
        <f>H65*C54</f>
        <v/>
      </c>
      <c r="K65" s="186">
        <f>L65*K64</f>
        <v/>
      </c>
      <c r="L65" s="21">
        <f>L64*0.99</f>
        <v/>
      </c>
      <c r="M65" s="21" t="n"/>
      <c r="N65" s="21" t="n"/>
    </row>
    <row r="66">
      <c r="A66" s="126" t="n"/>
      <c r="B66" s="1" t="n"/>
      <c r="C66" s="171" t="n"/>
      <c r="D66" s="52" t="n"/>
      <c r="E66" s="124" t="n">
        <v>2038</v>
      </c>
      <c r="F66" s="155">
        <f>F65*(1+G66)</f>
        <v/>
      </c>
      <c r="G66" s="156">
        <f>G65-(G64-G74) / 10</f>
        <v/>
      </c>
      <c r="H66" s="149">
        <f>H65*(1+G66)</f>
        <v/>
      </c>
      <c r="I66" s="185">
        <f>I65*(1+G66)</f>
        <v/>
      </c>
      <c r="J66" s="151">
        <f>H66*C54</f>
        <v/>
      </c>
      <c r="K66" s="187">
        <f>L66*K65</f>
        <v/>
      </c>
      <c r="L66" s="21">
        <f>L65*0.99</f>
        <v/>
      </c>
      <c r="M66" s="21" t="n"/>
      <c r="N66" s="21" t="n"/>
    </row>
    <row r="67">
      <c r="A67" s="126" t="n"/>
      <c r="B67" s="1" t="n"/>
      <c r="C67" s="171" t="n"/>
      <c r="D67" s="52" t="n"/>
      <c r="E67" s="124" t="n">
        <v>2039</v>
      </c>
      <c r="F67" s="155">
        <f>F66*(1+G67)</f>
        <v/>
      </c>
      <c r="G67" s="156">
        <f>G66-(G64-G74) / 10</f>
        <v/>
      </c>
      <c r="H67" s="149">
        <f>H66*(1+G67)</f>
        <v/>
      </c>
      <c r="I67" s="185">
        <f>I66*(1+G67)</f>
        <v/>
      </c>
      <c r="J67" s="162">
        <f>H67*C54</f>
        <v/>
      </c>
      <c r="K67" s="186">
        <f>L67*K66</f>
        <v/>
      </c>
      <c r="L67" s="21">
        <f>L66*0.99</f>
        <v/>
      </c>
      <c r="M67" s="21" t="n"/>
      <c r="N67" s="21" t="n"/>
    </row>
    <row r="68">
      <c r="A68" s="1" t="n"/>
      <c r="B68" s="1" t="n"/>
      <c r="C68" s="126" t="n"/>
      <c r="D68" s="21" t="n"/>
      <c r="E68" s="124" t="n">
        <v>2040</v>
      </c>
      <c r="F68" s="155">
        <f>F67*(1+G68)</f>
        <v/>
      </c>
      <c r="G68" s="156">
        <f>G67-(G64-G74) / 10</f>
        <v/>
      </c>
      <c r="H68" s="149">
        <f>H67*(1+G68)</f>
        <v/>
      </c>
      <c r="I68" s="185">
        <f>I67*(1+G68)</f>
        <v/>
      </c>
      <c r="J68" s="151">
        <f>H68*C54</f>
        <v/>
      </c>
      <c r="K68" s="187">
        <f>L68*K67</f>
        <v/>
      </c>
      <c r="L68" s="21">
        <f>L67</f>
        <v/>
      </c>
      <c r="M68" s="21" t="n"/>
      <c r="N68" s="21" t="n"/>
    </row>
    <row r="69">
      <c r="A69" s="1" t="n"/>
      <c r="B69" s="11" t="n"/>
      <c r="C69" s="21" t="n"/>
      <c r="D69" s="21" t="n"/>
      <c r="E69" s="124" t="n">
        <v>2041</v>
      </c>
      <c r="F69" s="155">
        <f>F68*(1+G69)</f>
        <v/>
      </c>
      <c r="G69" s="156">
        <f>G68-(G64-G74) / 10</f>
        <v/>
      </c>
      <c r="H69" s="149">
        <f>H68*(1+G69)</f>
        <v/>
      </c>
      <c r="I69" s="185">
        <f>I68*(1+G69)</f>
        <v/>
      </c>
      <c r="J69" s="162">
        <f>H69*C54</f>
        <v/>
      </c>
      <c r="K69" s="186">
        <f>L68*K68</f>
        <v/>
      </c>
      <c r="L69" s="21" t="n"/>
      <c r="M69" s="21" t="n"/>
      <c r="N69" s="21" t="n"/>
    </row>
    <row r="70">
      <c r="A70" s="1" t="n"/>
      <c r="B70" s="11" t="n"/>
      <c r="C70" s="188" t="n"/>
      <c r="D70" s="21" t="n"/>
      <c r="E70" s="124" t="n">
        <v>2042</v>
      </c>
      <c r="F70" s="155">
        <f>F69*(1+G70)</f>
        <v/>
      </c>
      <c r="G70" s="156">
        <f>G69-(G64-G74) / 10</f>
        <v/>
      </c>
      <c r="H70" s="149">
        <f>H69*(1+G70)</f>
        <v/>
      </c>
      <c r="I70" s="185">
        <f>I69*(1+G70)</f>
        <v/>
      </c>
      <c r="J70" s="162">
        <f>H70*C54</f>
        <v/>
      </c>
      <c r="K70" s="186">
        <f>L68*K69</f>
        <v/>
      </c>
      <c r="L70" s="21" t="n"/>
      <c r="M70" s="21" t="n"/>
      <c r="N70" s="21" t="n"/>
    </row>
    <row r="71">
      <c r="A71" s="1" t="n"/>
      <c r="B71" s="21" t="n"/>
      <c r="C71" s="21" t="n"/>
      <c r="D71" s="21" t="n"/>
      <c r="E71" s="124" t="n">
        <v>2043</v>
      </c>
      <c r="F71" s="155">
        <f>F70*(1+G71)</f>
        <v/>
      </c>
      <c r="G71" s="156">
        <f>G70-(G64-G74) / 10</f>
        <v/>
      </c>
      <c r="H71" s="149">
        <f>H70*(1+G71)</f>
        <v/>
      </c>
      <c r="I71" s="185">
        <f>I70*(1+G71)</f>
        <v/>
      </c>
      <c r="J71" s="162">
        <f>H71*C54</f>
        <v/>
      </c>
      <c r="K71" s="186">
        <f>L68*K70</f>
        <v/>
      </c>
      <c r="L71" s="21" t="n"/>
      <c r="M71" s="21" t="n"/>
      <c r="N71" s="21" t="n"/>
    </row>
    <row r="72">
      <c r="A72" s="1" t="n"/>
      <c r="B72" s="21" t="n"/>
      <c r="C72" s="21" t="n"/>
      <c r="D72" s="21" t="n"/>
      <c r="E72" s="124" t="n">
        <v>2044</v>
      </c>
      <c r="F72" s="155">
        <f>F71*(1+G72)</f>
        <v/>
      </c>
      <c r="G72" s="156">
        <f>G71-(G64-G74) / 10</f>
        <v/>
      </c>
      <c r="H72" s="149">
        <f>H71*(1+G72)</f>
        <v/>
      </c>
      <c r="I72" s="185">
        <f>I71*(1+G72)</f>
        <v/>
      </c>
      <c r="J72" s="162">
        <f>H72*C54</f>
        <v/>
      </c>
      <c r="K72" s="186">
        <f>L68*K71</f>
        <v/>
      </c>
      <c r="L72" s="21" t="n"/>
      <c r="M72" s="21" t="n"/>
      <c r="N72" s="21" t="n"/>
    </row>
    <row r="73">
      <c r="A73" s="1" t="n"/>
      <c r="B73" s="21" t="n"/>
      <c r="C73" s="21" t="n"/>
      <c r="D73" s="21" t="n"/>
      <c r="E73" s="124" t="n">
        <v>2045</v>
      </c>
      <c r="F73" s="155">
        <f>F72*(1+G73)</f>
        <v/>
      </c>
      <c r="G73" s="156">
        <f>G72-(G64-G74) / 10</f>
        <v/>
      </c>
      <c r="H73" s="149">
        <f>H72*(1+G73)</f>
        <v/>
      </c>
      <c r="I73" s="185">
        <f>I72*(1+G73)</f>
        <v/>
      </c>
      <c r="J73" s="162">
        <f>H73*C54</f>
        <v/>
      </c>
      <c r="K73" s="186">
        <f>L68*K72</f>
        <v/>
      </c>
      <c r="L73" s="21" t="n"/>
      <c r="M73" s="21" t="n"/>
      <c r="N73" s="21" t="n"/>
    </row>
    <row r="74">
      <c r="A74" s="126" t="n"/>
      <c r="B74" s="52" t="n"/>
      <c r="C74" s="52" t="n"/>
      <c r="D74" s="21" t="n"/>
      <c r="E74" s="124" t="n">
        <v>2046</v>
      </c>
      <c r="F74" s="172">
        <f>F73*(1+G74)</f>
        <v/>
      </c>
      <c r="G74" s="173">
        <f>C47</f>
        <v/>
      </c>
      <c r="H74" s="174">
        <f>H73*(1+G74)</f>
        <v/>
      </c>
      <c r="I74" s="189">
        <f>I73*(1+G74)</f>
        <v/>
      </c>
      <c r="J74" s="190">
        <f>H74*C54</f>
        <v/>
      </c>
      <c r="K74" s="191">
        <f>L68*K73</f>
        <v/>
      </c>
      <c r="L74" s="21" t="n"/>
      <c r="M74" s="21" t="n"/>
      <c r="N74" s="21" t="n"/>
    </row>
    <row r="75">
      <c r="A75" s="126" t="n"/>
      <c r="B75" s="52" t="n"/>
      <c r="C75" s="5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</row>
    <row r="76"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</row>
    <row r="77"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</row>
    <row r="78"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</row>
    <row r="79"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</row>
    <row r="80"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</row>
    <row r="81"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</row>
    <row r="82"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</row>
    <row r="83"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</row>
    <row r="84"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</row>
    <row r="85"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</row>
    <row r="86"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</row>
    <row r="87"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</row>
    <row r="88"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</row>
    <row r="89"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</row>
    <row r="90"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</row>
    <row r="91"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</row>
    <row r="92"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</row>
    <row r="93"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</row>
    <row r="94"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</row>
    <row r="95"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</row>
    <row r="96"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</row>
    <row r="97"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</row>
    <row r="98"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</row>
    <row r="99"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</row>
    <row r="100"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</row>
    <row r="101"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</row>
    <row r="102"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</row>
    <row r="103"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</row>
    <row r="104"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</row>
    <row r="105"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</row>
    <row r="106"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</row>
    <row r="107"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</row>
    <row r="108"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</row>
    <row r="109"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</row>
    <row r="110"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</row>
    <row r="111"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</row>
    <row r="112"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</row>
    <row r="113"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</row>
    <row r="114"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</row>
    <row r="115"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</row>
    <row r="116"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</row>
    <row r="117"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</row>
    <row r="118"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</row>
    <row r="119"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</row>
    <row r="120"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</row>
    <row r="121"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</row>
    <row r="122"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</row>
    <row r="123"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</row>
    <row r="124"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</row>
    <row r="125"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</row>
    <row r="126"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</row>
    <row r="127"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</row>
    <row r="128"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</row>
    <row r="129"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</row>
    <row r="130"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</row>
    <row r="131"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</row>
    <row r="132"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</row>
    <row r="133"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</row>
    <row r="134"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</row>
    <row r="135"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</row>
    <row r="136"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</row>
    <row r="137"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</row>
    <row r="138"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</row>
  </sheetData>
  <printOptions horizontalCentered="1"/>
  <pageMargins left="0.7" right="0.7" top="0.75" bottom="0.75" header="0" footer="0"/>
  <pageSetup orientation="portrait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E20"/>
  <sheetViews>
    <sheetView workbookViewId="0">
      <selection activeCell="A1" sqref="A1"/>
    </sheetView>
  </sheetViews>
  <sheetFormatPr baseColWidth="8" defaultColWidth="12.63" defaultRowHeight="15.75" customHeight="1"/>
  <cols>
    <col width="7.5" customWidth="1" style="200" min="1" max="1"/>
    <col width="16" customWidth="1" style="200" min="2" max="5"/>
  </cols>
  <sheetData>
    <row r="3">
      <c r="A3" s="192" t="n"/>
      <c r="B3" s="193" t="inlineStr">
        <is>
          <t>Questions</t>
        </is>
      </c>
    </row>
    <row r="4">
      <c r="A4" s="194" t="n"/>
      <c r="B4" s="194" t="n"/>
      <c r="C4" s="194" t="n"/>
    </row>
    <row r="5">
      <c r="A5" s="195" t="n"/>
      <c r="B5" s="195" t="inlineStr">
        <is>
          <t>What are you doing, that your competitors aren't doing yet?</t>
        </is>
      </c>
    </row>
    <row r="6">
      <c r="A6" s="195" t="n"/>
      <c r="B6" s="196" t="inlineStr">
        <is>
          <t>How does your product or service change peoples' lives?</t>
        </is>
      </c>
    </row>
    <row r="7">
      <c r="A7" s="198" t="n"/>
      <c r="B7" s="198" t="inlineStr">
        <is>
          <t>Will products or services sizably increase for at least several years?</t>
        </is>
      </c>
    </row>
    <row r="8">
      <c r="A8" s="198" t="n"/>
      <c r="B8" s="198" t="inlineStr">
        <is>
          <t>Is management determined and how important is mgmt to the business's success?</t>
        </is>
      </c>
    </row>
    <row r="9">
      <c r="A9" s="195" t="n"/>
      <c r="B9" s="198" t="inlineStr">
        <is>
          <t>What is the company doing to improve profit margins?</t>
        </is>
      </c>
    </row>
    <row r="10">
      <c r="A10" s="195" t="n"/>
      <c r="B10" s="198" t="inlineStr">
        <is>
          <t>Does management talk freely in all situations - or do they "clam up"?</t>
        </is>
      </c>
    </row>
    <row r="11">
      <c r="A11" s="195" t="n"/>
      <c r="B11" s="198" t="inlineStr">
        <is>
          <t>In the foreseeable future, will growth require significant equity financing?</t>
        </is>
      </c>
    </row>
    <row r="12">
      <c r="A12" s="195" t="n"/>
      <c r="B12" s="198" t="inlineStr">
        <is>
          <t>What market and other actions are insiders taking and why?</t>
        </is>
      </c>
    </row>
    <row r="13">
      <c r="A13" s="198" t="n"/>
      <c r="B13" s="198" t="n"/>
      <c r="C13" s="198" t="n"/>
      <c r="D13" s="198" t="n"/>
      <c r="E13" s="198" t="n"/>
    </row>
    <row r="14">
      <c r="A14" s="198" t="n"/>
      <c r="B14" s="198" t="n"/>
      <c r="C14" s="198" t="n"/>
      <c r="D14" s="198" t="n"/>
      <c r="E14" s="198" t="n"/>
    </row>
    <row r="15">
      <c r="A15" s="198" t="n"/>
      <c r="B15" s="198" t="n"/>
      <c r="C15" s="198" t="n"/>
      <c r="D15" s="198" t="n"/>
      <c r="E15" s="198" t="n"/>
    </row>
    <row r="16">
      <c r="A16" s="198" t="n"/>
      <c r="B16" s="198" t="n"/>
      <c r="C16" s="198" t="n"/>
      <c r="D16" s="198" t="n"/>
      <c r="E16" s="198" t="n"/>
    </row>
    <row r="17">
      <c r="A17" s="198" t="n"/>
      <c r="B17" s="198" t="n"/>
      <c r="C17" s="198" t="n"/>
      <c r="D17" s="198" t="n"/>
      <c r="E17" s="198" t="n"/>
    </row>
    <row r="18">
      <c r="A18" s="198" t="n"/>
      <c r="B18" s="198" t="n"/>
      <c r="C18" s="198" t="n"/>
      <c r="D18" s="198" t="n"/>
      <c r="E18" s="198" t="n"/>
    </row>
    <row r="19">
      <c r="A19" s="199" t="n"/>
      <c r="B19" s="198" t="n"/>
      <c r="C19" s="198" t="n"/>
      <c r="D19" s="198" t="n"/>
      <c r="E19" s="198" t="n"/>
    </row>
    <row r="20">
      <c r="A20" s="199" t="n"/>
      <c r="B20" s="198" t="n"/>
      <c r="C20" s="198" t="n"/>
      <c r="D20" s="198" t="n"/>
      <c r="E20" s="198" t="n"/>
    </row>
  </sheetData>
  <mergeCells count="9">
    <mergeCell ref="B9:E9"/>
    <mergeCell ref="B8:E8"/>
    <mergeCell ref="B12:E12"/>
    <mergeCell ref="B6:E6"/>
    <mergeCell ref="B7:E7"/>
    <mergeCell ref="B11:E11"/>
    <mergeCell ref="B3:E3"/>
    <mergeCell ref="B5:E5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200" min="1" max="1"/>
    <col width="16" customWidth="1" style="200" min="2" max="2"/>
    <col width="16" customWidth="1" style="200" min="3" max="3"/>
    <col width="18" customWidth="1" style="200" min="4" max="4"/>
    <col width="72" customWidth="1" style="200" min="5" max="5"/>
  </cols>
  <sheetData>
    <row r="1">
      <c r="A1" s="201" t="inlineStr">
        <is>
          <t>Line item / model mapping</t>
        </is>
      </c>
      <c r="B1" s="201" t="inlineStr">
        <is>
          <t>FY2025 actual</t>
        </is>
      </c>
      <c r="C1" s="201" t="inlineStr">
        <is>
          <t>FY2026 actual</t>
        </is>
      </c>
      <c r="D1" s="201" t="inlineStr">
        <is>
          <t>Unit</t>
        </is>
      </c>
      <c r="E1" s="201" t="inlineStr">
        <is>
          <t>Source / note</t>
        </is>
      </c>
    </row>
    <row r="2">
      <c r="A2" s="202" t="inlineStr">
        <is>
          <t>Report publication date</t>
        </is>
      </c>
      <c r="B2" s="202" t="inlineStr">
        <is>
          <t>2025-05-15</t>
        </is>
      </c>
      <c r="C2" s="202" t="inlineStr">
        <is>
          <t>2026-05-13</t>
        </is>
      </c>
      <c r="D2" s="202" t="inlineStr"/>
      <c r="E2" s="202" t="inlineStr">
        <is>
          <t>Alibaba Group official March quarter and fiscal year results releases</t>
        </is>
      </c>
    </row>
    <row r="3">
      <c r="A3" s="202" t="inlineStr">
        <is>
          <t>Revenue</t>
        </is>
      </c>
      <c r="B3" s="202" t="n">
        <v>996347</v>
      </c>
      <c r="C3" s="202" t="n">
        <v>1023670</v>
      </c>
      <c r="D3" s="202" t="inlineStr">
        <is>
          <t>RMB millions</t>
        </is>
      </c>
      <c r="E3" s="202" t="inlineStr">
        <is>
          <t>Consolidated income statement</t>
        </is>
      </c>
    </row>
    <row r="4">
      <c r="A4" s="202" t="inlineStr">
        <is>
          <t>Cost of revenue</t>
        </is>
      </c>
      <c r="B4" s="202" t="n">
        <v>598285</v>
      </c>
      <c r="C4" s="202" t="n">
        <v>616136</v>
      </c>
      <c r="D4" s="202" t="inlineStr">
        <is>
          <t>RMB millions</t>
        </is>
      </c>
      <c r="E4" s="202" t="inlineStr">
        <is>
          <t>Consolidated income statement</t>
        </is>
      </c>
    </row>
    <row r="5">
      <c r="A5" s="202" t="inlineStr">
        <is>
          <t>Product development / R&amp;D</t>
        </is>
      </c>
      <c r="B5" s="202" t="n">
        <v>57151</v>
      </c>
      <c r="C5" s="202" t="n">
        <v>66533</v>
      </c>
      <c r="D5" s="202" t="inlineStr">
        <is>
          <t>RMB millions</t>
        </is>
      </c>
      <c r="E5" s="202" t="inlineStr">
        <is>
          <t>Consolidated income statement</t>
        </is>
      </c>
    </row>
    <row r="6">
      <c r="A6" s="202" t="inlineStr">
        <is>
          <t>Sales and marketing</t>
        </is>
      </c>
      <c r="B6" s="202" t="n">
        <v>144021</v>
      </c>
      <c r="C6" s="202" t="n">
        <v>245023</v>
      </c>
      <c r="D6" s="202" t="inlineStr">
        <is>
          <t>RMB millions</t>
        </is>
      </c>
      <c r="E6" s="202" t="inlineStr">
        <is>
          <t>Consolidated income statement</t>
        </is>
      </c>
    </row>
    <row r="7">
      <c r="A7" s="202" t="inlineStr">
        <is>
          <t>General and administrative</t>
        </is>
      </c>
      <c r="B7" s="202" t="n">
        <v>44239</v>
      </c>
      <c r="C7" s="202" t="n">
        <v>33082</v>
      </c>
      <c r="D7" s="202" t="inlineStr">
        <is>
          <t>RMB millions</t>
        </is>
      </c>
      <c r="E7" s="202" t="inlineStr">
        <is>
          <t>Consolidated income statement</t>
        </is>
      </c>
    </row>
    <row r="8">
      <c r="A8" s="202" t="inlineStr">
        <is>
          <t>SG&amp;A mapped to model row 10</t>
        </is>
      </c>
      <c r="B8" s="202" t="n">
        <v>188260</v>
      </c>
      <c r="C8" s="202" t="n">
        <v>278105</v>
      </c>
      <c r="D8" s="202" t="inlineStr">
        <is>
          <t>RMB millions</t>
        </is>
      </c>
      <c r="E8" s="202" t="inlineStr">
        <is>
          <t>Sales and marketing + general and administrative</t>
        </is>
      </c>
    </row>
    <row r="9">
      <c r="A9" s="202" t="inlineStr">
        <is>
          <t>Amortization and impairment of intangible assets mapped to row 12</t>
        </is>
      </c>
      <c r="B9" s="202" t="n">
        <v>6336</v>
      </c>
      <c r="C9" s="202" t="n">
        <v>5079</v>
      </c>
      <c r="D9" s="202" t="inlineStr">
        <is>
          <t>RMB millions</t>
        </is>
      </c>
      <c r="E9" s="202" t="inlineStr">
        <is>
          <t>Consolidated income statement</t>
        </is>
      </c>
    </row>
    <row r="10">
      <c r="A10" s="202" t="inlineStr">
        <is>
          <t>Income from operations</t>
        </is>
      </c>
      <c r="B10" s="202" t="n">
        <v>140905</v>
      </c>
      <c r="C10" s="202" t="n">
        <v>50150</v>
      </c>
      <c r="D10" s="202" t="inlineStr">
        <is>
          <t>RMB millions</t>
        </is>
      </c>
      <c r="E10" s="202" t="inlineStr">
        <is>
          <t>Consolidated income statement; model row 14 formula excludes goodwill/other gains as in the original workbook</t>
        </is>
      </c>
    </row>
    <row r="11">
      <c r="A11" s="202" t="inlineStr">
        <is>
          <t>Interest and investment income, net</t>
        </is>
      </c>
      <c r="B11" s="202" t="n">
        <v>20759</v>
      </c>
      <c r="C11" s="202" t="n">
        <v>87512</v>
      </c>
      <c r="D11" s="202" t="inlineStr">
        <is>
          <t>RMB millions</t>
        </is>
      </c>
      <c r="E11" s="202" t="inlineStr">
        <is>
          <t>Consolidated income statement</t>
        </is>
      </c>
    </row>
    <row r="12">
      <c r="A12" s="202" t="inlineStr">
        <is>
          <t>Interest expense</t>
        </is>
      </c>
      <c r="B12" s="202" t="n">
        <v>-9596</v>
      </c>
      <c r="C12" s="202" t="n">
        <v>-9793</v>
      </c>
      <c r="D12" s="202" t="inlineStr">
        <is>
          <t>RMB millions</t>
        </is>
      </c>
      <c r="E12" s="202" t="inlineStr">
        <is>
          <t>Consolidated income statement</t>
        </is>
      </c>
    </row>
    <row r="13">
      <c r="A13" s="202" t="inlineStr">
        <is>
          <t>Net interest/investment mapped to model row 16</t>
        </is>
      </c>
      <c r="B13" s="202" t="n">
        <v>11163</v>
      </c>
      <c r="C13" s="202" t="n">
        <v>77719</v>
      </c>
      <c r="D13" s="202" t="inlineStr">
        <is>
          <t>RMB millions</t>
        </is>
      </c>
      <c r="E13" s="202" t="inlineStr">
        <is>
          <t>Interest and investment income, net less interest expense</t>
        </is>
      </c>
    </row>
    <row r="14">
      <c r="A14" s="202" t="inlineStr">
        <is>
          <t>Other income, net</t>
        </is>
      </c>
      <c r="B14" s="202" t="n">
        <v>3387</v>
      </c>
      <c r="C14" s="202" t="n">
        <v>1518</v>
      </c>
      <c r="D14" s="202" t="inlineStr">
        <is>
          <t>RMB millions</t>
        </is>
      </c>
      <c r="E14" s="202" t="inlineStr">
        <is>
          <t>Consolidated income statement</t>
        </is>
      </c>
    </row>
    <row r="15">
      <c r="A15" s="202" t="inlineStr">
        <is>
          <t>Pretax income</t>
        </is>
      </c>
      <c r="B15" s="202" t="n">
        <v>155455</v>
      </c>
      <c r="C15" s="202" t="n">
        <v>129387</v>
      </c>
      <c r="D15" s="202" t="inlineStr">
        <is>
          <t>RMB millions</t>
        </is>
      </c>
      <c r="E15" s="202" t="inlineStr">
        <is>
          <t>Income before income tax and share of equity method investees</t>
        </is>
      </c>
    </row>
    <row r="16">
      <c r="A16" s="202" t="inlineStr">
        <is>
          <t>Income tax expense</t>
        </is>
      </c>
      <c r="B16" s="202" t="n">
        <v>35445</v>
      </c>
      <c r="C16" s="202" t="n">
        <v>30045</v>
      </c>
      <c r="D16" s="202" t="inlineStr">
        <is>
          <t>RMB millions</t>
        </is>
      </c>
      <c r="E16" s="202" t="inlineStr">
        <is>
          <t>Consolidated income statement</t>
        </is>
      </c>
    </row>
    <row r="17">
      <c r="A17" s="202" t="inlineStr">
        <is>
          <t>Share of results of equity method investees</t>
        </is>
      </c>
      <c r="B17" s="202" t="n">
        <v>5966</v>
      </c>
      <c r="C17" s="202" t="n">
        <v>2785</v>
      </c>
      <c r="D17" s="202" t="inlineStr">
        <is>
          <t>RMB millions</t>
        </is>
      </c>
      <c r="E17" s="202" t="inlineStr">
        <is>
          <t>Consolidated income statement</t>
        </is>
      </c>
    </row>
    <row r="18">
      <c r="A18" s="202" t="inlineStr">
        <is>
          <t>Net income</t>
        </is>
      </c>
      <c r="B18" s="202" t="n">
        <v>125976</v>
      </c>
      <c r="C18" s="202" t="n">
        <v>102127</v>
      </c>
      <c r="D18" s="202" t="inlineStr">
        <is>
          <t>RMB millions</t>
        </is>
      </c>
      <c r="E18" s="202" t="inlineStr">
        <is>
          <t>Consolidated income statement</t>
        </is>
      </c>
    </row>
    <row r="19">
      <c r="A19" s="202" t="inlineStr">
        <is>
          <t>Net income attributable to ordinary shareholders mapped to row 20</t>
        </is>
      </c>
      <c r="B19" s="202" t="n">
        <v>129470</v>
      </c>
      <c r="C19" s="202" t="n">
        <v>105904</v>
      </c>
      <c r="D19" s="202" t="inlineStr">
        <is>
          <t>RMB millions</t>
        </is>
      </c>
      <c r="E19" s="202" t="inlineStr">
        <is>
          <t>Consolidated income statement</t>
        </is>
      </c>
    </row>
    <row r="20">
      <c r="A20" s="202" t="inlineStr">
        <is>
          <t>Diluted ordinary shares</t>
        </is>
      </c>
      <c r="B20" s="202" t="n">
        <v>19318</v>
      </c>
      <c r="C20" s="202" t="n">
        <v>19235</v>
      </c>
      <c r="D20" s="202" t="inlineStr">
        <is>
          <t>million ordinary shares</t>
        </is>
      </c>
      <c r="E20" s="202" t="inlineStr">
        <is>
          <t>Weighted average diluted shares</t>
        </is>
      </c>
    </row>
    <row r="21">
      <c r="A21" s="202" t="inlineStr">
        <is>
          <t>Diluted ADS-equivalent shares mapped to row 23</t>
        </is>
      </c>
      <c r="B21" s="202" t="n">
        <v>2414.75</v>
      </c>
      <c r="C21" s="202" t="n">
        <v>2404.375</v>
      </c>
      <c r="D21" s="202" t="inlineStr">
        <is>
          <t>million ADS-equivalent shares</t>
        </is>
      </c>
      <c r="E21" s="202" t="inlineStr">
        <is>
          <t>Diluted ordinary shares divided by 8 ordinary shares per ADS</t>
        </is>
      </c>
    </row>
    <row r="22">
      <c r="A22" s="202" t="inlineStr">
        <is>
          <t>Current bank borrowings</t>
        </is>
      </c>
      <c r="B22" s="202" t="n">
        <v>22562</v>
      </c>
      <c r="C22" s="202" t="n">
        <v>28224</v>
      </c>
      <c r="D22" s="202" t="inlineStr">
        <is>
          <t>RMB millions</t>
        </is>
      </c>
      <c r="E22" s="202" t="inlineStr">
        <is>
          <t>Balance sheet</t>
        </is>
      </c>
    </row>
    <row r="23">
      <c r="A23" s="202" t="inlineStr">
        <is>
          <t>Non-current bank borrowings</t>
        </is>
      </c>
      <c r="B23" s="202" t="n">
        <v>49909</v>
      </c>
      <c r="C23" s="202" t="n">
        <v>47450</v>
      </c>
      <c r="D23" s="202" t="inlineStr">
        <is>
          <t>RMB millions</t>
        </is>
      </c>
      <c r="E23" s="202" t="inlineStr">
        <is>
          <t>Balance sheet</t>
        </is>
      </c>
    </row>
    <row r="24">
      <c r="A24" s="202" t="inlineStr">
        <is>
          <t>Current unsecured senior notes</t>
        </is>
      </c>
      <c r="B24" s="202" t="n">
        <v>0</v>
      </c>
      <c r="C24" s="202" t="n">
        <v>0</v>
      </c>
      <c r="D24" s="202" t="inlineStr">
        <is>
          <t>RMB millions</t>
        </is>
      </c>
      <c r="E24" s="202" t="inlineStr">
        <is>
          <t>Balance sheet; FY2025/FY2026 line absent or zero</t>
        </is>
      </c>
    </row>
    <row r="25">
      <c r="A25" s="202" t="inlineStr">
        <is>
          <t>Non-current unsecured senior notes</t>
        </is>
      </c>
      <c r="B25" s="202" t="n">
        <v>122398</v>
      </c>
      <c r="C25" s="202" t="n">
        <v>117485</v>
      </c>
      <c r="D25" s="202" t="inlineStr">
        <is>
          <t>RMB millions</t>
        </is>
      </c>
      <c r="E25" s="202" t="inlineStr">
        <is>
          <t>Balance sheet</t>
        </is>
      </c>
    </row>
    <row r="26">
      <c r="A26" s="202" t="inlineStr">
        <is>
          <t>Convertible unsecured senior notes</t>
        </is>
      </c>
      <c r="B26" s="202" t="n">
        <v>35834</v>
      </c>
      <c r="C26" s="202" t="n">
        <v>55861</v>
      </c>
      <c r="D26" s="202" t="inlineStr">
        <is>
          <t>RMB millions</t>
        </is>
      </c>
      <c r="E26" s="202" t="inlineStr">
        <is>
          <t>Balance sheet</t>
        </is>
      </c>
    </row>
    <row r="27">
      <c r="A27" s="202" t="inlineStr">
        <is>
          <t>Exchangeable bonds</t>
        </is>
      </c>
      <c r="B27" s="202" t="n">
        <v>0</v>
      </c>
      <c r="C27" s="202" t="n">
        <v>10976</v>
      </c>
      <c r="D27" s="202" t="inlineStr">
        <is>
          <t>RMB millions</t>
        </is>
      </c>
      <c r="E27" s="202" t="inlineStr">
        <is>
          <t>Balance sheet</t>
        </is>
      </c>
    </row>
    <row r="28">
      <c r="A28" s="202" t="inlineStr">
        <is>
          <t>Total debt mapped to row 25</t>
        </is>
      </c>
      <c r="B28" s="202" t="n">
        <v>230703</v>
      </c>
      <c r="C28" s="202" t="n">
        <v>259996</v>
      </c>
      <c r="D28" s="202" t="inlineStr">
        <is>
          <t>RMB millions</t>
        </is>
      </c>
      <c r="E28" s="202" t="inlineStr">
        <is>
          <t>Sum of borrowings, senior notes, convertible notes, and exchangeable bonds</t>
        </is>
      </c>
    </row>
    <row r="29">
      <c r="A29" s="202" t="inlineStr">
        <is>
          <t>Total shareholders equity</t>
        </is>
      </c>
      <c r="B29" s="202" t="n">
        <v>1009858</v>
      </c>
      <c r="C29" s="202" t="n">
        <v>1060886</v>
      </c>
      <c r="D29" s="202" t="inlineStr">
        <is>
          <t>RMB millions</t>
        </is>
      </c>
      <c r="E29" s="202" t="inlineStr">
        <is>
          <t>Balance sheet</t>
        </is>
      </c>
    </row>
    <row r="30">
      <c r="A30" s="202" t="inlineStr">
        <is>
          <t>Cash and other liquid investments mapped to row 28</t>
        </is>
      </c>
      <c r="B30" s="202" t="n">
        <v>597132</v>
      </c>
      <c r="C30" s="202" t="n">
        <v>520824</v>
      </c>
      <c r="D30" s="202" t="inlineStr">
        <is>
          <t>RMB millions</t>
        </is>
      </c>
      <c r="E30" s="202" t="inlineStr">
        <is>
          <t>Cash and cash equivalents, short-term investments and other treasury investments</t>
        </is>
      </c>
    </row>
    <row r="31">
      <c r="A31" s="202" t="inlineStr">
        <is>
          <t>Share repurchases cash use</t>
        </is>
      </c>
      <c r="B31" s="202" t="n">
        <v>-86662</v>
      </c>
      <c r="C31" s="202" t="n">
        <v>0</v>
      </c>
      <c r="D31" s="202" t="inlineStr">
        <is>
          <t>RMB millions</t>
        </is>
      </c>
      <c r="E31" s="202" t="inlineStr">
        <is>
          <t>FY2025 disclosed cash used in repurchase; FY2026 release did not disclose comparable repurchase cash use</t>
        </is>
      </c>
    </row>
    <row r="32">
      <c r="A32" s="202" t="inlineStr">
        <is>
          <t>Share-based compensation</t>
        </is>
      </c>
      <c r="B32" s="202" t="n">
        <v>13970</v>
      </c>
      <c r="C32" s="202" t="n">
        <v>11180</v>
      </c>
      <c r="D32" s="202" t="inlineStr">
        <is>
          <t>RMB millions</t>
        </is>
      </c>
      <c r="E32" s="202" t="inlineStr">
        <is>
          <t>Adjusted EBITA reconciliation</t>
        </is>
      </c>
    </row>
    <row r="33">
      <c r="A33" s="202" t="inlineStr">
        <is>
          <t>Debt issuance / financing proceeds mapped to row 34</t>
        </is>
      </c>
      <c r="B33" s="202" t="n">
        <v>67032</v>
      </c>
      <c r="C33" s="202" t="n">
        <v>31953</v>
      </c>
      <c r="D33" s="202" t="inlineStr">
        <is>
          <t>RMB millions</t>
        </is>
      </c>
      <c r="E33" s="202" t="inlineStr">
        <is>
          <t>FY2025 disclosed net proceeds; FY2026 20,967 convertible/capped calls + 10,986 exchangeable bonds</t>
        </is>
      </c>
    </row>
    <row r="34">
      <c r="A34" s="202" t="inlineStr">
        <is>
          <t>Debt repayment mapped to row 35</t>
        </is>
      </c>
      <c r="B34" s="202" t="n">
        <v>-16220</v>
      </c>
      <c r="C34" s="202" t="n">
        <v>0</v>
      </c>
      <c r="D34" s="202" t="inlineStr">
        <is>
          <t>RMB millions</t>
        </is>
      </c>
      <c r="E34" s="202" t="inlineStr">
        <is>
          <t>FY2025 disclosed repayment of unsecured senior notes; FY2026 release did not disclose comparable repayment line</t>
        </is>
      </c>
    </row>
    <row r="35">
      <c r="A35" s="202" t="inlineStr">
        <is>
          <t>Operating cash flow</t>
        </is>
      </c>
      <c r="B35" s="202" t="n">
        <v>163509</v>
      </c>
      <c r="C35" s="202" t="n">
        <v>76213</v>
      </c>
      <c r="D35" s="202" t="inlineStr">
        <is>
          <t>RMB millions</t>
        </is>
      </c>
      <c r="E35" s="202" t="inlineStr">
        <is>
          <t>Cash flow statement</t>
        </is>
      </c>
    </row>
    <row r="36">
      <c r="A36" s="202" t="inlineStr">
        <is>
          <t>Investing cash flow</t>
        </is>
      </c>
      <c r="B36" s="202" t="n">
        <v>-185415</v>
      </c>
      <c r="C36" s="202" t="n">
        <v>-67336</v>
      </c>
      <c r="D36" s="202" t="inlineStr">
        <is>
          <t>RMB millions</t>
        </is>
      </c>
      <c r="E36" s="202" t="inlineStr">
        <is>
          <t>Cash flow statement</t>
        </is>
      </c>
    </row>
    <row r="37">
      <c r="A37" s="202" t="inlineStr">
        <is>
          <t>Financing cash flow</t>
        </is>
      </c>
      <c r="B37" s="202" t="n">
        <v>-76215</v>
      </c>
      <c r="C37" s="202" t="n">
        <v>-20573</v>
      </c>
      <c r="D37" s="202" t="inlineStr">
        <is>
          <t>RMB millions</t>
        </is>
      </c>
      <c r="E37" s="202" t="inlineStr">
        <is>
          <t>Cash flow statement</t>
        </is>
      </c>
    </row>
    <row r="38">
      <c r="A38" s="202" t="inlineStr">
        <is>
          <t>Net cash change</t>
        </is>
      </c>
      <c r="B38" s="202" t="n">
        <v>-97156</v>
      </c>
      <c r="C38" s="202" t="n">
        <v>-15700</v>
      </c>
      <c r="D38" s="202" t="inlineStr">
        <is>
          <t>RMB millions</t>
        </is>
      </c>
      <c r="E38" s="202" t="inlineStr">
        <is>
          <t>Cash flow statement; cash, restricted cash, and escrow receivables</t>
        </is>
      </c>
    </row>
    <row r="39">
      <c r="A39" s="202" t="inlineStr">
        <is>
          <t>Free cash flow</t>
        </is>
      </c>
      <c r="B39" s="202" t="n">
        <v>73870</v>
      </c>
      <c r="C39" s="202" t="n">
        <v>-46609</v>
      </c>
      <c r="D39" s="202" t="inlineStr">
        <is>
          <t>RMB millions</t>
        </is>
      </c>
      <c r="E39" s="202" t="inlineStr">
        <is>
          <t>Non-GAAP reconciliation</t>
        </is>
      </c>
    </row>
    <row r="40">
      <c r="A40" s="202" t="inlineStr">
        <is>
          <t>RMB/USD exchange rate used in release</t>
        </is>
      </c>
      <c r="B40" s="202" t="n">
        <v>7.2567</v>
      </c>
      <c r="C40" s="202" t="n">
        <v>6.898</v>
      </c>
      <c r="D40" s="202" t="inlineStr">
        <is>
          <t>RMB per USD</t>
        </is>
      </c>
      <c r="E40" s="202" t="inlineStr">
        <is>
          <t>Exchange-rate note in Alibaba result releases</t>
        </is>
      </c>
    </row>
    <row r="41">
      <c r="A41" s="202" t="inlineStr">
        <is>
          <t>Market input for fallback valuation</t>
        </is>
      </c>
      <c r="B41" s="202" t="inlineStr"/>
      <c r="C41" s="202" t="inlineStr">
        <is>
          <t>BABA $132.59 close; RMB/USD 6.8980; ADS price fallback RMB914.60582</t>
        </is>
      </c>
      <c r="D41" s="202" t="inlineStr"/>
      <c r="E41" s="202" t="inlineStr">
        <is>
          <t>Market price fallback updated for local rendering; GOOGLEFINANCE formulas remain in place for live-capable engines</t>
        </is>
      </c>
    </row>
    <row r="43">
      <c r="A43" s="0" t="inlineStr">
        <is>
          <t>Source URLs</t>
        </is>
      </c>
      <c r="B43" s="0" t="inlineStr"/>
      <c r="C43" s="0" t="inlineStr"/>
      <c r="D43" s="0" t="inlineStr"/>
      <c r="E43" s="0" t="inlineStr"/>
    </row>
    <row r="44">
      <c r="A44" s="0" t="inlineStr">
        <is>
          <t>FY2025 release</t>
        </is>
      </c>
      <c r="B44" s="0" t="inlineStr"/>
      <c r="C44" s="0" t="inlineStr"/>
      <c r="D44" s="0" t="inlineStr"/>
      <c r="E44" s="0" t="inlineStr">
        <is>
          <t>https://home.alibabagroup.com/en-US/document-1859016196574150656</t>
        </is>
      </c>
    </row>
    <row r="45">
      <c r="A45" s="0" t="inlineStr">
        <is>
          <t>FY2026 release</t>
        </is>
      </c>
      <c r="B45" s="0" t="inlineStr"/>
      <c r="C45" s="0" t="inlineStr"/>
      <c r="D45" s="0" t="inlineStr"/>
      <c r="E45" s="0" t="inlineStr">
        <is>
          <t>https://home.alibabagroup.com/en-US/document-1991237455038119936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2026-05-17T18:59:53Z</dcterms:created>
  <dcterms:modified xsi:type="dcterms:W3CDTF">2026-05-17T19:08:31Z</dcterms:modified>
</cp:coreProperties>
</file>