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i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3" fillId="0" borderId="1" pivotButton="0" quotePrefix="0" xfId="0"/>
    <xf numFmtId="0" fontId="2" fillId="0" borderId="1" pivotButton="0" quotePrefix="0" xfId="0"/>
    <xf numFmtId="0" fontId="5" fillId="2" borderId="1" applyAlignment="1" pivotButton="0" quotePrefix="0" xfId="0">
      <alignment horizontal="center" wrapText="1"/>
    </xf>
    <xf numFmtId="0" fontId="1" fillId="0" borderId="0" pivotButton="0" quotePrefix="0" xfId="0"/>
    <xf numFmtId="0" fontId="6" fillId="0" borderId="0" applyAlignment="1" pivotButton="0" quotePrefix="0" xfId="0">
      <alignment wrapText="1"/>
    </xf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55" customWidth="1" min="3" max="3"/>
  </cols>
  <sheetData>
    <row r="1">
      <c r="A1" s="1" t="inlineStr">
        <is>
          <t>Old National Bancorp (ONB) — Investment Valuation Model</t>
        </is>
      </c>
    </row>
    <row r="2">
      <c r="A2" s="2" t="inlineStr">
        <is>
          <t>Bank-Specific Model: P/B + ROE Framework (FCF N/A for banks)</t>
        </is>
      </c>
    </row>
    <row r="3">
      <c r="A3" s="3" t="inlineStr">
        <is>
          <t>Company:</t>
        </is>
      </c>
      <c r="B3" s="4" t="inlineStr">
        <is>
          <t>Old National Bancorp</t>
        </is>
      </c>
      <c r="C3" s="4" t="inlineStr"/>
    </row>
    <row r="4">
      <c r="A4" s="3" t="inlineStr">
        <is>
          <t>Ticker:</t>
        </is>
      </c>
      <c r="B4" s="4" t="inlineStr">
        <is>
          <t>NASDAQ: ONB</t>
        </is>
      </c>
      <c r="C4" s="4" t="inlineStr"/>
    </row>
    <row r="5">
      <c r="A5" s="3" t="inlineStr">
        <is>
          <t>Date:</t>
        </is>
      </c>
      <c r="B5" s="4" t="inlineStr">
        <is>
          <t>July 16, 2026</t>
        </is>
      </c>
      <c r="C5" s="4" t="inlineStr"/>
    </row>
    <row r="6">
      <c r="A6" s="3" t="inlineStr">
        <is>
          <t>Sector / Industry:</t>
        </is>
      </c>
      <c r="B6" s="4" t="inlineStr">
        <is>
          <t>Financial Services / Banks — Regional</t>
        </is>
      </c>
      <c r="C6" s="4" t="inlineStr"/>
    </row>
    <row r="7">
      <c r="A7" s="3" t="inlineStr">
        <is>
          <t>Price:</t>
        </is>
      </c>
      <c r="B7" s="4" t="inlineStr">
        <is>
          <t>$27.29</t>
        </is>
      </c>
      <c r="C7" s="4" t="inlineStr">
        <is>
          <t>Close July 16, 2026</t>
        </is>
      </c>
    </row>
    <row r="8">
      <c r="A8" s="3" t="inlineStr">
        <is>
          <t>Shares Outstanding:</t>
        </is>
      </c>
      <c r="B8" s="4" t="inlineStr">
        <is>
          <t>386.4M</t>
        </is>
      </c>
      <c r="C8" s="4" t="inlineStr">
        <is>
          <t>Yahoo Statistics MRQ</t>
        </is>
      </c>
    </row>
    <row r="9">
      <c r="A9" s="3" t="inlineStr">
        <is>
          <t>Market Cap:</t>
        </is>
      </c>
      <c r="B9" s="4" t="inlineStr">
        <is>
          <t>$10.19B</t>
        </is>
      </c>
      <c r="C9" s="4" t="inlineStr"/>
    </row>
    <row r="10">
      <c r="A10" s="3" t="inlineStr">
        <is>
          <t>Enterprise Value:</t>
        </is>
      </c>
      <c r="B10" s="4" t="inlineStr">
        <is>
          <t>N/A (bank — deposits are operating liabilities)</t>
        </is>
      </c>
      <c r="C10" s="4" t="inlineStr"/>
    </row>
    <row r="11">
      <c r="A11" s="3" t="inlineStr">
        <is>
          <t>Primary Valuation Lens:</t>
        </is>
      </c>
      <c r="B11" s="4" t="inlineStr">
        <is>
          <t>P/B + ROE / Forward P/E</t>
        </is>
      </c>
      <c r="C11" s="4" t="inlineStr">
        <is>
          <t>Bank-specific framework</t>
        </is>
      </c>
    </row>
    <row r="12">
      <c r="A12" s="5" t="inlineStr">
        <is>
          <t>Key Valuation Metrics</t>
        </is>
      </c>
      <c r="B12" s="4" t="inlineStr">
        <is>
          <t>Watch</t>
        </is>
      </c>
      <c r="C12" s="4" t="inlineStr">
        <is>
          <t>See research report</t>
        </is>
      </c>
    </row>
    <row r="13">
      <c r="A13" s="6" t="inlineStr">
        <is>
          <t>Metric</t>
        </is>
      </c>
      <c r="B13" s="6" t="inlineStr">
        <is>
          <t>Value</t>
        </is>
      </c>
      <c r="C13" s="6" t="inlineStr">
        <is>
          <t>Comment</t>
        </is>
      </c>
    </row>
    <row r="14">
      <c r="A14" s="4" t="inlineStr">
        <is>
          <t>Trailing P/E</t>
        </is>
      </c>
      <c r="B14" s="4" t="inlineStr">
        <is>
          <t>13.59x</t>
        </is>
      </c>
      <c r="C14" s="4" t="inlineStr">
        <is>
          <t>Yahoo Statistics current; near historical avg for regional banks</t>
        </is>
      </c>
    </row>
    <row r="15">
      <c r="A15" s="4" t="inlineStr">
        <is>
          <t>Forward P/E</t>
        </is>
      </c>
      <c r="B15" s="4" t="inlineStr">
        <is>
          <t>10.06x</t>
        </is>
      </c>
      <c r="C15" s="4" t="inlineStr">
        <is>
          <t>Based on FY26 EPS consensus $2.59 (12 analysts)</t>
        </is>
      </c>
    </row>
    <row r="16">
      <c r="A16" s="4" t="inlineStr">
        <is>
          <t>P/S Ratio</t>
        </is>
      </c>
      <c r="B16" s="4" t="inlineStr">
        <is>
          <t>3.68x</t>
        </is>
      </c>
      <c r="C16" s="4" t="inlineStr">
        <is>
          <t>Revenue ~$2.74B TTM</t>
        </is>
      </c>
    </row>
    <row r="17">
      <c r="A17" s="4" t="inlineStr">
        <is>
          <t>P/B Ratio</t>
        </is>
      </c>
      <c r="B17" s="4" t="inlineStr">
        <is>
          <t>1.23x</t>
        </is>
      </c>
      <c r="C17" s="4" t="inlineStr">
        <is>
          <t>Total BVPS $21.43; Common BVPS ~$20.83 after preferred adj</t>
        </is>
      </c>
    </row>
    <row r="18">
      <c r="A18" s="4" t="inlineStr">
        <is>
          <t>P/FCF</t>
        </is>
      </c>
      <c r="B18" s="4" t="inlineStr">
        <is>
          <t>N/A</t>
        </is>
      </c>
      <c r="C18" s="4" t="inlineStr">
        <is>
          <t>FCF meaningless for banks — deposits offset loan origination</t>
        </is>
      </c>
    </row>
    <row r="19">
      <c r="A19" s="4" t="inlineStr">
        <is>
          <t>EV/Revenue</t>
        </is>
      </c>
      <c r="B19" s="4" t="inlineStr">
        <is>
          <t>N/A</t>
        </is>
      </c>
      <c r="C19" s="4" t="inlineStr">
        <is>
          <t>Enterprise value not applicable for banks</t>
        </is>
      </c>
    </row>
    <row r="20">
      <c r="A20" s="4" t="inlineStr">
        <is>
          <t>EV/EBITDA</t>
        </is>
      </c>
      <c r="B20" s="4" t="inlineStr">
        <is>
          <t>N/A</t>
        </is>
      </c>
      <c r="C20" s="4" t="inlineStr">
        <is>
          <t>Not applicable for banks</t>
        </is>
      </c>
    </row>
    <row r="21">
      <c r="A21" s="4" t="inlineStr">
        <is>
          <t>EV/FCF</t>
        </is>
      </c>
      <c r="B21" s="4" t="inlineStr">
        <is>
          <t>N/A</t>
        </is>
      </c>
      <c r="C21" s="4" t="inlineStr">
        <is>
          <t>Not applicable for banks</t>
        </is>
      </c>
    </row>
    <row r="22">
      <c r="A22" s="4" t="inlineStr">
        <is>
          <t>Dividend Yield</t>
        </is>
      </c>
      <c r="B22" s="4" t="inlineStr">
        <is>
          <t>2.20%</t>
        </is>
      </c>
      <c r="C22" s="4" t="inlineStr">
        <is>
          <t>$0.58 fwd annual rate, 29.1% payout ratio</t>
        </is>
      </c>
    </row>
    <row r="23">
      <c r="A23" s="4" t="inlineStr">
        <is>
          <t>ROE (TTM)</t>
        </is>
      </c>
      <c r="B23" s="4" t="inlineStr">
        <is>
          <t>10.08%</t>
        </is>
      </c>
      <c r="C23" s="4" t="inlineStr">
        <is>
          <t>Yahoo Statistics; below cost of equity (~12.6%)</t>
        </is>
      </c>
    </row>
    <row r="24">
      <c r="A24" s="4" t="inlineStr">
        <is>
          <t>ROA (TTM)</t>
        </is>
      </c>
      <c r="B24" s="4" t="inlineStr">
        <is>
          <t>1.20%</t>
        </is>
      </c>
      <c r="C24" s="4" t="inlineStr">
        <is>
          <t>Decent for regional bank</t>
        </is>
      </c>
    </row>
    <row r="25">
      <c r="A25" s="4" t="inlineStr">
        <is>
          <t>Beta (5Y)</t>
        </is>
      </c>
      <c r="B25" s="4" t="inlineStr">
        <is>
          <t>0.83</t>
        </is>
      </c>
      <c r="C25" s="4" t="inlineStr">
        <is>
          <t>Lower than market; rate-cycle beta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50" customWidth="1" min="3" max="3"/>
  </cols>
  <sheetData>
    <row r="1">
      <c r="A1" s="7" t="inlineStr">
        <is>
          <t>WACC Calculation — CAPM</t>
        </is>
      </c>
    </row>
    <row r="2">
      <c r="A2" s="6" t="inlineStr">
        <is>
          <t>Component</t>
        </is>
      </c>
      <c r="B2" s="6" t="inlineStr">
        <is>
          <t>Value</t>
        </is>
      </c>
      <c r="C2" s="6" t="inlineStr">
        <is>
          <t>Source / Notes</t>
        </is>
      </c>
    </row>
    <row r="3">
      <c r="A3" s="4" t="inlineStr">
        <is>
          <t>Risk-Free Rate (10Y US Treasury)</t>
        </is>
      </c>
      <c r="B3" s="4" t="inlineStr">
        <is>
          <t>4.557%</t>
        </is>
      </c>
      <c r="C3" s="4" t="inlineStr">
        <is>
          <t>CNBC US10Y, July 16, 2026</t>
        </is>
      </c>
    </row>
    <row r="4">
      <c r="A4" s="4" t="inlineStr">
        <is>
          <t>Equity Risk Premium</t>
        </is>
      </c>
      <c r="B4" s="4" t="inlineStr">
        <is>
          <t>5.0%</t>
        </is>
      </c>
      <c r="C4" s="4" t="inlineStr">
        <is>
          <t>Standard assumption</t>
        </is>
      </c>
    </row>
    <row r="5">
      <c r="A5" s="4" t="inlineStr">
        <is>
          <t>Beta (Levered, 5Y Monthly)</t>
        </is>
      </c>
      <c r="B5" s="4" t="inlineStr">
        <is>
          <t>0.83</t>
        </is>
      </c>
      <c r="C5" s="4" t="inlineStr">
        <is>
          <t>Yahoo Statistics</t>
        </is>
      </c>
    </row>
    <row r="6">
      <c r="A6" s="4" t="inlineStr">
        <is>
          <t>Cost of Equity (Rf + Beta × ERP)</t>
        </is>
      </c>
      <c r="B6" s="4" t="inlineStr">
        <is>
          <t>8.71%</t>
        </is>
      </c>
      <c r="C6" s="4" t="inlineStr">
        <is>
          <t>4.557 + 0.83 × 5.0</t>
        </is>
      </c>
    </row>
    <row r="7">
      <c r="A7" s="4" t="inlineStr">
        <is>
          <t>Before-Tax Cost of Debt</t>
        </is>
      </c>
      <c r="B7" s="4" t="inlineStr">
        <is>
          <t>3.8%</t>
        </is>
      </c>
      <c r="C7" s="4" t="inlineStr">
        <is>
          <t>Interest expense / total debt estimate</t>
        </is>
      </c>
    </row>
    <row r="8">
      <c r="A8" s="4" t="inlineStr">
        <is>
          <t>Tax Rate</t>
        </is>
      </c>
      <c r="B8" s="4" t="inlineStr">
        <is>
          <t>22.5%</t>
        </is>
      </c>
      <c r="C8" s="4" t="inlineStr">
        <is>
          <t>FY2025 tax provision / pretax income</t>
        </is>
      </c>
    </row>
    <row r="9">
      <c r="A9" s="4" t="inlineStr">
        <is>
          <t>After-Tax Cost of Debt</t>
        </is>
      </c>
      <c r="B9" s="4" t="inlineStr">
        <is>
          <t>294.37%</t>
        </is>
      </c>
      <c r="C9" s="4" t="inlineStr">
        <is>
          <t>3.8% × (1 - 0.23)</t>
        </is>
      </c>
    </row>
    <row r="10">
      <c r="A10" s="4" t="inlineStr">
        <is>
          <t>Market Cap</t>
        </is>
      </c>
      <c r="B10" s="4" t="inlineStr">
        <is>
          <t>$10.19B</t>
        </is>
      </c>
      <c r="C10" s="4" t="inlineStr">
        <is>
          <t>Yahoo Statistics</t>
        </is>
      </c>
    </row>
    <row r="11">
      <c r="A11" s="4" t="inlineStr">
        <is>
          <t>Total Debt</t>
        </is>
      </c>
      <c r="B11" s="4" t="inlineStr">
        <is>
          <t>$8.3B</t>
        </is>
      </c>
      <c r="C11" s="4" t="inlineStr">
        <is>
          <t>Yahoo Statistics MRQ</t>
        </is>
      </c>
    </row>
    <row r="12">
      <c r="A12" s="4" t="inlineStr">
        <is>
          <t>Equity Weight</t>
        </is>
      </c>
      <c r="B12" s="4" t="inlineStr">
        <is>
          <t>0.5511</t>
        </is>
      </c>
      <c r="C12" s="4" t="inlineStr">
        <is>
          <t>MC / (MC + Debt)</t>
        </is>
      </c>
    </row>
    <row r="13">
      <c r="A13" s="4" t="inlineStr">
        <is>
          <t>Debt Weight</t>
        </is>
      </c>
      <c r="B13" s="4" t="inlineStr">
        <is>
          <t>0.4489</t>
        </is>
      </c>
      <c r="C13" s="4" t="inlineStr">
        <is>
          <t>Debt / (MC + Debt)</t>
        </is>
      </c>
    </row>
    <row r="14">
      <c r="A14" s="4" t="inlineStr">
        <is>
          <t>WACC</t>
        </is>
      </c>
      <c r="B14" s="4" t="inlineStr">
        <is>
          <t>6.12%</t>
        </is>
      </c>
      <c r="C14" s="4">
        <f> 0.5511 × 8.71% + 0.4489 × 2.94%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</cols>
  <sheetData>
    <row r="1">
      <c r="A1" s="7" t="inlineStr">
        <is>
          <t>Scenario Analysis — P/B + ROE Framework (Bank-Specific)</t>
        </is>
      </c>
    </row>
    <row r="2">
      <c r="A2" s="8" t="inlineStr">
        <is>
          <t>Note: FCF multiples are N/A for banks. Primary valuation via BVPS CAGR and exit P/B multiple. Forward P/E used as cross-check.</t>
        </is>
      </c>
    </row>
    <row r="4">
      <c r="A4" s="6" t="inlineStr">
        <is>
          <t>Driver</t>
        </is>
      </c>
      <c r="B4" s="6" t="inlineStr">
        <is>
          <t>Bear</t>
        </is>
      </c>
      <c r="C4" s="6" t="inlineStr">
        <is>
          <t>Weight</t>
        </is>
      </c>
      <c r="D4" s="6" t="inlineStr">
        <is>
          <t>Base</t>
        </is>
      </c>
      <c r="E4" s="6" t="inlineStr">
        <is>
          <t>Weight</t>
        </is>
      </c>
      <c r="F4" s="6" t="inlineStr">
        <is>
          <t>Bull</t>
        </is>
      </c>
      <c r="G4" s="6" t="inlineStr">
        <is>
          <t>Weight</t>
        </is>
      </c>
    </row>
    <row r="5">
      <c r="A5" s="4" t="inlineStr">
        <is>
          <t>Revenue CAGR (5Y)</t>
        </is>
      </c>
      <c r="B5" s="4" t="inlineStr">
        <is>
          <t>4%</t>
        </is>
      </c>
      <c r="C5" s="4" t="inlineStr"/>
      <c r="D5" s="4" t="inlineStr">
        <is>
          <t>5%</t>
        </is>
      </c>
      <c r="E5" s="4" t="inlineStr"/>
      <c r="F5" s="4" t="inlineStr">
        <is>
          <t>7%</t>
        </is>
      </c>
      <c r="G5" s="4" t="inlineStr"/>
    </row>
    <row r="6">
      <c r="A6" s="4" t="inlineStr">
        <is>
          <t>Terminal Revenue (5Y, $M)</t>
        </is>
      </c>
      <c r="B6" s="4" t="inlineStr">
        <is>
          <t>3071</t>
        </is>
      </c>
      <c r="C6" s="4" t="inlineStr"/>
      <c r="D6" s="4" t="inlineStr">
        <is>
          <t>3222</t>
        </is>
      </c>
      <c r="E6" s="4" t="inlineStr"/>
      <c r="F6" s="4" t="inlineStr">
        <is>
          <t>3541</t>
        </is>
      </c>
      <c r="G6" s="4" t="inlineStr"/>
    </row>
    <row r="7">
      <c r="A7" s="4" t="inlineStr">
        <is>
          <t>BVPS CAGR (5Y)</t>
        </is>
      </c>
      <c r="B7" s="4" t="inlineStr">
        <is>
          <t>3%</t>
        </is>
      </c>
      <c r="C7" s="4" t="inlineStr"/>
      <c r="D7" s="4" t="inlineStr">
        <is>
          <t>6%</t>
        </is>
      </c>
      <c r="E7" s="4" t="inlineStr"/>
      <c r="F7" s="4" t="inlineStr">
        <is>
          <t>10%</t>
        </is>
      </c>
      <c r="G7" s="4" t="inlineStr"/>
    </row>
    <row r="8">
      <c r="A8" s="4" t="inlineStr">
        <is>
          <t>Terminal BVPS (Common)</t>
        </is>
      </c>
      <c r="B8" s="4" t="inlineStr">
        <is>
          <t>24.15</t>
        </is>
      </c>
      <c r="C8" s="4" t="inlineStr"/>
      <c r="D8" s="4" t="inlineStr">
        <is>
          <t>27.88</t>
        </is>
      </c>
      <c r="E8" s="4" t="inlineStr"/>
      <c r="F8" s="4" t="inlineStr">
        <is>
          <t>33.55</t>
        </is>
      </c>
      <c r="G8" s="4" t="inlineStr"/>
    </row>
    <row r="9">
      <c r="A9" s="4" t="inlineStr">
        <is>
          <t>Exit P/B Multiple</t>
        </is>
      </c>
      <c r="B9" s="4" t="inlineStr">
        <is>
          <t>0.90x</t>
        </is>
      </c>
      <c r="C9" s="4" t="inlineStr"/>
      <c r="D9" s="4" t="inlineStr">
        <is>
          <t>1.20x</t>
        </is>
      </c>
      <c r="E9" s="4" t="inlineStr"/>
      <c r="F9" s="4" t="inlineStr">
        <is>
          <t>1.50x</t>
        </is>
      </c>
      <c r="G9" s="4" t="inlineStr"/>
    </row>
    <row r="10">
      <c r="A10" s="4" t="inlineStr">
        <is>
          <t>Implied P/B Target ($)</t>
        </is>
      </c>
      <c r="B10" s="4" t="inlineStr">
        <is>
          <t>21.73</t>
        </is>
      </c>
      <c r="C10" s="4" t="inlineStr"/>
      <c r="D10" s="4" t="inlineStr">
        <is>
          <t>33.45</t>
        </is>
      </c>
      <c r="E10" s="4" t="inlineStr"/>
      <c r="F10" s="4" t="inlineStr">
        <is>
          <t>50.32</t>
        </is>
      </c>
      <c r="G10" s="4" t="inlineStr"/>
    </row>
    <row r="11">
      <c r="A11" s="4" t="inlineStr">
        <is>
          <t>Forward ROE</t>
        </is>
      </c>
      <c r="B11" s="4" t="inlineStr">
        <is>
          <t>8%</t>
        </is>
      </c>
      <c r="C11" s="4" t="inlineStr"/>
      <c r="D11" s="4" t="inlineStr">
        <is>
          <t>10%</t>
        </is>
      </c>
      <c r="E11" s="4" t="inlineStr"/>
      <c r="F11" s="4" t="inlineStr">
        <is>
          <t>13%</t>
        </is>
      </c>
      <c r="G11" s="4" t="inlineStr"/>
    </row>
    <row r="12">
      <c r="A12" s="4" t="inlineStr">
        <is>
          <t>5Y EPS Estimate</t>
        </is>
      </c>
      <c r="B12" s="4" t="inlineStr">
        <is>
          <t>$3.10</t>
        </is>
      </c>
      <c r="C12" s="4" t="inlineStr"/>
      <c r="D12" s="4" t="inlineStr">
        <is>
          <t>$3.40</t>
        </is>
      </c>
      <c r="E12" s="4" t="inlineStr"/>
      <c r="F12" s="4" t="inlineStr">
        <is>
          <t>$3.80</t>
        </is>
      </c>
      <c r="G12" s="4" t="inlineStr"/>
    </row>
    <row r="13">
      <c r="A13" s="4" t="inlineStr">
        <is>
          <t>Exit P/E (Cross-Check)</t>
        </is>
      </c>
      <c r="B13" s="4" t="inlineStr">
        <is>
          <t>9x</t>
        </is>
      </c>
      <c r="C13" s="4" t="inlineStr"/>
      <c r="D13" s="4" t="inlineStr">
        <is>
          <t>11x</t>
        </is>
      </c>
      <c r="E13" s="4" t="inlineStr"/>
      <c r="F13" s="4" t="inlineStr">
        <is>
          <t>13x</t>
        </is>
      </c>
      <c r="G13" s="4" t="inlineStr"/>
    </row>
    <row r="14">
      <c r="A14" s="4" t="inlineStr">
        <is>
          <t>P/E Target ($)</t>
        </is>
      </c>
      <c r="B14" s="4" t="inlineStr">
        <is>
          <t>27.90</t>
        </is>
      </c>
      <c r="C14" s="4" t="inlineStr"/>
      <c r="D14" s="4" t="inlineStr">
        <is>
          <t>37.40</t>
        </is>
      </c>
      <c r="E14" s="4" t="inlineStr"/>
      <c r="F14" s="4" t="inlineStr">
        <is>
          <t>49.40</t>
        </is>
      </c>
      <c r="G14" s="4" t="inlineStr"/>
    </row>
    <row r="15">
      <c r="A15" s="4" t="inlineStr">
        <is>
          <t>Target Price (P/B)</t>
        </is>
      </c>
      <c r="B15" s="9" t="inlineStr">
        <is>
          <t>$21.73</t>
        </is>
      </c>
      <c r="C15" s="4" t="inlineStr"/>
      <c r="D15" s="10" t="inlineStr">
        <is>
          <t>$33.45</t>
        </is>
      </c>
      <c r="E15" s="4" t="inlineStr"/>
      <c r="F15" s="11" t="inlineStr">
        <is>
          <t>$50.32</t>
        </is>
      </c>
      <c r="G15" s="4" t="inlineStr"/>
    </row>
    <row r="16">
      <c r="A16" s="4" t="inlineStr">
        <is>
          <t>Upside from Current</t>
        </is>
      </c>
      <c r="B16" s="9" t="inlineStr">
        <is>
          <t>-20.4%</t>
        </is>
      </c>
      <c r="C16" s="4" t="inlineStr"/>
      <c r="D16" s="10" t="inlineStr">
        <is>
          <t>22.6%</t>
        </is>
      </c>
      <c r="E16" s="4" t="inlineStr"/>
      <c r="F16" s="11" t="inlineStr">
        <is>
          <t>84.4%</t>
        </is>
      </c>
      <c r="G16" s="4" t="inlineStr"/>
    </row>
    <row r="17">
      <c r="A17" s="4" t="inlineStr">
        <is>
          <t>Weight</t>
        </is>
      </c>
      <c r="B17" s="4" t="inlineStr">
        <is>
          <t>25%</t>
        </is>
      </c>
      <c r="C17" s="4" t="inlineStr"/>
      <c r="D17" s="4" t="inlineStr">
        <is>
          <t>50%</t>
        </is>
      </c>
      <c r="E17" s="4" t="inlineStr"/>
      <c r="F17" s="4" t="inlineStr">
        <is>
          <t>25%</t>
        </is>
      </c>
      <c r="G17" s="4" t="inlineStr"/>
    </row>
    <row r="18">
      <c r="A18" s="4" t="inlineStr">
        <is>
          <t>Weighted Value/Share</t>
        </is>
      </c>
      <c r="B18" s="4" t="inlineStr">
        <is>
          <t>5.43</t>
        </is>
      </c>
      <c r="C18" s="4" t="inlineStr"/>
      <c r="D18" s="4" t="inlineStr">
        <is>
          <t>16.73</t>
        </is>
      </c>
      <c r="E18" s="4" t="inlineStr"/>
      <c r="F18" s="4" t="inlineStr">
        <is>
          <t>12.58</t>
        </is>
      </c>
      <c r="G18" s="4" t="inlineStr"/>
    </row>
    <row r="20">
      <c r="A20" s="12" t="inlineStr">
        <is>
          <t>Total Probability-Weighted FV ($/share)</t>
        </is>
      </c>
      <c r="B20" s="13" t="inlineStr">
        <is>
          <t>$34.74</t>
        </is>
      </c>
    </row>
    <row r="21">
      <c r="A21" s="12" t="inlineStr">
        <is>
          <t>Implied Upside from Current Price</t>
        </is>
      </c>
      <c r="B21" s="13" t="inlineStr">
        <is>
          <t>27.3%</t>
        </is>
      </c>
    </row>
    <row r="23">
      <c r="A23" s="12" t="inlineStr">
        <is>
          <t>WACC</t>
        </is>
      </c>
      <c r="B23" s="14" t="inlineStr">
        <is>
          <t>6.12%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5" customWidth="1" min="3" max="3"/>
    <col width="45" customWidth="1" min="4" max="4"/>
  </cols>
  <sheetData>
    <row r="1">
      <c r="A1" s="7" t="inlineStr">
        <is>
          <t>Data Source Audit</t>
        </is>
      </c>
    </row>
    <row r="2">
      <c r="A2" s="6" t="inlineStr">
        <is>
          <t>Data Point</t>
        </is>
      </c>
      <c r="B2" s="6" t="inlineStr">
        <is>
          <t>Value</t>
        </is>
      </c>
      <c r="C2" s="6" t="inlineStr">
        <is>
          <t>Source</t>
        </is>
      </c>
      <c r="D2" s="6" t="inlineStr">
        <is>
          <t>Date / Notes</t>
        </is>
      </c>
    </row>
    <row r="3">
      <c r="A3" s="4" t="inlineStr">
        <is>
          <t>Stock Price</t>
        </is>
      </c>
      <c r="B3" s="4" t="inlineStr">
        <is>
          <t>$27.29</t>
        </is>
      </c>
      <c r="C3" s="4" t="inlineStr">
        <is>
          <t>Yahoo Finance</t>
        </is>
      </c>
      <c r="D3" s="4" t="inlineStr">
        <is>
          <t>July 16, 2026 close</t>
        </is>
      </c>
    </row>
    <row r="4">
      <c r="A4" s="4" t="inlineStr">
        <is>
          <t>Market Cap</t>
        </is>
      </c>
      <c r="B4" s="4" t="inlineStr">
        <is>
          <t>$10.19B</t>
        </is>
      </c>
      <c r="C4" s="4" t="inlineStr">
        <is>
          <t>Yahoo Statistics</t>
        </is>
      </c>
      <c r="D4" s="4" t="inlineStr">
        <is>
          <t>Current MRQ</t>
        </is>
      </c>
    </row>
    <row r="5">
      <c r="A5" s="4" t="inlineStr">
        <is>
          <t>Shares Outstanding</t>
        </is>
      </c>
      <c r="B5" s="4" t="inlineStr">
        <is>
          <t>386.37M</t>
        </is>
      </c>
      <c r="C5" s="4" t="inlineStr">
        <is>
          <t>Yahoo Statistics</t>
        </is>
      </c>
      <c r="D5" s="4" t="inlineStr">
        <is>
          <t>Implied from MC/price</t>
        </is>
      </c>
    </row>
    <row r="6">
      <c r="A6" s="4" t="inlineStr">
        <is>
          <t>Enterprise Value</t>
        </is>
      </c>
      <c r="B6" s="4" t="inlineStr">
        <is>
          <t>N/A</t>
        </is>
      </c>
      <c r="C6" s="4" t="inlineStr">
        <is>
          <t>Bank — deposits are operating liabilities</t>
        </is>
      </c>
      <c r="D6" s="4" t="inlineStr">
        <is>
          <t>Per skill bank rules</t>
        </is>
      </c>
    </row>
    <row r="7">
      <c r="A7" s="4" t="inlineStr">
        <is>
          <t>TTM Revenue</t>
        </is>
      </c>
      <c r="B7" s="4" t="inlineStr">
        <is>
          <t>$2,737.9M</t>
        </is>
      </c>
      <c r="C7" s="4" t="inlineStr">
        <is>
          <t>Yahoo Finance Income Statement</t>
        </is>
      </c>
      <c r="D7" s="4" t="inlineStr">
        <is>
          <t>Quarterly data annualized</t>
        </is>
      </c>
    </row>
    <row r="8">
      <c r="A8" s="4" t="inlineStr">
        <is>
          <t>FY2025 Revenue</t>
        </is>
      </c>
      <c r="B8" s="4" t="inlineStr">
        <is>
          <t>$2,524.4M</t>
        </is>
      </c>
      <c r="C8" s="4" t="inlineStr">
        <is>
          <t>Yahoo Finance Income Statement</t>
        </is>
      </c>
      <c r="D8" s="4" t="inlineStr">
        <is>
          <t>Annual</t>
        </is>
      </c>
    </row>
    <row r="9">
      <c r="A9" s="4" t="inlineStr">
        <is>
          <t>FY2024 Revenue</t>
        </is>
      </c>
      <c r="B9" s="4" t="inlineStr">
        <is>
          <t>$1,885.5M</t>
        </is>
      </c>
      <c r="C9" s="4" t="inlineStr">
        <is>
          <t>Yahoo Finance Income Statement</t>
        </is>
      </c>
      <c r="D9" s="4" t="inlineStr">
        <is>
          <t>Annual</t>
        </is>
      </c>
    </row>
    <row r="10">
      <c r="A10" s="4" t="inlineStr">
        <is>
          <t>FY2023 Revenue</t>
        </is>
      </c>
      <c r="B10" s="4" t="inlineStr">
        <is>
          <t>$1,836.5M</t>
        </is>
      </c>
      <c r="C10" s="4" t="inlineStr">
        <is>
          <t>Yahoo Finance Income Statement</t>
        </is>
      </c>
      <c r="D10" s="4" t="inlineStr">
        <is>
          <t>Annual</t>
        </is>
      </c>
    </row>
    <row r="11">
      <c r="A11" s="4" t="inlineStr">
        <is>
          <t>FY2022 Revenue</t>
        </is>
      </c>
      <c r="B11" s="4" t="inlineStr">
        <is>
          <t>$1,727.7M</t>
        </is>
      </c>
      <c r="C11" s="4" t="inlineStr">
        <is>
          <t>Yahoo Finance Income Statement</t>
        </is>
      </c>
      <c r="D11" s="4" t="inlineStr">
        <is>
          <t>Annual</t>
        </is>
      </c>
    </row>
    <row r="12">
      <c r="A12" s="4" t="inlineStr">
        <is>
          <t>TTM Net Income</t>
        </is>
      </c>
      <c r="B12" s="4" t="inlineStr">
        <is>
          <t>$742.1M</t>
        </is>
      </c>
      <c r="C12" s="4" t="inlineStr">
        <is>
          <t>Yahoo Finance Income Statement</t>
        </is>
      </c>
      <c r="D12" s="4" t="inlineStr">
        <is>
          <t>Diluted common stockholders</t>
        </is>
      </c>
    </row>
    <row r="13">
      <c r="A13" s="4" t="inlineStr">
        <is>
          <t>FY2025 EPS (Diluted)</t>
        </is>
      </c>
      <c r="B13" s="4" t="inlineStr">
        <is>
          <t>$1.79</t>
        </is>
      </c>
      <c r="C13" s="4" t="inlineStr">
        <is>
          <t>Yahoo Finance Income Statement</t>
        </is>
      </c>
      <c r="D13" s="4" t="inlineStr">
        <is>
          <t>Annual</t>
        </is>
      </c>
    </row>
    <row r="14">
      <c r="A14" s="4" t="inlineStr">
        <is>
          <t>Basic EPS TTM</t>
        </is>
      </c>
      <c r="B14" s="4" t="inlineStr">
        <is>
          <t>$1.95</t>
        </is>
      </c>
      <c r="C14" s="4" t="inlineStr">
        <is>
          <t>Yahoo Finance Income Statement</t>
        </is>
      </c>
      <c r="D14" s="4" t="inlineStr">
        <is>
          <t>TTM</t>
        </is>
      </c>
    </row>
    <row r="15">
      <c r="A15" s="4" t="inlineStr">
        <is>
          <t>Interest Income TTM</t>
        </is>
      </c>
      <c r="B15" s="4" t="inlineStr">
        <is>
          <t>$3,516.8M</t>
        </is>
      </c>
      <c r="C15" s="4" t="inlineStr">
        <is>
          <t>Yahoo Finance Income Statement</t>
        </is>
      </c>
      <c r="D15" s="4" t="inlineStr">
        <is>
          <t>TTM</t>
        </is>
      </c>
    </row>
    <row r="16">
      <c r="A16" s="4" t="inlineStr">
        <is>
          <t>Interest Expense TTM</t>
        </is>
      </c>
      <c r="B16" s="4" t="inlineStr">
        <is>
          <t>$1,274.0M</t>
        </is>
      </c>
      <c r="C16" s="4" t="inlineStr">
        <is>
          <t>Yahoo Finance Income Statement</t>
        </is>
      </c>
      <c r="D16" s="4" t="inlineStr">
        <is>
          <t>TTM</t>
        </is>
      </c>
    </row>
    <row r="17">
      <c r="A17" s="4" t="inlineStr">
        <is>
          <t>Net Interest Income TTM</t>
        </is>
      </c>
      <c r="B17" s="4" t="inlineStr">
        <is>
          <t>$2,242.8M</t>
        </is>
      </c>
      <c r="C17" s="4" t="inlineStr">
        <is>
          <t>Yahoo Finance Income Statement</t>
        </is>
      </c>
      <c r="D17" s="4" t="inlineStr">
        <is>
          <t>TTM</t>
        </is>
      </c>
    </row>
    <row r="18">
      <c r="A18" s="4" t="inlineStr">
        <is>
          <t>Total Assets (FY2025)</t>
        </is>
      </c>
      <c r="B18" s="4" t="inlineStr">
        <is>
          <t>$72,152.0M</t>
        </is>
      </c>
      <c r="C18" s="4" t="inlineStr">
        <is>
          <t>Yahoo Finance Balance Sheet</t>
        </is>
      </c>
      <c r="D18" s="4" t="inlineStr">
        <is>
          <t>Annual</t>
        </is>
      </c>
    </row>
    <row r="19">
      <c r="A19" s="4" t="inlineStr">
        <is>
          <t>Total Equity (FY2025)</t>
        </is>
      </c>
      <c r="B19" s="4" t="inlineStr">
        <is>
          <t>$8,494.8M</t>
        </is>
      </c>
      <c r="C19" s="4" t="inlineStr">
        <is>
          <t>Yahoo Finance Balance Sheet</t>
        </is>
      </c>
      <c r="D19" s="4" t="inlineStr">
        <is>
          <t>Annual</t>
        </is>
      </c>
    </row>
    <row r="20">
      <c r="A20" s="4" t="inlineStr">
        <is>
          <t>Common Equity (FY2025)</t>
        </is>
      </c>
      <c r="B20" s="4" t="inlineStr">
        <is>
          <t>$8,264.3M</t>
        </is>
      </c>
      <c r="C20" s="4" t="inlineStr">
        <is>
          <t>Yahoo Finance Balance Sheet</t>
        </is>
      </c>
      <c r="D20" s="4" t="inlineStr">
        <is>
          <t>Excl. preferred stock</t>
        </is>
      </c>
    </row>
    <row r="21">
      <c r="A21" s="4" t="inlineStr">
        <is>
          <t>Preferred Stock</t>
        </is>
      </c>
      <c r="B21" s="4" t="inlineStr">
        <is>
          <t>$230.5M</t>
        </is>
      </c>
      <c r="C21" s="4" t="inlineStr">
        <is>
          <t>Yahoo Finance Balance Sheet</t>
        </is>
      </c>
      <c r="D21" s="4" t="inlineStr">
        <is>
          <t>Constant since FY2022</t>
        </is>
      </c>
    </row>
    <row r="22">
      <c r="A22" s="4" t="inlineStr">
        <is>
          <t>Total Debt (MRQ)</t>
        </is>
      </c>
      <c r="B22" s="4" t="inlineStr">
        <is>
          <t>$8.3B</t>
        </is>
      </c>
      <c r="C22" s="4" t="inlineStr">
        <is>
          <t>Yahoo Statistics</t>
        </is>
      </c>
      <c r="D22" s="4" t="inlineStr">
        <is>
          <t>MRQ total debt</t>
        </is>
      </c>
    </row>
    <row r="23">
      <c r="A23" s="4" t="inlineStr">
        <is>
          <t>Total Cash (MRQ)</t>
        </is>
      </c>
      <c r="B23" s="4" t="inlineStr">
        <is>
          <t>$1.91B</t>
        </is>
      </c>
      <c r="C23" s="4" t="inlineStr">
        <is>
          <t>Yahoo Statistics</t>
        </is>
      </c>
      <c r="D23" s="4" t="inlineStr">
        <is>
          <t>MRQ</t>
        </is>
      </c>
    </row>
    <row r="24">
      <c r="A24" s="4" t="inlineStr">
        <is>
          <t>BVPS (MRQ)</t>
        </is>
      </c>
      <c r="B24" s="4" t="inlineStr">
        <is>
          <t>$21.43</t>
        </is>
      </c>
      <c r="C24" s="4" t="inlineStr">
        <is>
          <t>Yahoo Statistics</t>
        </is>
      </c>
      <c r="D24" s="4" t="inlineStr">
        <is>
          <t>MRQ</t>
        </is>
      </c>
    </row>
    <row r="25">
      <c r="A25" s="4" t="inlineStr">
        <is>
          <t>Operating CF TTM</t>
        </is>
      </c>
      <c r="B25" s="4" t="inlineStr">
        <is>
          <t>$779.4M</t>
        </is>
      </c>
      <c r="C25" s="4" t="inlineStr">
        <is>
          <t>Yahoo Statistics</t>
        </is>
      </c>
      <c r="D25" s="4" t="inlineStr">
        <is>
          <t>TTM</t>
        </is>
      </c>
    </row>
    <row r="26">
      <c r="A26" s="4" t="inlineStr">
        <is>
          <t>ROE (TTM)</t>
        </is>
      </c>
      <c r="B26" s="4" t="inlineStr">
        <is>
          <t>10.08%</t>
        </is>
      </c>
      <c r="C26" s="4" t="inlineStr">
        <is>
          <t>Yahoo Statistics</t>
        </is>
      </c>
      <c r="D26" s="4" t="inlineStr">
        <is>
          <t>TTM ROI</t>
        </is>
      </c>
    </row>
    <row r="27">
      <c r="A27" s="4" t="inlineStr">
        <is>
          <t>ROA (TTM)</t>
        </is>
      </c>
      <c r="B27" s="4" t="inlineStr">
        <is>
          <t>1.20%</t>
        </is>
      </c>
      <c r="C27" s="4" t="inlineStr">
        <is>
          <t>Yahoo Statistics</t>
        </is>
      </c>
      <c r="D27" s="4" t="inlineStr">
        <is>
          <t>TTM ROI</t>
        </is>
      </c>
    </row>
    <row r="28">
      <c r="A28" s="4" t="inlineStr">
        <is>
          <t>Beta</t>
        </is>
      </c>
      <c r="B28" s="4" t="inlineStr">
        <is>
          <t>0.83</t>
        </is>
      </c>
      <c r="C28" s="4" t="inlineStr">
        <is>
          <t>Yahoo Statistics</t>
        </is>
      </c>
      <c r="D28" s="4" t="inlineStr">
        <is>
          <t>5Y monthly</t>
        </is>
      </c>
    </row>
    <row r="29">
      <c r="A29" s="4" t="inlineStr">
        <is>
          <t>Trailing P/E</t>
        </is>
      </c>
      <c r="B29" s="4" t="inlineStr">
        <is>
          <t>13.59x</t>
        </is>
      </c>
      <c r="C29" s="4" t="inlineStr">
        <is>
          <t>Yahoo Statistics</t>
        </is>
      </c>
      <c r="D29" s="4" t="inlineStr">
        <is>
          <t>Current</t>
        </is>
      </c>
    </row>
    <row r="30">
      <c r="A30" s="4" t="inlineStr">
        <is>
          <t>Forward P/E</t>
        </is>
      </c>
      <c r="B30" s="4" t="inlineStr">
        <is>
          <t>10.06x</t>
        </is>
      </c>
      <c r="C30" s="4" t="inlineStr">
        <is>
          <t>Yahoo Statistics</t>
        </is>
      </c>
      <c r="D30" s="4" t="inlineStr">
        <is>
          <t>Current</t>
        </is>
      </c>
    </row>
    <row r="31">
      <c r="A31" s="4" t="inlineStr">
        <is>
          <t>P/B Ratio</t>
        </is>
      </c>
      <c r="B31" s="4" t="inlineStr">
        <is>
          <t>1.23x</t>
        </is>
      </c>
      <c r="C31" s="4" t="inlineStr">
        <is>
          <t>Yahoo Statistics</t>
        </is>
      </c>
      <c r="D31" s="4" t="inlineStr">
        <is>
          <t>Current</t>
        </is>
      </c>
    </row>
    <row r="32">
      <c r="A32" s="4" t="inlineStr">
        <is>
          <t>Forward Dividend Yield</t>
        </is>
      </c>
      <c r="B32" s="4" t="inlineStr">
        <is>
          <t>2.20%</t>
        </is>
      </c>
      <c r="C32" s="4" t="inlineStr">
        <is>
          <t>Yahoo Statistics</t>
        </is>
      </c>
      <c r="D32" s="4" t="inlineStr">
        <is>
          <t>Fwd annual rate $0.58</t>
        </is>
      </c>
    </row>
    <row r="33">
      <c r="A33" s="4" t="inlineStr">
        <is>
          <t>Payout Ratio</t>
        </is>
      </c>
      <c r="B33" s="4" t="inlineStr">
        <is>
          <t>29.12%</t>
        </is>
      </c>
      <c r="C33" s="4" t="inlineStr">
        <is>
          <t>Yahoo Statistics</t>
        </is>
      </c>
      <c r="D33" s="4" t="inlineStr">
        <is>
          <t>Based on trailing div rate</t>
        </is>
      </c>
    </row>
    <row r="34">
      <c r="A34" s="4" t="inlineStr">
        <is>
          <t>EPS Consensus FY26</t>
        </is>
      </c>
      <c r="B34" s="4" t="inlineStr">
        <is>
          <t>$2.59</t>
        </is>
      </c>
      <c r="C34" s="4" t="inlineStr">
        <is>
          <t>Yahoo Finance Analysis</t>
        </is>
      </c>
      <c r="D34" s="4" t="inlineStr">
        <is>
          <t>Non-GAAP, 11 analysts</t>
        </is>
      </c>
    </row>
    <row r="35">
      <c r="A35" s="4" t="inlineStr">
        <is>
          <t>EPS Consensus FY27</t>
        </is>
      </c>
      <c r="B35" s="4" t="inlineStr">
        <is>
          <t>$2.88</t>
        </is>
      </c>
      <c r="C35" s="4" t="inlineStr">
        <is>
          <t>Yahoo Finance Analysis</t>
        </is>
      </c>
      <c r="D35" s="4" t="inlineStr">
        <is>
          <t>Non-GAAP, 12 analysts</t>
        </is>
      </c>
    </row>
    <row r="36">
      <c r="A36" s="4" t="inlineStr">
        <is>
          <t>Revenue Consensus FY26</t>
        </is>
      </c>
      <c r="B36" s="4" t="inlineStr">
        <is>
          <t>$2,900M</t>
        </is>
      </c>
      <c r="C36" s="4" t="inlineStr">
        <is>
          <t>Yahoo Finance Analysis</t>
        </is>
      </c>
      <c r="D36" s="4" t="inlineStr">
        <is>
          <t>9 analysts avg</t>
        </is>
      </c>
    </row>
    <row r="37">
      <c r="A37" s="4" t="inlineStr">
        <is>
          <t>Revenue Consensus FY27</t>
        </is>
      </c>
      <c r="B37" s="4" t="inlineStr">
        <is>
          <t>$3,050M</t>
        </is>
      </c>
      <c r="C37" s="4" t="inlineStr">
        <is>
          <t>Yahoo Finance Analysis</t>
        </is>
      </c>
      <c r="D37" s="4" t="inlineStr">
        <is>
          <t>9 analysts avg</t>
        </is>
      </c>
    </row>
    <row r="38">
      <c r="A38" s="4" t="inlineStr">
        <is>
          <t>Next Earnings Date</t>
        </is>
      </c>
      <c r="B38" s="4" t="inlineStr">
        <is>
          <t>July 22, 2026</t>
        </is>
      </c>
      <c r="C38" s="4" t="inlineStr">
        <is>
          <t>Yahoo Finance Profile</t>
        </is>
      </c>
      <c r="D38" s="4" t="inlineStr">
        <is>
          <t>Q2 FY26 earnings</t>
        </is>
      </c>
    </row>
    <row r="39">
      <c r="A39" s="4" t="inlineStr">
        <is>
          <t>Dividend Ex-Date</t>
        </is>
      </c>
      <c r="B39" s="4" t="inlineStr">
        <is>
          <t>June 4, 2026</t>
        </is>
      </c>
      <c r="C39" s="4" t="inlineStr">
        <is>
          <t>Yahoo Finance Profile</t>
        </is>
      </c>
      <c r="D39" s="4" t="inlineStr">
        <is>
          <t>Most recent</t>
        </is>
      </c>
    </row>
    <row r="40">
      <c r="A40" s="4" t="inlineStr">
        <is>
          <t>Tax Rate (FY2025)</t>
        </is>
      </c>
      <c r="B40" s="4" t="inlineStr">
        <is>
          <t>20.46%</t>
        </is>
      </c>
      <c r="C40" s="4" t="inlineStr">
        <is>
          <t>Calculated from income statement</t>
        </is>
      </c>
      <c r="D40" s="4" t="inlineStr">
        <is>
          <t>Tax prov / pretax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Open Questions</t>
        </is>
      </c>
    </row>
    <row r="2" ht="45" customHeight="1">
      <c r="A2" s="15" t="inlineStr">
        <is>
          <t>1. How are the $230.5M of preferred stock terms structured? What is the annual dividend obligation, and should this be subtracted from market cap for common share valuation?</t>
        </is>
      </c>
    </row>
    <row r="3" ht="45" customHeight="1">
      <c r="A3" s="15" t="inlineStr">
        <is>
          <t>2. Total assets jumped from $53.6B (FY2024) to $72.2B (FY2025) — a 35% increase in one year. Was this driven by acquisitions (the Ameris Bancorp acquisition closed July 2024)? How much of the balance sheet growth is inorganic?</t>
        </is>
      </c>
    </row>
    <row r="4" ht="45" customHeight="1">
      <c r="A4" s="15" t="inlineStr">
        <is>
          <t>3. Revenue grew 34% YoY (FY24 to FY25: $1,885M → $2,524M) and another 8% TTM. Is this sustainable organic growth from the Ameris combo, or are we seeing acquisition-related synergies normalize?</t>
        </is>
      </c>
    </row>
    <row r="5" ht="45" customHeight="1">
      <c r="A5" s="15" t="inlineStr">
        <is>
          <t>4. Total debt rose from $5.14B (FY24) to $7.09B (FY25) and further to ~$8.3B MRQ. What portion is acquisition-related debt from the Ameris deal? What is the maturity profile?</t>
        </is>
      </c>
    </row>
    <row r="6" ht="45" customHeight="1">
      <c r="A6" s="15" t="inlineStr">
        <is>
          <t>5. Share count expanded from 311.0M (FY24) to 386.4M (MRQ) — a 24% increase largely from the Ameris stock consideration. After-acquisition share count appears stable; is there buyback activity?</t>
        </is>
      </c>
    </row>
    <row r="7" ht="45" customHeight="1">
      <c r="A7" s="15" t="inlineStr">
        <is>
          <t>6. The company reported a 105:100 stock split on 1/3/2005. Has there been any additional dilution since the Ameris acquisition?</t>
        </is>
      </c>
    </row>
    <row r="8" ht="45" customHeight="1">
      <c r="A8" s="15" t="inlineStr">
        <is>
          <t>7. Net interest income grew strongly ($1,531M FY24 → $2,058M FY25 → $2,243M TTM). Is NIM expanding due to deposit price lag, or is loan growth outpacing deposits with higher yields?</t>
        </is>
      </c>
    </row>
    <row r="9" ht="45" customHeight="1">
      <c r="A9" s="15" t="inlineStr">
        <is>
          <t>8. How does the cost of deposits compare to peers? Deposit beta is a key rate-cycle variable for regional banks.</t>
        </is>
      </c>
    </row>
    <row r="10" ht="45" customHeight="1">
      <c r="A10" s="15" t="inlineStr">
        <is>
          <t>9. Operating margin of 51.26% seems high for a bank. What non-interest income streams (service charges, trust fees, investment banking) contribute to this?</t>
        </is>
      </c>
    </row>
    <row r="11" ht="45" customHeight="1">
      <c r="A11" s="15" t="inlineStr">
        <is>
          <t>10. What is the non-performing loan ratio and provision for credit losses? Credit quality is the single biggest risk for regional banks post-rate-hike cycle.</t>
        </is>
      </c>
    </row>
    <row r="12" ht="45" customHeight="1">
      <c r="A12" s="15" t="inlineStr">
        <is>
          <t>11. Commercial real estate (CRE) exposure: What percentage of the loan portfolio is CRE, and what is the concentration in office/commercial versus multifamily?</t>
        </is>
      </c>
    </row>
    <row r="13" ht="45" customHeight="1">
      <c r="A13" s="15" t="inlineStr">
        <is>
          <t>12. Ameris Bancorp acquisition integration status: Has management provided synergy targets and timeline? Are cost savings tracking?</t>
        </is>
      </c>
    </row>
    <row r="14" ht="45" customHeight="1">
      <c r="A14" s="15" t="inlineStr">
        <is>
          <t>13. Dividend sustainability: 29% payout ratio on earnings, 2.2% yield — relatively modest. Is management considering increasing the dividend or adding buyback authorization?</t>
        </is>
      </c>
    </row>
    <row r="15" ht="45" customHeight="1">
      <c r="A15" s="15" t="inlineStr">
        <is>
          <t>14. What is the CET1 ratio (Common Equity Tier 1) and how does it compare to peer regional banks? Regulatory capital adequacy after the balance sheet expansion?</t>
        </is>
      </c>
    </row>
    <row r="16" ht="45" customHeight="1">
      <c r="A16" s="15" t="inlineStr">
        <is>
          <t>15. Geographic diversification after Ameris acquisition: Does ONB now have meaningful exposure to Georgia/Carolinas markets in addition to its traditional Indiana/Ohio/Michigan/Tennessee/Arkansas footprint?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50" customWidth="1" min="3" max="3"/>
  </cols>
  <sheetData>
    <row r="1">
      <c r="A1" s="7" t="inlineStr">
        <is>
          <t>Data Sources</t>
        </is>
      </c>
    </row>
    <row r="2">
      <c r="A2" s="4" t="inlineStr">
        <is>
          <t>Yahoo Finance — Stock Quote</t>
        </is>
      </c>
      <c r="B2" s="4" t="inlineStr">
        <is>
          <t>https://finance.yahoo.com/quote/ONB/</t>
        </is>
      </c>
      <c r="C2" s="4" t="inlineStr">
        <is>
          <t>Price, market cap, shares, dividend, beta</t>
        </is>
      </c>
    </row>
    <row r="3">
      <c r="A3" s="4" t="inlineStr">
        <is>
          <t>Yahoo Finance — Profile</t>
        </is>
      </c>
      <c r="B3" s="4" t="inlineStr">
        <is>
          <t>https://finance.yahoo.com/quote/ONB/profile/</t>
        </is>
      </c>
      <c r="C3" s="4" t="inlineStr">
        <is>
          <t>Company description, sector, industry, employees, governance</t>
        </is>
      </c>
    </row>
    <row r="4">
      <c r="A4" s="4" t="inlineStr">
        <is>
          <t>Yahoo Finance — Income Statement</t>
        </is>
      </c>
      <c r="B4" s="4" t="inlineStr">
        <is>
          <t>https://finance.yahoo.com/quote/ONB/financials/</t>
        </is>
      </c>
      <c r="C4" s="4" t="inlineStr">
        <is>
          <t>Revenue, net income, EPS, interest income/expense</t>
        </is>
      </c>
    </row>
    <row r="5">
      <c r="A5" s="4" t="inlineStr">
        <is>
          <t>Yahoo Finance — Balance Sheet</t>
        </is>
      </c>
      <c r="B5" s="4" t="inlineStr">
        <is>
          <t>https://finance.yahoo.com/quote/ONB/balance-sheet/</t>
        </is>
      </c>
      <c r="C5" s="4" t="inlineStr">
        <is>
          <t>Assets, liabilities, equity, debt, preferred stock</t>
        </is>
      </c>
    </row>
    <row r="6">
      <c r="A6" s="4" t="inlineStr">
        <is>
          <t>Yahoo Finance — Key Statistics</t>
        </is>
      </c>
      <c r="B6" s="4" t="inlineStr">
        <is>
          <t>https://finance.yahoo.com/quote/ONB/key-statistics/</t>
        </is>
      </c>
      <c r="C6" s="4" t="inlineStr">
        <is>
          <t>P/E, P/B, ROE, ROA, valuation multiples, share stats</t>
        </is>
      </c>
    </row>
    <row r="7">
      <c r="A7" s="4" t="inlineStr">
        <is>
          <t>Yahoo Finance — Analysis</t>
        </is>
      </c>
      <c r="B7" s="4" t="inlineStr">
        <is>
          <t>https://finance.yahoo.com/quote/ONB/analysis/</t>
        </is>
      </c>
      <c r="C7" s="4" t="inlineStr">
        <is>
          <t>Analyst estimates, revision trends, profitability</t>
        </is>
      </c>
    </row>
    <row r="8">
      <c r="A8" s="4" t="inlineStr">
        <is>
          <t>CNBC — 10Y Treasury</t>
        </is>
      </c>
      <c r="B8" s="4" t="inlineStr">
        <is>
          <t>https://www.cnbc.com/quotes/US10Y</t>
        </is>
      </c>
      <c r="C8" s="4" t="inlineStr">
        <is>
          <t>Risk-free rate for WACC calculation</t>
        </is>
      </c>
    </row>
    <row r="9">
      <c r="A9" s="4" t="inlineStr">
        <is>
          <t>StockAnalysis.com</t>
        </is>
      </c>
      <c r="B9" s="4" t="inlineStr">
        <is>
          <t>https://stockanalysis.com/quote/ONB/</t>
        </is>
      </c>
      <c r="C9" s="4" t="inlineStr">
        <is>
          <t>404 error — unavailable, Yahoo Finance used as backup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2026-07-17T02:52:01Z</dcterms:created>
  <dcterms:modified xsi:type="dcterms:W3CDTF">2026-07-17T02:52:01Z</dcterms:modified>
</cp:coreProperties>
</file>