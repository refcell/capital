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aluation" sheetId="1" r:id="rId1"/>
    <sheet name="WACC" sheetId="2" r:id="rId2"/>
    <sheet name="Scenarios" sheetId="3" r:id="rId3"/>
    <sheet name="Actuals Source Audit" sheetId="4" r:id="rId4"/>
    <sheet name="Questions" sheetId="5" r:id="rId5"/>
    <sheet name="Sources" sheetId="6" r:id="rId6"/>
  </sheet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$#,##0.00"/>
    <numFmt numFmtId="166" formatCode="0.0%"/>
    <numFmt numFmtId="167" formatCode="0.0x"/>
  </numFmts>
  <fonts count="4">
    <font>
      <sz val="11"/>
      <color rgb="FF111827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11182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CFCE7"/>
        <bgColor indexed="64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ill="1" applyFont="1" applyAlignment="1">
      <alignment horizontal="left" vertical="center" wrapText="1"/>
    </xf>
    <xf numFmtId="0" fontId="2" fillId="3" borderId="1" xfId="0" applyFill="1" applyFont="1" applyAlignment="1">
      <alignment horizontal="center" vertical="center" wrapText="1"/>
    </xf>
    <xf numFmtId="0" fontId="3" fillId="4" borderId="1" xfId="0" applyFill="1" applyFont="1" applyAlignment="1">
      <alignment horizontal="left" vertical="center" wrapText="1"/>
    </xf>
    <xf numFmtId="0" fontId="0" fillId="0" borderId="1" xfId="0" applyAlignment="1">
      <alignment horizontal="left" vertical="center" wrapText="1"/>
    </xf>
    <xf numFmtId="164" fontId="0" fillId="0" borderId="1" xfId="0" applyNumberFormat="1" applyAlignment="1">
      <alignment horizontal="right" vertical="center"/>
    </xf>
    <xf numFmtId="165" fontId="0" fillId="0" borderId="1" xfId="0" applyNumberFormat="1" applyAlignment="1">
      <alignment horizontal="right" vertical="center"/>
    </xf>
    <xf numFmtId="166" fontId="0" fillId="0" borderId="1" xfId="0" applyNumberFormat="1" applyAlignment="1">
      <alignment horizontal="right" vertical="center"/>
    </xf>
    <xf numFmtId="167" fontId="0" fillId="0" borderId="1" xfId="0" applyNumberFormat="1" applyAlignment="1">
      <alignment horizontal="right" vertical="center"/>
    </xf>
    <xf numFmtId="165" fontId="3" fillId="5" borderId="1" xfId="0" applyNumberFormat="1" applyFill="1" applyFont="1" applyAlignment="1">
      <alignment horizontal="right" vertical="center"/>
    </xf>
    <xf numFmtId="0" fontId="0" fillId="4" borderId="1" xfId="0" applyFill="1" applyAlignment="1">
      <alignment horizontal="right" vertical="center"/>
    </xf>
    <xf numFmtId="0" fontId="0" fillId="0" borderId="1" xfId="0" applyAlignment="1">
      <alignment horizontal="left" vertical="center"/>
    </xf>
    <xf numFmtId="0" fontId="0" fillId="4" borderId="1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B2:V59"/>
  <sheetViews>
    <sheetView workbookViewId="0" tabSelected="1">
      <pane xSplit="5" ySplit="3" topLeftCell="F4" activePane="bottomRight" state="frozen"/>
    </sheetView>
  </sheetViews>
  <sheetFormatPr baseColWidth="8" defaultRowHeight="15"/>
  <cols>
    <col min="1" max="1" width="2.7" customWidth="1"/>
    <col min="2" max="2" width="26" customWidth="1"/>
    <col min="3" max="3" width="18" customWidth="1"/>
    <col min="4" max="4" width="2.7" customWidth="1"/>
    <col min="5" max="5" width="31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2" max="22" width="42" customWidth="1"/>
  </cols>
  <sheetData>
    <row r="2">
      <c r="B2" s="1" t="inlineStr">
        <is>
          <t>e.l.f. Beauty, Inc. (NYSE: ELF)</t>
        </is>
      </c>
      <c r="E2" s="1" t="inlineStr">
        <is>
          <t>DCF Valuation - USD millions except per-share data</t>
        </is>
      </c>
      <c r="V2" s="1" t="inlineStr">
        <is>
          <t>Key limitations</t>
        </is>
      </c>
    </row>
    <row r="3">
      <c r="B3" s="3" t="inlineStr">
        <is>
          <t>Model date</t>
        </is>
      </c>
      <c r="C3" s="11" t="inlineStr">
        <is>
          <t>2026-06-13</t>
        </is>
      </c>
      <c r="F3" s="2" t="inlineStr">
        <is>
          <t>FY2022</t>
        </is>
      </c>
      <c r="G3" s="2" t="inlineStr">
        <is>
          <t>FY2023</t>
        </is>
      </c>
      <c r="H3" s="2" t="inlineStr">
        <is>
          <t>FY2024</t>
        </is>
      </c>
      <c r="I3" s="2" t="inlineStr">
        <is>
          <t>FY2025</t>
        </is>
      </c>
      <c r="J3" s="2" t="inlineStr">
        <is>
          <t>FY2026</t>
        </is>
      </c>
      <c r="K3" s="2" t="inlineStr">
        <is>
          <t>FY2027E</t>
        </is>
      </c>
      <c r="L3" s="2" t="inlineStr">
        <is>
          <t>FY2028E</t>
        </is>
      </c>
      <c r="M3" s="2" t="inlineStr">
        <is>
          <t>FY2029E</t>
        </is>
      </c>
      <c r="N3" s="2" t="inlineStr">
        <is>
          <t>FY2030E</t>
        </is>
      </c>
      <c r="O3" s="2" t="inlineStr">
        <is>
          <t>FY2031E</t>
        </is>
      </c>
      <c r="P3" s="2" t="inlineStr">
        <is>
          <t>FY2032E</t>
        </is>
      </c>
      <c r="Q3" s="2" t="inlineStr">
        <is>
          <t>FY2033E</t>
        </is>
      </c>
      <c r="R3" s="2" t="inlineStr">
        <is>
          <t>FY2034E</t>
        </is>
      </c>
      <c r="S3" s="2" t="inlineStr">
        <is>
          <t>FY2035E</t>
        </is>
      </c>
      <c r="T3" s="2" t="inlineStr">
        <is>
          <t>FY2036E</t>
        </is>
      </c>
      <c r="V3" s="12" t="inlineStr">
        <is>
          <t>Market-data providers differ on EV and debt treatment. The model rebuilds EV from price, shares, cash, and SEC debt/finance-lease obligations.</t>
        </is>
      </c>
    </row>
    <row r="4">
      <c r="B4" s="3" t="inlineStr">
        <is>
          <t>Price</t>
        </is>
      </c>
      <c r="C4" s="6" t="n">
        <v>61.15</v>
      </c>
      <c r="E4" s="3" t="inlineStr">
        <is>
          <t>Revenue</t>
        </is>
      </c>
      <c r="F4" s="6" t="n">
        <v>392.155</v>
      </c>
      <c r="G4" s="6" t="n">
        <v>578.844</v>
      </c>
      <c r="H4" s="6" t="n">
        <v>1023.932</v>
      </c>
      <c r="I4" s="6" t="n">
        <v>1313.517</v>
      </c>
      <c r="J4" s="6" t="n">
        <v>1636.472</v>
      </c>
      <c r="K4" s="6" t="n">
        <v>1850.0</v>
      </c>
      <c r="L4" s="6">
        <f>K4*(1+L5)</f>
        <v/>
      </c>
      <c r="M4" s="6">
        <f>L4*(1+M5)</f>
        <v/>
      </c>
      <c r="N4" s="6">
        <f>M4*(1+N5)</f>
        <v/>
      </c>
      <c r="O4" s="6">
        <f>N4*(1+O5)</f>
        <v/>
      </c>
      <c r="P4" s="6">
        <f>O4*(1+P5)</f>
        <v/>
      </c>
      <c r="Q4" s="6">
        <f>P4*(1+Q5)</f>
        <v/>
      </c>
      <c r="R4" s="6">
        <f>Q4*(1+R5)</f>
        <v/>
      </c>
      <c r="S4" s="6">
        <f>R4*(1+S5)</f>
        <v/>
      </c>
      <c r="T4" s="6">
        <f>S4*(1+T5)</f>
        <v/>
      </c>
      <c r="V4" s="12" t="inlineStr">
        <is>
          <t>Headline DCF uses reported FCF and explicit share dilution. Owner FCF after SBC is shown as a quality cross-check, not the headline DCF.</t>
        </is>
      </c>
    </row>
    <row r="5">
      <c r="B5" s="3" t="inlineStr">
        <is>
          <t>Quote date</t>
        </is>
      </c>
      <c r="C5" s="11" t="inlineStr">
        <is>
          <t>2026-06-12 close</t>
        </is>
      </c>
      <c r="E5" s="3" t="inlineStr">
        <is>
          <t>Revenue Growth</t>
        </is>
      </c>
      <c r="G5" s="7">
        <f>G4/F4-1</f>
        <v/>
      </c>
      <c r="H5" s="7">
        <f>H4/G4-1</f>
        <v/>
      </c>
      <c r="I5" s="7">
        <f>I4/H4-1</f>
        <v/>
      </c>
      <c r="J5" s="7">
        <f>J4/I4-1</f>
        <v/>
      </c>
      <c r="K5" s="7">
        <f>K4/J4-1</f>
        <v/>
      </c>
      <c r="L5" s="7" t="n">
        <v>0.09</v>
      </c>
      <c r="M5" s="7" t="n">
        <v>0.085</v>
      </c>
      <c r="N5" s="7" t="n">
        <v>0.08</v>
      </c>
      <c r="O5" s="7" t="n">
        <v>0.075</v>
      </c>
      <c r="P5" s="7" t="n">
        <v>0.07</v>
      </c>
      <c r="Q5" s="7" t="n">
        <v>0.065</v>
      </c>
      <c r="R5" s="7" t="n">
        <v>0.06</v>
      </c>
      <c r="S5" s="7" t="n">
        <v>0.055</v>
      </c>
      <c r="T5" s="7" t="n">
        <v>0.05</v>
      </c>
      <c r="V5" s="12" t="inlineStr">
        <is>
          <t>FY2026 GAAP net income is distorted by rhode acquisition accounting and contingent-consideration fair-value expense.</t>
        </is>
      </c>
    </row>
    <row r="6">
      <c r="B6" s="3" t="inlineStr">
        <is>
          <t>Current shares, mm</t>
        </is>
      </c>
      <c r="C6" s="5" t="n">
        <v>59.440526</v>
      </c>
      <c r="E6" s="3" t="inlineStr">
        <is>
          <t>Gross Profit</t>
        </is>
      </c>
      <c r="F6" s="6" t="n">
        <v>251.732</v>
      </c>
      <c r="G6" s="6" t="n">
        <v>390.396</v>
      </c>
      <c r="H6" s="6" t="n">
        <v>724.096</v>
      </c>
      <c r="I6" s="6" t="n">
        <v>935.686</v>
      </c>
      <c r="J6" s="6" t="n">
        <v>1157.347</v>
      </c>
      <c r="K6" s="6">
        <f>K4*K7</f>
        <v/>
      </c>
      <c r="L6" s="6">
        <f>L4*L7</f>
        <v/>
      </c>
      <c r="M6" s="6">
        <f>M4*M7</f>
        <v/>
      </c>
      <c r="N6" s="6">
        <f>N4*N7</f>
        <v/>
      </c>
      <c r="O6" s="6">
        <f>O4*O7</f>
        <v/>
      </c>
      <c r="P6" s="6">
        <f>P4*P7</f>
        <v/>
      </c>
      <c r="Q6" s="6">
        <f>Q4*Q7</f>
        <v/>
      </c>
      <c r="R6" s="6">
        <f>R4*R7</f>
        <v/>
      </c>
      <c r="S6" s="6">
        <f>S4*S7</f>
        <v/>
      </c>
      <c r="T6" s="6">
        <f>T4*T7</f>
        <v/>
      </c>
    </row>
    <row r="7">
      <c r="B7" s="3" t="inlineStr">
        <is>
          <t>Market cap, $m</t>
        </is>
      </c>
      <c r="C7" s="6">
        <f>C4*C6</f>
        <v/>
      </c>
      <c r="E7" s="3" t="inlineStr">
        <is>
          <t>Gross Margin</t>
        </is>
      </c>
      <c r="F7" s="7">
        <f>F6/F4</f>
        <v/>
      </c>
      <c r="G7" s="7">
        <f>G6/G4</f>
        <v/>
      </c>
      <c r="H7" s="7">
        <f>H6/H4</f>
        <v/>
      </c>
      <c r="I7" s="7">
        <f>I6/I4</f>
        <v/>
      </c>
      <c r="J7" s="7">
        <f>J6/J4</f>
        <v/>
      </c>
      <c r="K7" s="7" t="n">
        <v>0.705</v>
      </c>
      <c r="L7" s="7" t="n">
        <v>0.707</v>
      </c>
      <c r="M7" s="7" t="n">
        <v>0.71</v>
      </c>
      <c r="N7" s="7" t="n">
        <v>0.712</v>
      </c>
      <c r="O7" s="7" t="n">
        <v>0.715</v>
      </c>
      <c r="P7" s="7" t="n">
        <v>0.718</v>
      </c>
      <c r="Q7" s="7" t="n">
        <v>0.72</v>
      </c>
      <c r="R7" s="7" t="n">
        <v>0.72</v>
      </c>
      <c r="S7" s="7" t="n">
        <v>0.72</v>
      </c>
      <c r="T7" s="7" t="n">
        <v>0.72</v>
      </c>
    </row>
    <row r="8">
      <c r="B8" s="3" t="inlineStr">
        <is>
          <t>Cash, $m</t>
        </is>
      </c>
      <c r="C8" s="6" t="n">
        <v>289.685</v>
      </c>
      <c r="E8" s="3" t="inlineStr">
        <is>
          <t>Operating Income</t>
        </is>
      </c>
      <c r="F8" s="6" t="n">
        <v>29.77</v>
      </c>
      <c r="G8" s="6" t="n">
        <v>68.143</v>
      </c>
      <c r="H8" s="6" t="n">
        <v>149.678</v>
      </c>
      <c r="I8" s="6" t="n">
        <v>158.027</v>
      </c>
      <c r="J8" s="6" t="n">
        <v>73.632</v>
      </c>
      <c r="K8" s="6">
        <f>K4*K9</f>
        <v/>
      </c>
      <c r="L8" s="6">
        <f>L4*L9</f>
        <v/>
      </c>
      <c r="M8" s="6">
        <f>M4*M9</f>
        <v/>
      </c>
      <c r="N8" s="6">
        <f>N4*N9</f>
        <v/>
      </c>
      <c r="O8" s="6">
        <f>O4*O9</f>
        <v/>
      </c>
      <c r="P8" s="6">
        <f>P4*P9</f>
        <v/>
      </c>
      <c r="Q8" s="6">
        <f>Q4*Q9</f>
        <v/>
      </c>
      <c r="R8" s="6">
        <f>R4*R9</f>
        <v/>
      </c>
      <c r="S8" s="6">
        <f>S4*S9</f>
        <v/>
      </c>
      <c r="T8" s="6">
        <f>T4*T9</f>
        <v/>
      </c>
    </row>
    <row r="9">
      <c r="B9" s="3" t="inlineStr">
        <is>
          <t>Debt + finance leases, $m</t>
        </is>
      </c>
      <c r="C9" s="6" t="n">
        <v>839.348</v>
      </c>
      <c r="E9" s="3" t="inlineStr">
        <is>
          <t>Operating Margin</t>
        </is>
      </c>
      <c r="F9" s="7">
        <f>F8/F4</f>
        <v/>
      </c>
      <c r="G9" s="7">
        <f>G8/G4</f>
        <v/>
      </c>
      <c r="H9" s="7">
        <f>H8/H4</f>
        <v/>
      </c>
      <c r="I9" s="7">
        <f>I8/I4</f>
        <v/>
      </c>
      <c r="J9" s="7">
        <f>J8/J4</f>
        <v/>
      </c>
      <c r="K9" s="7" t="n">
        <v>0.12</v>
      </c>
      <c r="L9" s="7" t="n">
        <v>0.13</v>
      </c>
      <c r="M9" s="7" t="n">
        <v>0.135</v>
      </c>
      <c r="N9" s="7" t="n">
        <v>0.14</v>
      </c>
      <c r="O9" s="7" t="n">
        <v>0.145</v>
      </c>
      <c r="P9" s="7" t="n">
        <v>0.15</v>
      </c>
      <c r="Q9" s="7" t="n">
        <v>0.155</v>
      </c>
      <c r="R9" s="7" t="n">
        <v>0.16</v>
      </c>
      <c r="S9" s="7" t="n">
        <v>0.165</v>
      </c>
      <c r="T9" s="7" t="n">
        <v>0.17</v>
      </c>
    </row>
    <row r="10">
      <c r="B10" s="3" t="inlineStr">
        <is>
          <t>Net debt, $m</t>
        </is>
      </c>
      <c r="C10" s="6">
        <f>C9-C8</f>
        <v/>
      </c>
      <c r="E10" s="3" t="inlineStr">
        <is>
          <t>Net Income</t>
        </is>
      </c>
      <c r="F10" s="6" t="n">
        <v>21.77</v>
      </c>
      <c r="G10" s="6" t="n">
        <v>61.53</v>
      </c>
      <c r="H10" s="6" t="n">
        <v>127.663</v>
      </c>
      <c r="I10" s="6" t="n">
        <v>112.089</v>
      </c>
      <c r="J10" s="6" t="n">
        <v>26.318</v>
      </c>
      <c r="K10" s="6">
        <f>K4*K11</f>
        <v/>
      </c>
      <c r="L10" s="6">
        <f>L4*L11</f>
        <v/>
      </c>
      <c r="M10" s="6">
        <f>M4*M11</f>
        <v/>
      </c>
      <c r="N10" s="6">
        <f>N4*N11</f>
        <v/>
      </c>
      <c r="O10" s="6">
        <f>O4*O11</f>
        <v/>
      </c>
      <c r="P10" s="6">
        <f>P4*P11</f>
        <v/>
      </c>
      <c r="Q10" s="6">
        <f>Q4*Q11</f>
        <v/>
      </c>
      <c r="R10" s="6">
        <f>R4*R11</f>
        <v/>
      </c>
      <c r="S10" s="6">
        <f>S4*S11</f>
        <v/>
      </c>
      <c r="T10" s="6">
        <f>T4*T11</f>
        <v/>
      </c>
    </row>
    <row r="11">
      <c r="B11" s="3" t="inlineStr">
        <is>
          <t>Enterprise value, $m</t>
        </is>
      </c>
      <c r="C11" s="6">
        <f>C7+C10</f>
        <v/>
      </c>
      <c r="E11" s="3" t="inlineStr">
        <is>
          <t>Net Margin</t>
        </is>
      </c>
      <c r="F11" s="7">
        <f>F10/F4</f>
        <v/>
      </c>
      <c r="G11" s="7">
        <f>G10/G4</f>
        <v/>
      </c>
      <c r="H11" s="7">
        <f>H10/H4</f>
        <v/>
      </c>
      <c r="I11" s="7">
        <f>I10/I4</f>
        <v/>
      </c>
      <c r="J11" s="7">
        <f>J10/J4</f>
        <v/>
      </c>
      <c r="K11" s="7" t="n">
        <v>0.108</v>
      </c>
      <c r="L11" s="7" t="n">
        <v>0.112</v>
      </c>
      <c r="M11" s="7" t="n">
        <v>0.116</v>
      </c>
      <c r="N11" s="7" t="n">
        <v>0.12</v>
      </c>
      <c r="O11" s="7" t="n">
        <v>0.125</v>
      </c>
      <c r="P11" s="7" t="n">
        <v>0.13</v>
      </c>
      <c r="Q11" s="7" t="n">
        <v>0.135</v>
      </c>
      <c r="R11" s="7" t="n">
        <v>0.14</v>
      </c>
      <c r="S11" s="7" t="n">
        <v>0.145</v>
      </c>
      <c r="T11" s="7" t="n">
        <v>0.15</v>
      </c>
    </row>
    <row r="12">
      <c r="B12" s="3" t="inlineStr">
        <is>
          <t>FY2027 revenue guide midpoint, $m</t>
        </is>
      </c>
      <c r="C12" s="6" t="n">
        <v>1850.0</v>
      </c>
      <c r="E12" s="3" t="inlineStr">
        <is>
          <t>Diluted Shares</t>
        </is>
      </c>
      <c r="F12" s="5" t="n">
        <v>53.654303</v>
      </c>
      <c r="G12" s="5" t="n">
        <v>55.337554</v>
      </c>
      <c r="H12" s="5" t="n">
        <v>57.788454</v>
      </c>
      <c r="I12" s="5" t="n">
        <v>58.345174</v>
      </c>
      <c r="J12" s="5" t="n">
        <v>59.351449</v>
      </c>
      <c r="K12" s="5" t="n">
        <v>60.5</v>
      </c>
      <c r="L12" s="5">
        <f>K12*1.01</f>
        <v/>
      </c>
      <c r="M12" s="5">
        <f>L12*1.01</f>
        <v/>
      </c>
      <c r="N12" s="5">
        <f>M12*1.01</f>
        <v/>
      </c>
      <c r="O12" s="5">
        <f>N12*1.01</f>
        <v/>
      </c>
      <c r="P12" s="5">
        <f>O12*1.01</f>
        <v/>
      </c>
      <c r="Q12" s="5">
        <f>P12*1.01</f>
        <v/>
      </c>
      <c r="R12" s="5">
        <f>Q12*1.01</f>
        <v/>
      </c>
      <c r="S12" s="5">
        <f>R12*1.01</f>
        <v/>
      </c>
      <c r="T12" s="5">
        <f>S12*1.01</f>
        <v/>
      </c>
    </row>
    <row r="13">
      <c r="B13" s="3" t="inlineStr">
        <is>
          <t>EV / FY2027 revenue</t>
        </is>
      </c>
      <c r="C13" s="8">
        <f>C11/C12</f>
        <v/>
      </c>
      <c r="E13" s="3" t="inlineStr">
        <is>
          <t>EPS</t>
        </is>
      </c>
      <c r="F13" s="6" t="n">
        <v>0.41</v>
      </c>
      <c r="G13" s="6" t="n">
        <v>1.11</v>
      </c>
      <c r="H13" s="6" t="n">
        <v>2.21</v>
      </c>
      <c r="I13" s="6" t="n">
        <v>1.92</v>
      </c>
      <c r="J13" s="6" t="n">
        <v>0.44</v>
      </c>
      <c r="K13" s="6">
        <f>K10/K12</f>
        <v/>
      </c>
      <c r="L13" s="6">
        <f>L10/L12</f>
        <v/>
      </c>
      <c r="M13" s="6">
        <f>M10/M12</f>
        <v/>
      </c>
      <c r="N13" s="6">
        <f>N10/N12</f>
        <v/>
      </c>
      <c r="O13" s="6">
        <f>O10/O12</f>
        <v/>
      </c>
      <c r="P13" s="6">
        <f>P10/P12</f>
        <v/>
      </c>
      <c r="Q13" s="6">
        <f>Q10/Q12</f>
        <v/>
      </c>
      <c r="R13" s="6">
        <f>R10/R12</f>
        <v/>
      </c>
      <c r="S13" s="6">
        <f>S10/S12</f>
        <v/>
      </c>
      <c r="T13" s="6">
        <f>T10/T12</f>
        <v/>
      </c>
    </row>
    <row r="14">
      <c r="B14" s="3" t="inlineStr">
        <is>
          <t>FY2027 adj. EBITDA guide midpoint, $m</t>
        </is>
      </c>
      <c r="C14" s="6" t="n">
        <v>382.0</v>
      </c>
      <c r="E14" s="3" t="inlineStr">
        <is>
          <t>Operating Cash Flow</t>
        </is>
      </c>
      <c r="F14" s="6" t="n">
        <v>19.513</v>
      </c>
      <c r="G14" s="6" t="n">
        <v>101.883</v>
      </c>
      <c r="H14" s="6" t="n">
        <v>71.154</v>
      </c>
      <c r="I14" s="6" t="n">
        <v>133.84</v>
      </c>
      <c r="J14" s="6" t="n">
        <v>212.511</v>
      </c>
      <c r="K14" s="6">
        <f>K16+K15</f>
        <v/>
      </c>
      <c r="L14" s="6">
        <f>L16+L15</f>
        <v/>
      </c>
      <c r="M14" s="6">
        <f>M16+M15</f>
        <v/>
      </c>
      <c r="N14" s="6">
        <f>N16+N15</f>
        <v/>
      </c>
      <c r="O14" s="6">
        <f>O16+O15</f>
        <v/>
      </c>
      <c r="P14" s="6">
        <f>P16+P15</f>
        <v/>
      </c>
      <c r="Q14" s="6">
        <f>Q16+Q15</f>
        <v/>
      </c>
      <c r="R14" s="6">
        <f>R16+R15</f>
        <v/>
      </c>
      <c r="S14" s="6">
        <f>S16+S15</f>
        <v/>
      </c>
      <c r="T14" s="6">
        <f>T16+T15</f>
        <v/>
      </c>
    </row>
    <row r="15">
      <c r="B15" s="3" t="inlineStr">
        <is>
          <t>EV / FY2027 adj. EBITDA</t>
        </is>
      </c>
      <c r="C15" s="8">
        <f>C11/C14</f>
        <v/>
      </c>
      <c r="E15" s="3" t="inlineStr">
        <is>
          <t>Capex</t>
        </is>
      </c>
      <c r="F15" s="6" t="n">
        <v>4.818</v>
      </c>
      <c r="G15" s="6" t="n">
        <v>1.723</v>
      </c>
      <c r="H15" s="6" t="n">
        <v>8.659</v>
      </c>
      <c r="I15" s="6" t="n">
        <v>18.52</v>
      </c>
      <c r="J15" s="6" t="n">
        <v>22.449</v>
      </c>
      <c r="K15" s="6">
        <f>K4*0.015</f>
        <v/>
      </c>
      <c r="L15" s="6">
        <f>L4*0.015</f>
        <v/>
      </c>
      <c r="M15" s="6">
        <f>M4*0.015</f>
        <v/>
      </c>
      <c r="N15" s="6">
        <f>N4*0.015</f>
        <v/>
      </c>
      <c r="O15" s="6">
        <f>O4*0.015</f>
        <v/>
      </c>
      <c r="P15" s="6">
        <f>P4*0.015</f>
        <v/>
      </c>
      <c r="Q15" s="6">
        <f>Q4*0.015</f>
        <v/>
      </c>
      <c r="R15" s="6">
        <f>R4*0.015</f>
        <v/>
      </c>
      <c r="S15" s="6">
        <f>S4*0.015</f>
        <v/>
      </c>
      <c r="T15" s="6">
        <f>T4*0.015</f>
        <v/>
      </c>
    </row>
    <row r="16">
      <c r="B16" s="3" t="inlineStr">
        <is>
          <t>FY2026 FCF, $m</t>
        </is>
      </c>
      <c r="C16" s="6">
        <f>J16</f>
        <v/>
      </c>
      <c r="E16" s="3" t="inlineStr">
        <is>
          <t>Free Cash Flow</t>
        </is>
      </c>
      <c r="F16" s="6">
        <f>F14-F15</f>
        <v/>
      </c>
      <c r="G16" s="6">
        <f>G14-G15</f>
        <v/>
      </c>
      <c r="H16" s="6">
        <f>H14-H15</f>
        <v/>
      </c>
      <c r="I16" s="6">
        <f>I14-I15</f>
        <v/>
      </c>
      <c r="J16" s="6">
        <f>J14-J15</f>
        <v/>
      </c>
      <c r="K16" s="6">
        <f>K4*K17</f>
        <v/>
      </c>
      <c r="L16" s="6">
        <f>L4*L17</f>
        <v/>
      </c>
      <c r="M16" s="6">
        <f>M4*M17</f>
        <v/>
      </c>
      <c r="N16" s="6">
        <f>N4*N17</f>
        <v/>
      </c>
      <c r="O16" s="6">
        <f>O4*O17</f>
        <v/>
      </c>
      <c r="P16" s="6">
        <f>P4*P17</f>
        <v/>
      </c>
      <c r="Q16" s="6">
        <f>Q4*Q17</f>
        <v/>
      </c>
      <c r="R16" s="6">
        <f>R4*R17</f>
        <v/>
      </c>
      <c r="S16" s="6">
        <f>S4*S17</f>
        <v/>
      </c>
      <c r="T16" s="6">
        <f>T4*T17</f>
        <v/>
      </c>
    </row>
    <row r="17">
      <c r="B17" s="3" t="inlineStr">
        <is>
          <t>EV / FY2026 FCF</t>
        </is>
      </c>
      <c r="C17" s="8">
        <f>C11/C16</f>
        <v/>
      </c>
      <c r="E17" s="3" t="inlineStr">
        <is>
          <t>FCF Margin</t>
        </is>
      </c>
      <c r="F17" s="7">
        <f>F16/F4</f>
        <v/>
      </c>
      <c r="G17" s="7">
        <f>G16/G4</f>
        <v/>
      </c>
      <c r="H17" s="7">
        <f>H16/H4</f>
        <v/>
      </c>
      <c r="I17" s="7">
        <f>I16/I4</f>
        <v/>
      </c>
      <c r="J17" s="7">
        <f>J16/J4</f>
        <v/>
      </c>
      <c r="K17" s="7" t="n">
        <v>0.12</v>
      </c>
      <c r="L17" s="7" t="n">
        <v>0.13</v>
      </c>
      <c r="M17" s="7" t="n">
        <v>0.135</v>
      </c>
      <c r="N17" s="7" t="n">
        <v>0.14</v>
      </c>
      <c r="O17" s="7" t="n">
        <v>0.145</v>
      </c>
      <c r="P17" s="7" t="n">
        <v>0.15</v>
      </c>
      <c r="Q17" s="7" t="n">
        <v>0.1525</v>
      </c>
      <c r="R17" s="7" t="n">
        <v>0.155</v>
      </c>
      <c r="S17" s="7" t="n">
        <v>0.155</v>
      </c>
      <c r="T17" s="7" t="n">
        <v>0.155</v>
      </c>
    </row>
    <row r="18">
      <c r="B18" s="3" t="inlineStr">
        <is>
          <t>P / FY2027 adj. EPS</t>
        </is>
      </c>
      <c r="C18" s="8">
        <f>C4/3.295</f>
        <v/>
      </c>
      <c r="E18" s="3" t="inlineStr">
        <is>
          <t>Stock-Based Compensation</t>
        </is>
      </c>
      <c r="F18" s="6" t="n">
        <v>19.646</v>
      </c>
      <c r="G18" s="6" t="n">
        <v>29.117</v>
      </c>
      <c r="H18" s="6" t="n">
        <v>40.625</v>
      </c>
      <c r="I18" s="6" t="n">
        <v>71.786</v>
      </c>
      <c r="J18" s="6" t="n">
        <v>86.919</v>
      </c>
      <c r="K18" s="6">
        <f>K4*K19</f>
        <v/>
      </c>
      <c r="L18" s="6">
        <f>L4*L19</f>
        <v/>
      </c>
      <c r="M18" s="6">
        <f>M4*M19</f>
        <v/>
      </c>
      <c r="N18" s="6">
        <f>N4*N19</f>
        <v/>
      </c>
      <c r="O18" s="6">
        <f>O4*O19</f>
        <v/>
      </c>
      <c r="P18" s="6">
        <f>P4*P19</f>
        <v/>
      </c>
      <c r="Q18" s="6">
        <f>Q4*Q19</f>
        <v/>
      </c>
      <c r="R18" s="6">
        <f>R4*R19</f>
        <v/>
      </c>
      <c r="S18" s="6">
        <f>S4*S19</f>
        <v/>
      </c>
      <c r="T18" s="6">
        <f>T4*T19</f>
        <v/>
      </c>
    </row>
    <row r="19">
      <c r="E19" s="3" t="inlineStr">
        <is>
          <t>SBC % Revenue</t>
        </is>
      </c>
      <c r="F19" s="7">
        <f>F18/F4</f>
        <v/>
      </c>
      <c r="G19" s="7">
        <f>G18/G4</f>
        <v/>
      </c>
      <c r="H19" s="7">
        <f>H18/H4</f>
        <v/>
      </c>
      <c r="I19" s="7">
        <f>I18/I4</f>
        <v/>
      </c>
      <c r="J19" s="7">
        <f>J18/J4</f>
        <v/>
      </c>
      <c r="K19" s="7" t="n">
        <v>0.048</v>
      </c>
      <c r="L19" s="7" t="n">
        <v>0.046</v>
      </c>
      <c r="M19" s="7" t="n">
        <v>0.044</v>
      </c>
      <c r="N19" s="7" t="n">
        <v>0.042</v>
      </c>
      <c r="O19" s="7" t="n">
        <v>0.04</v>
      </c>
      <c r="P19" s="7" t="n">
        <v>0.038</v>
      </c>
      <c r="Q19" s="7" t="n">
        <v>0.036</v>
      </c>
      <c r="R19" s="7" t="n">
        <v>0.034</v>
      </c>
      <c r="S19" s="7" t="n">
        <v>0.032</v>
      </c>
      <c r="T19" s="7" t="n">
        <v>0.03</v>
      </c>
    </row>
    <row r="20">
      <c r="E20" s="3" t="inlineStr">
        <is>
          <t>Owner FCF After SBC</t>
        </is>
      </c>
      <c r="F20" s="6">
        <f>F16-F18</f>
        <v/>
      </c>
      <c r="G20" s="6">
        <f>G16-G18</f>
        <v/>
      </c>
      <c r="H20" s="6">
        <f>H16-H18</f>
        <v/>
      </c>
      <c r="I20" s="6">
        <f>I16-I18</f>
        <v/>
      </c>
      <c r="J20" s="6">
        <f>J16-J18</f>
        <v/>
      </c>
      <c r="K20" s="6">
        <f>K16-K18</f>
        <v/>
      </c>
      <c r="L20" s="6">
        <f>L16-L18</f>
        <v/>
      </c>
      <c r="M20" s="6">
        <f>M16-M18</f>
        <v/>
      </c>
      <c r="N20" s="6">
        <f>N16-N18</f>
        <v/>
      </c>
      <c r="O20" s="6">
        <f>O16-O18</f>
        <v/>
      </c>
      <c r="P20" s="6">
        <f>P16-P18</f>
        <v/>
      </c>
      <c r="Q20" s="6">
        <f>Q16-Q18</f>
        <v/>
      </c>
      <c r="R20" s="6">
        <f>R16-R18</f>
        <v/>
      </c>
      <c r="S20" s="6">
        <f>S16-S18</f>
        <v/>
      </c>
      <c r="T20" s="6">
        <f>T16-T18</f>
        <v/>
      </c>
    </row>
    <row r="21">
      <c r="E21" s="3" t="inlineStr">
        <is>
          <t>Owner FCF Margin</t>
        </is>
      </c>
      <c r="F21" s="7">
        <f>F20/F4</f>
        <v/>
      </c>
      <c r="G21" s="7">
        <f>G20/G4</f>
        <v/>
      </c>
      <c r="H21" s="7">
        <f>H20/H4</f>
        <v/>
      </c>
      <c r="I21" s="7">
        <f>I20/I4</f>
        <v/>
      </c>
      <c r="J21" s="7">
        <f>J20/J4</f>
        <v/>
      </c>
      <c r="K21" s="7">
        <f>K20/K4</f>
        <v/>
      </c>
      <c r="L21" s="7">
        <f>L20/L4</f>
        <v/>
      </c>
      <c r="M21" s="7">
        <f>M20/M4</f>
        <v/>
      </c>
      <c r="N21" s="7">
        <f>N20/N4</f>
        <v/>
      </c>
      <c r="O21" s="7">
        <f>O20/O4</f>
        <v/>
      </c>
      <c r="P21" s="7">
        <f>P20/P4</f>
        <v/>
      </c>
      <c r="Q21" s="7">
        <f>Q20/Q4</f>
        <v/>
      </c>
      <c r="R21" s="7">
        <f>R20/R4</f>
        <v/>
      </c>
      <c r="S21" s="7">
        <f>S20/S4</f>
        <v/>
      </c>
      <c r="T21" s="7">
        <f>T20/T4</f>
        <v/>
      </c>
    </row>
    <row r="22">
      <c r="E22" s="3" t="inlineStr">
        <is>
          <t>Adjusted EBITDA</t>
        </is>
      </c>
      <c r="J22" s="6" t="n">
        <v>335.2</v>
      </c>
      <c r="K22" s="6">
        <f>K4*K23</f>
        <v/>
      </c>
      <c r="L22" s="6">
        <f>L4*L23</f>
        <v/>
      </c>
      <c r="M22" s="6">
        <f>M4*M23</f>
        <v/>
      </c>
      <c r="N22" s="6">
        <f>N4*N23</f>
        <v/>
      </c>
      <c r="O22" s="6">
        <f>O4*O23</f>
        <v/>
      </c>
      <c r="P22" s="6">
        <f>P4*P23</f>
        <v/>
      </c>
      <c r="Q22" s="6">
        <f>Q4*Q23</f>
        <v/>
      </c>
      <c r="R22" s="6">
        <f>R4*R23</f>
        <v/>
      </c>
      <c r="S22" s="6">
        <f>S4*S23</f>
        <v/>
      </c>
      <c r="T22" s="6">
        <f>T4*T23</f>
        <v/>
      </c>
    </row>
    <row r="23">
      <c r="E23" s="3" t="inlineStr">
        <is>
          <t>Adjusted EBITDA Margin</t>
        </is>
      </c>
      <c r="J23" s="7">
        <f>J22/J4</f>
        <v/>
      </c>
      <c r="K23" s="7" t="n">
        <v>0.2064864864864865</v>
      </c>
      <c r="L23" s="7" t="n">
        <v>0.208</v>
      </c>
      <c r="M23" s="7" t="n">
        <v>0.21</v>
      </c>
      <c r="N23" s="7" t="n">
        <v>0.212</v>
      </c>
      <c r="O23" s="7" t="n">
        <v>0.215</v>
      </c>
      <c r="P23" s="7" t="n">
        <v>0.217</v>
      </c>
      <c r="Q23" s="7" t="n">
        <v>0.22</v>
      </c>
      <c r="R23" s="7" t="n">
        <v>0.22</v>
      </c>
      <c r="S23" s="7" t="n">
        <v>0.22</v>
      </c>
      <c r="T23" s="7" t="n">
        <v>0.22</v>
      </c>
    </row>
    <row r="24">
      <c r="E24" s="3" t="inlineStr">
        <is>
          <t>Cash</t>
        </is>
      </c>
      <c r="F24" s="6" t="n">
        <v>43.355</v>
      </c>
      <c r="G24" s="6" t="n">
        <v>120.8</v>
      </c>
      <c r="H24" s="6" t="n">
        <v>108.17</v>
      </c>
      <c r="I24" s="6" t="n">
        <v>148.692</v>
      </c>
      <c r="J24" s="6" t="n">
        <v>289.685</v>
      </c>
    </row>
    <row r="25">
      <c r="E25" s="3" t="inlineStr">
        <is>
          <t>Debt + Finance Leases</t>
        </is>
      </c>
      <c r="F25" s="6" t="n">
        <v>68.269</v>
      </c>
      <c r="G25" s="6" t="n">
        <v>62.92</v>
      </c>
      <c r="H25" s="6" t="n">
        <v>98.607</v>
      </c>
      <c r="I25" s="6" t="n">
        <v>256.676</v>
      </c>
      <c r="J25" s="6" t="n">
        <v>839.348</v>
      </c>
    </row>
    <row r="26">
      <c r="E26" s="3" t="inlineStr">
        <is>
          <t>Net Debt</t>
        </is>
      </c>
      <c r="F26" s="6">
        <f>F25-F24</f>
        <v/>
      </c>
      <c r="G26" s="6">
        <f>G25-G24</f>
        <v/>
      </c>
      <c r="H26" s="6">
        <f>H25-H24</f>
        <v/>
      </c>
      <c r="I26" s="6">
        <f>I25-I24</f>
        <v/>
      </c>
      <c r="J26" s="6">
        <f>J25-J24</f>
        <v/>
      </c>
    </row>
    <row r="30">
      <c r="B30" s="1" t="inlineStr">
        <is>
          <t>DCF: Reported FCF With Exit Multiple</t>
        </is>
      </c>
    </row>
    <row r="31">
      <c r="B31" s="3" t="inlineStr">
        <is>
          <t>WACC</t>
        </is>
      </c>
      <c r="C31" s="7">
        <f>WACC!B16</f>
        <v/>
      </c>
    </row>
    <row r="32">
      <c r="B32" s="3" t="inlineStr">
        <is>
          <t>Terminal EV / FCF multiple</t>
        </is>
      </c>
      <c r="C32" s="8" t="n">
        <v>22.0</v>
      </c>
    </row>
    <row r="33">
      <c r="B33" s="3" t="inlineStr">
        <is>
          <t>Net debt, $m</t>
        </is>
      </c>
      <c r="C33" s="6">
        <f>C10</f>
        <v/>
      </c>
    </row>
    <row r="34">
      <c r="B34" s="3" t="inlineStr">
        <is>
          <t>Terminal year FCF, $m</t>
        </is>
      </c>
      <c r="C34" s="6">
        <f>T16</f>
        <v/>
      </c>
    </row>
    <row r="35">
      <c r="B35" s="3" t="inlineStr">
        <is>
          <t>PV explicit FCF, $m</t>
        </is>
      </c>
      <c r="C35" s="6">
        <f>SUM(K36:T36)</f>
        <v/>
      </c>
      <c r="J35" s="2" t="inlineStr">
        <is>
          <t>Forecast Year</t>
        </is>
      </c>
      <c r="K35" s="2" t="inlineStr">
        <is>
          <t>FY2027E</t>
        </is>
      </c>
      <c r="L35" s="2" t="inlineStr">
        <is>
          <t>FY2028E</t>
        </is>
      </c>
      <c r="M35" s="2" t="inlineStr">
        <is>
          <t>FY2029E</t>
        </is>
      </c>
      <c r="N35" s="2" t="inlineStr">
        <is>
          <t>FY2030E</t>
        </is>
      </c>
      <c r="O35" s="2" t="inlineStr">
        <is>
          <t>FY2031E</t>
        </is>
      </c>
      <c r="P35" s="2" t="inlineStr">
        <is>
          <t>FY2032E</t>
        </is>
      </c>
      <c r="Q35" s="2" t="inlineStr">
        <is>
          <t>FY2033E</t>
        </is>
      </c>
      <c r="R35" s="2" t="inlineStr">
        <is>
          <t>FY2034E</t>
        </is>
      </c>
      <c r="S35" s="2" t="inlineStr">
        <is>
          <t>FY2035E</t>
        </is>
      </c>
      <c r="T35" s="2" t="inlineStr">
        <is>
          <t>FY2036E</t>
        </is>
      </c>
    </row>
    <row r="36">
      <c r="B36" s="3" t="inlineStr">
        <is>
          <t>Terminal EV, $m</t>
        </is>
      </c>
      <c r="C36" s="6">
        <f>C34*C32</f>
        <v/>
      </c>
      <c r="J36" s="3" t="inlineStr">
        <is>
          <t>PV FCF</t>
        </is>
      </c>
      <c r="K36" s="6">
        <f>K16/(1+$C$31)^1</f>
        <v/>
      </c>
      <c r="L36" s="6">
        <f>L16/(1+$C$31)^2</f>
        <v/>
      </c>
      <c r="M36" s="6">
        <f>M16/(1+$C$31)^3</f>
        <v/>
      </c>
      <c r="N36" s="6">
        <f>N16/(1+$C$31)^4</f>
        <v/>
      </c>
      <c r="O36" s="6">
        <f>O16/(1+$C$31)^5</f>
        <v/>
      </c>
      <c r="P36" s="6">
        <f>P16/(1+$C$31)^6</f>
        <v/>
      </c>
      <c r="Q36" s="6">
        <f>Q16/(1+$C$31)^7</f>
        <v/>
      </c>
      <c r="R36" s="6">
        <f>R16/(1+$C$31)^8</f>
        <v/>
      </c>
      <c r="S36" s="6">
        <f>S16/(1+$C$31)^9</f>
        <v/>
      </c>
      <c r="T36" s="6">
        <f>T16/(1+$C$31)^10</f>
        <v/>
      </c>
    </row>
    <row r="37">
      <c r="B37" s="3" t="inlineStr">
        <is>
          <t>PV terminal EV, $m</t>
        </is>
      </c>
      <c r="C37" s="6">
        <f>C36/(1+C31)^10</f>
        <v/>
      </c>
    </row>
    <row r="38">
      <c r="B38" s="3" t="inlineStr">
        <is>
          <t>DCF enterprise value, $m</t>
        </is>
      </c>
      <c r="C38" s="6">
        <f>C35+C37</f>
        <v/>
      </c>
    </row>
    <row r="39">
      <c r="B39" s="3" t="inlineStr">
        <is>
          <t>Equity value, $m</t>
        </is>
      </c>
      <c r="C39" s="6">
        <f>C38-C33</f>
        <v/>
      </c>
    </row>
    <row r="40">
      <c r="B40" s="3" t="inlineStr">
        <is>
          <t>Diluted shares used, mm</t>
        </is>
      </c>
      <c r="C40" s="5">
        <f>T12</f>
        <v/>
      </c>
    </row>
    <row r="41">
      <c r="B41" s="3" t="inlineStr">
        <is>
          <t>Implied price</t>
        </is>
      </c>
      <c r="C41" s="9">
        <f>C39/C40</f>
        <v/>
      </c>
    </row>
    <row r="42">
      <c r="B42" s="3" t="inlineStr">
        <is>
          <t>Current price</t>
        </is>
      </c>
      <c r="C42" s="6">
        <f>C4</f>
        <v/>
      </c>
    </row>
    <row r="43">
      <c r="B43" s="3" t="inlineStr">
        <is>
          <t>Margin of safety</t>
        </is>
      </c>
      <c r="C43" s="7">
        <f>C41/C42-1</f>
        <v/>
      </c>
    </row>
    <row r="45">
      <c r="B45" s="3" t="inlineStr">
        <is>
          <t>Gordon terminal growth</t>
        </is>
      </c>
      <c r="C45" s="7" t="n">
        <v>0.03</v>
      </c>
    </row>
    <row r="46">
      <c r="B46" s="3" t="inlineStr">
        <is>
          <t>Gordon terminal value, $m</t>
        </is>
      </c>
      <c r="C46" s="6">
        <f>T16*(1+C45)/(C31-C45)</f>
        <v/>
      </c>
    </row>
    <row r="47">
      <c r="B47" s="3" t="inlineStr">
        <is>
          <t>Gordon implied price</t>
        </is>
      </c>
      <c r="C47" s="6">
        <f>(C35+C46/(1+C31)^10-C33)/C40</f>
        <v/>
      </c>
    </row>
    <row r="49">
      <c r="B49" s="3" t="inlineStr">
        <is>
          <t>Reverse terminal FCF margin at current EV</t>
        </is>
      </c>
      <c r="C49" s="7">
        <f>((C11-C35)*(1+C31)^10/C32)/T4</f>
        <v/>
      </c>
    </row>
    <row r="52">
      <c r="B52" s="1" t="inlineStr">
        <is>
          <t>Implied Price Sensitivity: WACC vs Exit EV/FCF</t>
        </is>
      </c>
    </row>
    <row r="53">
      <c r="B53" s="2" t="inlineStr">
        <is>
          <t>WACC / Multiple</t>
        </is>
      </c>
      <c r="C53" s="8" t="n">
        <v>16</v>
      </c>
      <c r="D53" s="8" t="n">
        <v>18</v>
      </c>
      <c r="E53" s="8" t="n">
        <v>20</v>
      </c>
      <c r="F53" s="8" t="n">
        <v>22</v>
      </c>
      <c r="G53" s="8" t="n">
        <v>24</v>
      </c>
      <c r="H53" s="8" t="n">
        <v>26</v>
      </c>
    </row>
    <row r="54">
      <c r="B54" s="7" t="n">
        <v>0.09</v>
      </c>
      <c r="C54" s="6">
        <f>((K16/(1+$B54)^1+L16/(1+$B54)^2+M16/(1+$B54)^3+N16/(1+$B54)^4+O16/(1+$B54)^5+P16/(1+$B54)^6+Q16/(1+$B54)^7+R16/(1+$B54)^8+S16/(1+$B54)^9+T16/(1+$B54)^10+T16*C53/(1+$B54)^10)-$C$33)/$C$40</f>
        <v/>
      </c>
      <c r="D54" s="6">
        <f>((K16/(1+$B54)^1+L16/(1+$B54)^2+M16/(1+$B54)^3+N16/(1+$B54)^4+O16/(1+$B54)^5+P16/(1+$B54)^6+Q16/(1+$B54)^7+R16/(1+$B54)^8+S16/(1+$B54)^9+T16/(1+$B54)^10+T16*D53/(1+$B54)^10)-$C$33)/$C$40</f>
        <v/>
      </c>
      <c r="E54" s="6">
        <f>((K16/(1+$B54)^1+L16/(1+$B54)^2+M16/(1+$B54)^3+N16/(1+$B54)^4+O16/(1+$B54)^5+P16/(1+$B54)^6+Q16/(1+$B54)^7+R16/(1+$B54)^8+S16/(1+$B54)^9+T16/(1+$B54)^10+T16*E53/(1+$B54)^10)-$C$33)/$C$40</f>
        <v/>
      </c>
      <c r="F54" s="6">
        <f>((K16/(1+$B54)^1+L16/(1+$B54)^2+M16/(1+$B54)^3+N16/(1+$B54)^4+O16/(1+$B54)^5+P16/(1+$B54)^6+Q16/(1+$B54)^7+R16/(1+$B54)^8+S16/(1+$B54)^9+T16/(1+$B54)^10+T16*F53/(1+$B54)^10)-$C$33)/$C$40</f>
        <v/>
      </c>
      <c r="G54" s="6">
        <f>((K16/(1+$B54)^1+L16/(1+$B54)^2+M16/(1+$B54)^3+N16/(1+$B54)^4+O16/(1+$B54)^5+P16/(1+$B54)^6+Q16/(1+$B54)^7+R16/(1+$B54)^8+S16/(1+$B54)^9+T16/(1+$B54)^10+T16*G53/(1+$B54)^10)-$C$33)/$C$40</f>
        <v/>
      </c>
      <c r="H54" s="6">
        <f>((K16/(1+$B54)^1+L16/(1+$B54)^2+M16/(1+$B54)^3+N16/(1+$B54)^4+O16/(1+$B54)^5+P16/(1+$B54)^6+Q16/(1+$B54)^7+R16/(1+$B54)^8+S16/(1+$B54)^9+T16/(1+$B54)^10+T16*H53/(1+$B54)^10)-$C$33)/$C$40</f>
        <v/>
      </c>
    </row>
    <row r="55">
      <c r="B55" s="7" t="n">
        <v>0.095</v>
      </c>
      <c r="C55" s="6">
        <f>((K16/(1+$B55)^1+L16/(1+$B55)^2+M16/(1+$B55)^3+N16/(1+$B55)^4+O16/(1+$B55)^5+P16/(1+$B55)^6+Q16/(1+$B55)^7+R16/(1+$B55)^8+S16/(1+$B55)^9+T16/(1+$B55)^10+T16*C53/(1+$B55)^10)-$C$33)/$C$40</f>
        <v/>
      </c>
      <c r="D55" s="6">
        <f>((K16/(1+$B55)^1+L16/(1+$B55)^2+M16/(1+$B55)^3+N16/(1+$B55)^4+O16/(1+$B55)^5+P16/(1+$B55)^6+Q16/(1+$B55)^7+R16/(1+$B55)^8+S16/(1+$B55)^9+T16/(1+$B55)^10+T16*D53/(1+$B55)^10)-$C$33)/$C$40</f>
        <v/>
      </c>
      <c r="E55" s="6">
        <f>((K16/(1+$B55)^1+L16/(1+$B55)^2+M16/(1+$B55)^3+N16/(1+$B55)^4+O16/(1+$B55)^5+P16/(1+$B55)^6+Q16/(1+$B55)^7+R16/(1+$B55)^8+S16/(1+$B55)^9+T16/(1+$B55)^10+T16*E53/(1+$B55)^10)-$C$33)/$C$40</f>
        <v/>
      </c>
      <c r="F55" s="6">
        <f>((K16/(1+$B55)^1+L16/(1+$B55)^2+M16/(1+$B55)^3+N16/(1+$B55)^4+O16/(1+$B55)^5+P16/(1+$B55)^6+Q16/(1+$B55)^7+R16/(1+$B55)^8+S16/(1+$B55)^9+T16/(1+$B55)^10+T16*F53/(1+$B55)^10)-$C$33)/$C$40</f>
        <v/>
      </c>
      <c r="G55" s="6">
        <f>((K16/(1+$B55)^1+L16/(1+$B55)^2+M16/(1+$B55)^3+N16/(1+$B55)^4+O16/(1+$B55)^5+P16/(1+$B55)^6+Q16/(1+$B55)^7+R16/(1+$B55)^8+S16/(1+$B55)^9+T16/(1+$B55)^10+T16*G53/(1+$B55)^10)-$C$33)/$C$40</f>
        <v/>
      </c>
      <c r="H55" s="6">
        <f>((K16/(1+$B55)^1+L16/(1+$B55)^2+M16/(1+$B55)^3+N16/(1+$B55)^4+O16/(1+$B55)^5+P16/(1+$B55)^6+Q16/(1+$B55)^7+R16/(1+$B55)^8+S16/(1+$B55)^9+T16/(1+$B55)^10+T16*H53/(1+$B55)^10)-$C$33)/$C$40</f>
        <v/>
      </c>
    </row>
    <row r="56">
      <c r="B56" s="7" t="n">
        <v>0.1</v>
      </c>
      <c r="C56" s="6">
        <f>((K16/(1+$B56)^1+L16/(1+$B56)^2+M16/(1+$B56)^3+N16/(1+$B56)^4+O16/(1+$B56)^5+P16/(1+$B56)^6+Q16/(1+$B56)^7+R16/(1+$B56)^8+S16/(1+$B56)^9+T16/(1+$B56)^10+T16*C53/(1+$B56)^10)-$C$33)/$C$40</f>
        <v/>
      </c>
      <c r="D56" s="6">
        <f>((K16/(1+$B56)^1+L16/(1+$B56)^2+M16/(1+$B56)^3+N16/(1+$B56)^4+O16/(1+$B56)^5+P16/(1+$B56)^6+Q16/(1+$B56)^7+R16/(1+$B56)^8+S16/(1+$B56)^9+T16/(1+$B56)^10+T16*D53/(1+$B56)^10)-$C$33)/$C$40</f>
        <v/>
      </c>
      <c r="E56" s="6">
        <f>((K16/(1+$B56)^1+L16/(1+$B56)^2+M16/(1+$B56)^3+N16/(1+$B56)^4+O16/(1+$B56)^5+P16/(1+$B56)^6+Q16/(1+$B56)^7+R16/(1+$B56)^8+S16/(1+$B56)^9+T16/(1+$B56)^10+T16*E53/(1+$B56)^10)-$C$33)/$C$40</f>
        <v/>
      </c>
      <c r="F56" s="6">
        <f>((K16/(1+$B56)^1+L16/(1+$B56)^2+M16/(1+$B56)^3+N16/(1+$B56)^4+O16/(1+$B56)^5+P16/(1+$B56)^6+Q16/(1+$B56)^7+R16/(1+$B56)^8+S16/(1+$B56)^9+T16/(1+$B56)^10+T16*F53/(1+$B56)^10)-$C$33)/$C$40</f>
        <v/>
      </c>
      <c r="G56" s="6">
        <f>((K16/(1+$B56)^1+L16/(1+$B56)^2+M16/(1+$B56)^3+N16/(1+$B56)^4+O16/(1+$B56)^5+P16/(1+$B56)^6+Q16/(1+$B56)^7+R16/(1+$B56)^8+S16/(1+$B56)^9+T16/(1+$B56)^10+T16*G53/(1+$B56)^10)-$C$33)/$C$40</f>
        <v/>
      </c>
      <c r="H56" s="6">
        <f>((K16/(1+$B56)^1+L16/(1+$B56)^2+M16/(1+$B56)^3+N16/(1+$B56)^4+O16/(1+$B56)^5+P16/(1+$B56)^6+Q16/(1+$B56)^7+R16/(1+$B56)^8+S16/(1+$B56)^9+T16/(1+$B56)^10+T16*H53/(1+$B56)^10)-$C$33)/$C$40</f>
        <v/>
      </c>
    </row>
    <row r="57">
      <c r="B57" s="7" t="n">
        <v>0.105</v>
      </c>
      <c r="C57" s="6">
        <f>((K16/(1+$B57)^1+L16/(1+$B57)^2+M16/(1+$B57)^3+N16/(1+$B57)^4+O16/(1+$B57)^5+P16/(1+$B57)^6+Q16/(1+$B57)^7+R16/(1+$B57)^8+S16/(1+$B57)^9+T16/(1+$B57)^10+T16*C53/(1+$B57)^10)-$C$33)/$C$40</f>
        <v/>
      </c>
      <c r="D57" s="6">
        <f>((K16/(1+$B57)^1+L16/(1+$B57)^2+M16/(1+$B57)^3+N16/(1+$B57)^4+O16/(1+$B57)^5+P16/(1+$B57)^6+Q16/(1+$B57)^7+R16/(1+$B57)^8+S16/(1+$B57)^9+T16/(1+$B57)^10+T16*D53/(1+$B57)^10)-$C$33)/$C$40</f>
        <v/>
      </c>
      <c r="E57" s="6">
        <f>((K16/(1+$B57)^1+L16/(1+$B57)^2+M16/(1+$B57)^3+N16/(1+$B57)^4+O16/(1+$B57)^5+P16/(1+$B57)^6+Q16/(1+$B57)^7+R16/(1+$B57)^8+S16/(1+$B57)^9+T16/(1+$B57)^10+T16*E53/(1+$B57)^10)-$C$33)/$C$40</f>
        <v/>
      </c>
      <c r="F57" s="6">
        <f>((K16/(1+$B57)^1+L16/(1+$B57)^2+M16/(1+$B57)^3+N16/(1+$B57)^4+O16/(1+$B57)^5+P16/(1+$B57)^6+Q16/(1+$B57)^7+R16/(1+$B57)^8+S16/(1+$B57)^9+T16/(1+$B57)^10+T16*F53/(1+$B57)^10)-$C$33)/$C$40</f>
        <v/>
      </c>
      <c r="G57" s="6">
        <f>((K16/(1+$B57)^1+L16/(1+$B57)^2+M16/(1+$B57)^3+N16/(1+$B57)^4+O16/(1+$B57)^5+P16/(1+$B57)^6+Q16/(1+$B57)^7+R16/(1+$B57)^8+S16/(1+$B57)^9+T16/(1+$B57)^10+T16*G53/(1+$B57)^10)-$C$33)/$C$40</f>
        <v/>
      </c>
      <c r="H57" s="6">
        <f>((K16/(1+$B57)^1+L16/(1+$B57)^2+M16/(1+$B57)^3+N16/(1+$B57)^4+O16/(1+$B57)^5+P16/(1+$B57)^6+Q16/(1+$B57)^7+R16/(1+$B57)^8+S16/(1+$B57)^9+T16/(1+$B57)^10+T16*H53/(1+$B57)^10)-$C$33)/$C$40</f>
        <v/>
      </c>
    </row>
    <row r="58">
      <c r="B58" s="7" t="n">
        <v>0.11</v>
      </c>
      <c r="C58" s="6">
        <f>((K16/(1+$B58)^1+L16/(1+$B58)^2+M16/(1+$B58)^3+N16/(1+$B58)^4+O16/(1+$B58)^5+P16/(1+$B58)^6+Q16/(1+$B58)^7+R16/(1+$B58)^8+S16/(1+$B58)^9+T16/(1+$B58)^10+T16*C53/(1+$B58)^10)-$C$33)/$C$40</f>
        <v/>
      </c>
      <c r="D58" s="6">
        <f>((K16/(1+$B58)^1+L16/(1+$B58)^2+M16/(1+$B58)^3+N16/(1+$B58)^4+O16/(1+$B58)^5+P16/(1+$B58)^6+Q16/(1+$B58)^7+R16/(1+$B58)^8+S16/(1+$B58)^9+T16/(1+$B58)^10+T16*D53/(1+$B58)^10)-$C$33)/$C$40</f>
        <v/>
      </c>
      <c r="E58" s="6">
        <f>((K16/(1+$B58)^1+L16/(1+$B58)^2+M16/(1+$B58)^3+N16/(1+$B58)^4+O16/(1+$B58)^5+P16/(1+$B58)^6+Q16/(1+$B58)^7+R16/(1+$B58)^8+S16/(1+$B58)^9+T16/(1+$B58)^10+T16*E53/(1+$B58)^10)-$C$33)/$C$40</f>
        <v/>
      </c>
      <c r="F58" s="6">
        <f>((K16/(1+$B58)^1+L16/(1+$B58)^2+M16/(1+$B58)^3+N16/(1+$B58)^4+O16/(1+$B58)^5+P16/(1+$B58)^6+Q16/(1+$B58)^7+R16/(1+$B58)^8+S16/(1+$B58)^9+T16/(1+$B58)^10+T16*F53/(1+$B58)^10)-$C$33)/$C$40</f>
        <v/>
      </c>
      <c r="G58" s="6">
        <f>((K16/(1+$B58)^1+L16/(1+$B58)^2+M16/(1+$B58)^3+N16/(1+$B58)^4+O16/(1+$B58)^5+P16/(1+$B58)^6+Q16/(1+$B58)^7+R16/(1+$B58)^8+S16/(1+$B58)^9+T16/(1+$B58)^10+T16*G53/(1+$B58)^10)-$C$33)/$C$40</f>
        <v/>
      </c>
      <c r="H58" s="6">
        <f>((K16/(1+$B58)^1+L16/(1+$B58)^2+M16/(1+$B58)^3+N16/(1+$B58)^4+O16/(1+$B58)^5+P16/(1+$B58)^6+Q16/(1+$B58)^7+R16/(1+$B58)^8+S16/(1+$B58)^9+T16/(1+$B58)^10+T16*H53/(1+$B58)^10)-$C$33)/$C$40</f>
        <v/>
      </c>
    </row>
    <row r="59">
      <c r="B59" s="7" t="n">
        <v>0.115</v>
      </c>
      <c r="C59" s="6">
        <f>((K16/(1+$B59)^1+L16/(1+$B59)^2+M16/(1+$B59)^3+N16/(1+$B59)^4+O16/(1+$B59)^5+P16/(1+$B59)^6+Q16/(1+$B59)^7+R16/(1+$B59)^8+S16/(1+$B59)^9+T16/(1+$B59)^10+T16*C53/(1+$B59)^10)-$C$33)/$C$40</f>
        <v/>
      </c>
      <c r="D59" s="6">
        <f>((K16/(1+$B59)^1+L16/(1+$B59)^2+M16/(1+$B59)^3+N16/(1+$B59)^4+O16/(1+$B59)^5+P16/(1+$B59)^6+Q16/(1+$B59)^7+R16/(1+$B59)^8+S16/(1+$B59)^9+T16/(1+$B59)^10+T16*D53/(1+$B59)^10)-$C$33)/$C$40</f>
        <v/>
      </c>
      <c r="E59" s="6">
        <f>((K16/(1+$B59)^1+L16/(1+$B59)^2+M16/(1+$B59)^3+N16/(1+$B59)^4+O16/(1+$B59)^5+P16/(1+$B59)^6+Q16/(1+$B59)^7+R16/(1+$B59)^8+S16/(1+$B59)^9+T16/(1+$B59)^10+T16*E53/(1+$B59)^10)-$C$33)/$C$40</f>
        <v/>
      </c>
      <c r="F59" s="6">
        <f>((K16/(1+$B59)^1+L16/(1+$B59)^2+M16/(1+$B59)^3+N16/(1+$B59)^4+O16/(1+$B59)^5+P16/(1+$B59)^6+Q16/(1+$B59)^7+R16/(1+$B59)^8+S16/(1+$B59)^9+T16/(1+$B59)^10+T16*F53/(1+$B59)^10)-$C$33)/$C$40</f>
        <v/>
      </c>
      <c r="G59" s="6">
        <f>((K16/(1+$B59)^1+L16/(1+$B59)^2+M16/(1+$B59)^3+N16/(1+$B59)^4+O16/(1+$B59)^5+P16/(1+$B59)^6+Q16/(1+$B59)^7+R16/(1+$B59)^8+S16/(1+$B59)^9+T16/(1+$B59)^10+T16*G53/(1+$B59)^10)-$C$33)/$C$40</f>
        <v/>
      </c>
      <c r="H59" s="6">
        <f>((K16/(1+$B59)^1+L16/(1+$B59)^2+M16/(1+$B59)^3+N16/(1+$B59)^4+O16/(1+$B59)^5+P16/(1+$B59)^6+Q16/(1+$B59)^7+R16/(1+$B59)^8+S16/(1+$B59)^9+T16/(1+$B59)^10+T16*H53/(1+$B59)^10)-$C$33)/$C$40</f>
        <v/>
      </c>
    </row>
  </sheetData>
  <mergeCells count="4">
    <mergeCell ref="B2:C2"/>
    <mergeCell ref="E2:T2"/>
    <mergeCell ref="B30:C30"/>
    <mergeCell ref="B52:G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16"/>
  <sheetViews>
    <sheetView workbookViewId="0">
      <pane xSplit="0" ySplit="3" topLeftCell="A4" activePane="bottomRight" state="frozen"/>
    </sheetView>
  </sheetViews>
  <sheetFormatPr baseColWidth="8" defaultRowHeight="15"/>
  <cols>
    <col min="1" max="1" width="38" customWidth="1"/>
    <col min="2" max="2" width="18" customWidth="1"/>
    <col min="3" max="3" width="58" customWidth="1"/>
    <col min="4" max="4" width="36" customWidth="1"/>
  </cols>
  <sheetData>
    <row r="1">
      <c r="A1" s="1" t="inlineStr">
        <is>
          <t>e.l.f. Beauty - WACC / Required Return</t>
        </is>
      </c>
    </row>
    <row r="3">
      <c r="A3" s="2" t="inlineStr">
        <is>
          <t>Component</t>
        </is>
      </c>
      <c r="B3" s="2" t="inlineStr">
        <is>
          <t>Value</t>
        </is>
      </c>
      <c r="C3" s="2" t="inlineStr">
        <is>
          <t>Rationale</t>
        </is>
      </c>
      <c r="D3" s="2" t="inlineStr">
        <is>
          <t>Source</t>
        </is>
      </c>
    </row>
    <row r="4">
      <c r="A4" s="3" t="inlineStr">
        <is>
          <t>Risk-free rate</t>
        </is>
      </c>
      <c r="B4" s="7" t="n">
        <v>0.0445</v>
      </c>
      <c r="C4" s="4" t="inlineStr">
        <is>
          <t>FRED DGS10 daily observation for 2026-06-11, latest available before model date.</t>
        </is>
      </c>
      <c r="D4" s="4" t="inlineStr">
        <is>
          <t>FRED DGS10</t>
        </is>
      </c>
    </row>
    <row r="5">
      <c r="A5" s="3" t="inlineStr">
        <is>
          <t>Equity risk premium</t>
        </is>
      </c>
      <c r="B5" s="7" t="n">
        <v>0.05</v>
      </c>
      <c r="C5" s="4" t="inlineStr">
        <is>
          <t>Rounded U.S. public-equity ERP assumption for a USD model.</t>
        </is>
      </c>
      <c r="D5" s="4" t="inlineStr">
        <is>
          <t>Model assumption</t>
        </is>
      </c>
    </row>
    <row r="6">
      <c r="A6" s="3" t="inlineStr">
        <is>
          <t>Observed beta</t>
        </is>
      </c>
      <c r="B6" s="5" t="n">
        <v>1.63</v>
      </c>
      <c r="C6" s="4" t="inlineStr">
        <is>
          <t>StockAnalysis 5-year beta; shown for reference, not mechanically used.</t>
        </is>
      </c>
      <c r="D6" s="4" t="inlineStr">
        <is>
          <t>StockAnalysis</t>
        </is>
      </c>
    </row>
    <row r="7">
      <c r="A7" s="3" t="inlineStr">
        <is>
          <t>Model beta</t>
        </is>
      </c>
      <c r="B7" s="5" t="n">
        <v>1.2</v>
      </c>
      <c r="C7" s="4" t="inlineStr">
        <is>
          <t>Tempered beta for a consumer brand with high execution risk and volatile trading history.</t>
        </is>
      </c>
      <c r="D7" s="4" t="inlineStr">
        <is>
          <t>Model assumption</t>
        </is>
      </c>
    </row>
    <row r="8">
      <c r="A8" s="3" t="inlineStr">
        <is>
          <t>Company-specific risk premium</t>
        </is>
      </c>
      <c r="B8" s="7" t="n">
        <v>0.0075</v>
      </c>
      <c r="C8" s="4" t="inlineStr">
        <is>
          <t>Adds execution risk for rhode, tariffs, price elasticity, and adjusted-profit quality.</t>
        </is>
      </c>
      <c r="D8" s="4" t="inlineStr">
        <is>
          <t>Model assumption</t>
        </is>
      </c>
    </row>
    <row r="9">
      <c r="A9" s="3" t="inlineStr">
        <is>
          <t>Cost of equity</t>
        </is>
      </c>
      <c r="B9" s="7">
        <f>B4+B7*B5+B8</f>
        <v/>
      </c>
      <c r="C9" s="4" t="inlineStr">
        <is>
          <t>Risk-free + model beta x ERP + company risk premium.</t>
        </is>
      </c>
      <c r="D9" s="4" t="inlineStr">
        <is>
          <t>Formula</t>
        </is>
      </c>
    </row>
    <row r="10">
      <c r="A10" s="3" t="inlineStr">
        <is>
          <t>Pretax cost of debt</t>
        </is>
      </c>
      <c r="B10" s="7" t="n">
        <v>0.07</v>
      </c>
      <c r="C10" s="4" t="inlineStr">
        <is>
          <t>Approximate normalized borrowing cost after rhode debt financing.</t>
        </is>
      </c>
      <c r="D10" s="4" t="inlineStr">
        <is>
          <t>Model assumption</t>
        </is>
      </c>
    </row>
    <row r="11">
      <c r="A11" s="3" t="inlineStr">
        <is>
          <t>Tax rate</t>
        </is>
      </c>
      <c r="B11" s="7" t="n">
        <v>0.24</v>
      </c>
      <c r="C11" s="4" t="inlineStr">
        <is>
          <t>Normalized U.S. corporate/cash tax assumption.</t>
        </is>
      </c>
      <c r="D11" s="4" t="inlineStr">
        <is>
          <t>Model assumption</t>
        </is>
      </c>
    </row>
    <row r="12">
      <c r="A12" s="3" t="inlineStr">
        <is>
          <t>Market value of equity, $m</t>
        </is>
      </c>
      <c r="B12" s="5" t="n">
        <v>3634.7881648999996</v>
      </c>
      <c r="C12" s="4" t="inlineStr">
        <is>
          <t>Price x shares outstanding.</t>
        </is>
      </c>
      <c r="D12" s="4" t="inlineStr">
        <is>
          <t>Yahoo / StockAnalysis</t>
        </is>
      </c>
    </row>
    <row r="13">
      <c r="A13" s="3" t="inlineStr">
        <is>
          <t>Gross debt + finance leases, $m</t>
        </is>
      </c>
      <c r="B13" s="5" t="n">
        <v>839.348</v>
      </c>
      <c r="C13" s="4" t="inlineStr">
        <is>
          <t>SEC XBRL debt/finance-lease obligations.</t>
        </is>
      </c>
      <c r="D13" s="4" t="inlineStr">
        <is>
          <t>SEC FY2026 10-K</t>
        </is>
      </c>
    </row>
    <row r="14">
      <c r="A14" s="3" t="inlineStr">
        <is>
          <t>Equity weight</t>
        </is>
      </c>
      <c r="B14" s="7">
        <f>B12/(B12+B13)</f>
        <v/>
      </c>
      <c r="C14" s="4" t="inlineStr">
        <is>
          <t>Market equity weight.</t>
        </is>
      </c>
      <c r="D14" s="4" t="inlineStr">
        <is>
          <t>Formula</t>
        </is>
      </c>
    </row>
    <row r="15">
      <c r="A15" s="3" t="inlineStr">
        <is>
          <t>Debt weight</t>
        </is>
      </c>
      <c r="B15" s="7">
        <f>B13/(B12+B13)</f>
        <v/>
      </c>
      <c r="C15" s="4" t="inlineStr">
        <is>
          <t>Debt weight.</t>
        </is>
      </c>
      <c r="D15" s="4" t="inlineStr">
        <is>
          <t>Formula</t>
        </is>
      </c>
    </row>
    <row r="16">
      <c r="A16" s="3" t="inlineStr">
        <is>
          <t>WACC / discount rate</t>
        </is>
      </c>
      <c r="B16" s="7">
        <f>B14*B9+B15*B10*(1-B11)</f>
        <v/>
      </c>
      <c r="C16" s="4" t="inlineStr">
        <is>
          <t>Used by Valuation DCF.</t>
        </is>
      </c>
      <c r="D16" s="4" t="inlineStr">
        <is>
          <t>Formula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D24"/>
  <sheetViews>
    <sheetView workbookViewId="0">
      <pane xSplit="1" ySplit="3" topLeftCell="B4" activePane="bottomRight" state="frozen"/>
    </sheetView>
  </sheetViews>
  <sheetFormatPr baseColWidth="8" defaultRowHeight="15"/>
  <cols>
    <col min="1" max="1" width="34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>e.l.f. Beauty - Bear / Base / Bull Scenario DCF</t>
        </is>
      </c>
    </row>
    <row r="3">
      <c r="A3" s="2" t="inlineStr">
        <is>
          <t>Metric</t>
        </is>
      </c>
      <c r="B3" s="2" t="inlineStr">
        <is>
          <t>Bear</t>
        </is>
      </c>
      <c r="C3" s="2" t="inlineStr">
        <is>
          <t>Base</t>
        </is>
      </c>
      <c r="D3" s="2" t="inlineStr">
        <is>
          <t>Bull</t>
        </is>
      </c>
    </row>
    <row r="4">
      <c r="A4" s="3" t="inlineStr">
        <is>
          <t>Current price</t>
        </is>
      </c>
      <c r="B4" s="6" t="n">
        <v>61.15</v>
      </c>
      <c r="C4" s="6" t="n">
        <v>61.15</v>
      </c>
      <c r="D4" s="6" t="n">
        <v>61.15</v>
      </c>
    </row>
    <row r="5">
      <c r="A5" s="3" t="inlineStr">
        <is>
          <t>FY2027 revenue, $m</t>
        </is>
      </c>
      <c r="B5" s="6" t="n">
        <v>1835</v>
      </c>
      <c r="C5" s="6" t="n">
        <v>1850</v>
      </c>
      <c r="D5" s="6" t="n">
        <v>1865</v>
      </c>
    </row>
    <row r="6">
      <c r="A6" s="3" t="inlineStr">
        <is>
          <t>FY2028-FY2031 revenue CAGR</t>
        </is>
      </c>
      <c r="B6" s="7" t="n">
        <v>0.04</v>
      </c>
      <c r="C6" s="7" t="n">
        <v>0.085</v>
      </c>
      <c r="D6" s="7" t="n">
        <v>0.137</v>
      </c>
    </row>
    <row r="7">
      <c r="A7" s="3" t="inlineStr">
        <is>
          <t>FY2031 revenue, $m</t>
        </is>
      </c>
      <c r="B7" s="6">
        <f>B5*(1+B6)^4</f>
        <v/>
      </c>
      <c r="C7" s="6">
        <f>C5*(1+C6)^4</f>
        <v/>
      </c>
      <c r="D7" s="6">
        <f>D5*(1+D6)^4</f>
        <v/>
      </c>
    </row>
    <row r="8">
      <c r="A8" s="3" t="inlineStr">
        <is>
          <t>FY2027 FCF margin</t>
        </is>
      </c>
      <c r="B8" s="7" t="n">
        <v>0.09</v>
      </c>
      <c r="C8" s="7" t="n">
        <v>0.115</v>
      </c>
      <c r="D8" s="7" t="n">
        <v>0.13</v>
      </c>
    </row>
    <row r="9">
      <c r="A9" s="3" t="inlineStr">
        <is>
          <t>FY2031 FCF margin</t>
        </is>
      </c>
      <c r="B9" s="7" t="n">
        <v>0.1</v>
      </c>
      <c r="C9" s="7" t="n">
        <v>0.135</v>
      </c>
      <c r="D9" s="7" t="n">
        <v>0.16</v>
      </c>
    </row>
    <row r="10">
      <c r="A10" s="3" t="inlineStr">
        <is>
          <t>FY2027 FCF, $m</t>
        </is>
      </c>
      <c r="B10" s="6">
        <f>B5*B8</f>
        <v/>
      </c>
      <c r="C10" s="6">
        <f>C5*C8</f>
        <v/>
      </c>
      <c r="D10" s="6">
        <f>D5*D8</f>
        <v/>
      </c>
    </row>
    <row r="11">
      <c r="A11" s="3" t="inlineStr">
        <is>
          <t>FY2028 FCF, $m</t>
        </is>
      </c>
      <c r="B11" s="6">
        <f>B5*(1+B6)*((B8*3+B9)/4)</f>
        <v/>
      </c>
      <c r="C11" s="6">
        <f>C5*(1+C6)*((C8*3+C9)/4)</f>
        <v/>
      </c>
      <c r="D11" s="6">
        <f>D5*(1+D6)*((D8*3+D9)/4)</f>
        <v/>
      </c>
    </row>
    <row r="12">
      <c r="A12" s="3" t="inlineStr">
        <is>
          <t>FY2029 FCF, $m</t>
        </is>
      </c>
      <c r="B12" s="6">
        <f>B5*(1+B6)^2*((B8+B9)/2)</f>
        <v/>
      </c>
      <c r="C12" s="6">
        <f>C5*(1+C6)^2*((C8+C9)/2)</f>
        <v/>
      </c>
      <c r="D12" s="6">
        <f>D5*(1+D6)^2*((D8+D9)/2)</f>
        <v/>
      </c>
    </row>
    <row r="13">
      <c r="A13" s="3" t="inlineStr">
        <is>
          <t>FY2030 FCF, $m</t>
        </is>
      </c>
      <c r="B13" s="6">
        <f>B5*(1+B6)^3*((B8+B9*3)/4)</f>
        <v/>
      </c>
      <c r="C13" s="6">
        <f>C5*(1+C6)^3*((C8+C9*3)/4)</f>
        <v/>
      </c>
      <c r="D13" s="6">
        <f>D5*(1+D6)^3*((D8+D9*3)/4)</f>
        <v/>
      </c>
    </row>
    <row r="14">
      <c r="A14" s="3" t="inlineStr">
        <is>
          <t>FY2031 FCF, $m</t>
        </is>
      </c>
      <c r="B14" s="6">
        <f>B7*B9</f>
        <v/>
      </c>
      <c r="C14" s="6">
        <f>C7*C9</f>
        <v/>
      </c>
      <c r="D14" s="6">
        <f>D7*D9</f>
        <v/>
      </c>
    </row>
    <row r="15">
      <c r="A15" s="3" t="inlineStr">
        <is>
          <t>Discount rate</t>
        </is>
      </c>
      <c r="B15" s="7" t="n">
        <v>0.11</v>
      </c>
      <c r="C15" s="7" t="n">
        <v>0.1</v>
      </c>
      <c r="D15" s="7" t="n">
        <v>0.09</v>
      </c>
    </row>
    <row r="16">
      <c r="A16" s="3" t="inlineStr">
        <is>
          <t>Exit EV / FCF multiple</t>
        </is>
      </c>
      <c r="B16" s="8" t="n">
        <v>16</v>
      </c>
      <c r="C16" s="8" t="n">
        <v>22</v>
      </c>
      <c r="D16" s="8" t="n">
        <v>28</v>
      </c>
    </row>
    <row r="17">
      <c r="A17" s="3" t="inlineStr">
        <is>
          <t>PV explicit FCF, $m</t>
        </is>
      </c>
      <c r="B17" s="6">
        <f>SUM(B10/(1+B15)^1,B11/(1+B15)^2,B12/(1+B15)^3,B13/(1+B15)^4,B14/(1+B15)^5)</f>
        <v/>
      </c>
      <c r="C17" s="6">
        <f>SUM(C10/(1+C15)^1,C11/(1+C15)^2,C12/(1+C15)^3,C13/(1+C15)^4,C14/(1+C15)^5)</f>
        <v/>
      </c>
      <c r="D17" s="6">
        <f>SUM(D10/(1+D15)^1,D11/(1+D15)^2,D12/(1+D15)^3,D13/(1+D15)^4,D14/(1+D15)^5)</f>
        <v/>
      </c>
    </row>
    <row r="18">
      <c r="A18" s="3" t="inlineStr">
        <is>
          <t>PV terminal value, $m</t>
        </is>
      </c>
      <c r="B18" s="6">
        <f>B14*B16/(1+B15)^5</f>
        <v/>
      </c>
      <c r="C18" s="6">
        <f>C14*C16/(1+C15)^5</f>
        <v/>
      </c>
      <c r="D18" s="6">
        <f>D14*D16/(1+D15)^5</f>
        <v/>
      </c>
    </row>
    <row r="19">
      <c r="A19" s="3" t="inlineStr">
        <is>
          <t>Enterprise value today, $m</t>
        </is>
      </c>
      <c r="B19" s="6">
        <f>B17+B18</f>
        <v/>
      </c>
      <c r="C19" s="6">
        <f>C17+C18</f>
        <v/>
      </c>
      <c r="D19" s="6">
        <f>D17+D18</f>
        <v/>
      </c>
    </row>
    <row r="20">
      <c r="A20" s="3" t="inlineStr">
        <is>
          <t>Less: net debt, $m</t>
        </is>
      </c>
      <c r="B20" s="6" t="n">
        <v>549.663</v>
      </c>
      <c r="C20" s="6" t="n">
        <v>549.663</v>
      </c>
      <c r="D20" s="6" t="n">
        <v>549.663</v>
      </c>
    </row>
    <row r="21">
      <c r="A21" s="3" t="inlineStr">
        <is>
          <t>Equity value, $m</t>
        </is>
      </c>
      <c r="B21" s="6">
        <f>B19-B20</f>
        <v/>
      </c>
      <c r="C21" s="6">
        <f>C19-C20</f>
        <v/>
      </c>
      <c r="D21" s="6">
        <f>D19-D20</f>
        <v/>
      </c>
    </row>
    <row r="22">
      <c r="A22" s="3" t="inlineStr">
        <is>
          <t>Diluted shares in terminal year, mm</t>
        </is>
      </c>
      <c r="B22" s="5" t="n">
        <v>65.6</v>
      </c>
      <c r="C22" s="5" t="n">
        <v>62.5</v>
      </c>
      <c r="D22" s="5" t="n">
        <v>60.9</v>
      </c>
    </row>
    <row r="23">
      <c r="A23" s="3" t="inlineStr">
        <is>
          <t>Implied price</t>
        </is>
      </c>
      <c r="B23" s="9">
        <f>B21/B22</f>
        <v/>
      </c>
      <c r="C23" s="9">
        <f>C21/C22</f>
        <v/>
      </c>
      <c r="D23" s="9">
        <f>D21/D22</f>
        <v/>
      </c>
    </row>
    <row r="24">
      <c r="A24" s="3" t="inlineStr">
        <is>
          <t>5-year CAGR</t>
        </is>
      </c>
      <c r="B24" s="7">
        <f>(B23/B4)^(1/5)-1</f>
        <v/>
      </c>
      <c r="C24" s="7">
        <f>(C23/C4)^(1/5)-1</f>
        <v/>
      </c>
      <c r="D24" s="7">
        <f>(D23/D4)^(1/5)-1</f>
        <v/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J60"/>
  <sheetViews>
    <sheetView workbookViewId="0">
      <pane xSplit="0" ySplit="2" topLeftCell="A3" activePane="bottomRight" state="frozen"/>
    </sheetView>
  </sheetViews>
  <sheetFormatPr baseColWidth="8" defaultRowHeight="15"/>
  <cols>
    <col min="1" max="1" width="26" customWidth="1"/>
    <col min="2" max="2" width="12" customWidth="1"/>
    <col min="3" max="3" width="16" customWidth="1"/>
    <col min="4" max="4" width="14" customWidth="1"/>
    <col min="5" max="5" width="18" customWidth="1"/>
    <col min="6" max="6" width="42" customWidth="1"/>
    <col min="7" max="7" width="42" customWidth="1"/>
    <col min="8" max="8" width="42" customWidth="1"/>
    <col min="9" max="9" width="46" customWidth="1"/>
    <col min="10" max="10" width="18" customWidth="1"/>
  </cols>
  <sheetData>
    <row r="1">
      <c r="A1" s="1" t="inlineStr">
        <is>
          <t>e.l.f. Beauty - Actuals / Source Audit</t>
        </is>
      </c>
    </row>
    <row r="2">
      <c r="A2" s="2" t="inlineStr">
        <is>
          <t>Line item</t>
        </is>
      </c>
      <c r="B2" s="2" t="inlineStr">
        <is>
          <t>Fiscal period</t>
        </is>
      </c>
      <c r="C2" s="2" t="inlineStr">
        <is>
          <t>Model value</t>
        </is>
      </c>
      <c r="D2" s="2" t="inlineStr">
        <is>
          <t>Unit</t>
        </is>
      </c>
      <c r="E2" s="2" t="inlineStr">
        <is>
          <t>Primary source value</t>
        </is>
      </c>
      <c r="F2" s="2" t="inlineStr">
        <is>
          <t>Primary source</t>
        </is>
      </c>
      <c r="G2" s="2" t="inlineStr">
        <is>
          <t>Secondary source 1</t>
        </is>
      </c>
      <c r="H2" s="2" t="inlineStr">
        <is>
          <t>Secondary source 2</t>
        </is>
      </c>
      <c r="I2" s="2" t="inlineStr">
        <is>
          <t>Resolution note</t>
        </is>
      </c>
      <c r="J2" s="2" t="inlineStr">
        <is>
          <t>Model cell</t>
        </is>
      </c>
    </row>
    <row r="3">
      <c r="A3" s="3" t="inlineStr">
        <is>
          <t>Revenue</t>
        </is>
      </c>
      <c r="B3" s="4" t="inlineStr">
        <is>
          <t>FY2022</t>
        </is>
      </c>
      <c r="C3" s="5" t="n">
        <v>392.155</v>
      </c>
      <c r="D3" s="4" t="inlineStr">
        <is>
          <t>USD $m</t>
        </is>
      </c>
      <c r="E3" s="5" t="n">
        <v>392.155</v>
      </c>
      <c r="F3" s="4" t="inlineStr">
        <is>
          <t>SEC XBRL companyfacts / FY2026 Form 10-K filed 2026-05-21</t>
        </is>
      </c>
      <c r="G3" s="4" t="inlineStr">
        <is>
          <t>StockAnalysis financials, accessed 2026-06-13; rounded display cross-check</t>
        </is>
      </c>
      <c r="H3" s="4" t="inlineStr">
        <is>
          <t>Company 10-K / earnings release where available</t>
        </is>
      </c>
      <c r="I3" s="4" t="inlineStr">
        <is>
          <t>SEC/company filing used as source of truth; secondary values rounded or stale in some feeds.</t>
        </is>
      </c>
      <c r="J3" s="4" t="inlineStr">
        <is>
          <t>Valuation!F4</t>
        </is>
      </c>
    </row>
    <row r="4">
      <c r="A4" s="3" t="inlineStr">
        <is>
          <t>Revenue</t>
        </is>
      </c>
      <c r="B4" s="4" t="inlineStr">
        <is>
          <t>FY2023</t>
        </is>
      </c>
      <c r="C4" s="5" t="n">
        <v>578.844</v>
      </c>
      <c r="D4" s="4" t="inlineStr">
        <is>
          <t>USD $m</t>
        </is>
      </c>
      <c r="E4" s="5" t="n">
        <v>578.844</v>
      </c>
      <c r="F4" s="4" t="inlineStr">
        <is>
          <t>SEC XBRL companyfacts / FY2026 Form 10-K filed 2026-05-21</t>
        </is>
      </c>
      <c r="G4" s="4" t="inlineStr">
        <is>
          <t>StockAnalysis financials, accessed 2026-06-13; rounded display cross-check</t>
        </is>
      </c>
      <c r="H4" s="4" t="inlineStr">
        <is>
          <t>Company 10-K / earnings release where available</t>
        </is>
      </c>
      <c r="I4" s="4" t="inlineStr">
        <is>
          <t>SEC/company filing used as source of truth; secondary values rounded or stale in some feeds.</t>
        </is>
      </c>
      <c r="J4" s="4" t="inlineStr">
        <is>
          <t>Valuation!G4</t>
        </is>
      </c>
    </row>
    <row r="5">
      <c r="A5" s="3" t="inlineStr">
        <is>
          <t>Revenue</t>
        </is>
      </c>
      <c r="B5" s="4" t="inlineStr">
        <is>
          <t>FY2024</t>
        </is>
      </c>
      <c r="C5" s="5" t="n">
        <v>1023.932</v>
      </c>
      <c r="D5" s="4" t="inlineStr">
        <is>
          <t>USD $m</t>
        </is>
      </c>
      <c r="E5" s="5" t="n">
        <v>1023.932</v>
      </c>
      <c r="F5" s="4" t="inlineStr">
        <is>
          <t>SEC XBRL companyfacts / FY2026 Form 10-K filed 2026-05-21</t>
        </is>
      </c>
      <c r="G5" s="4" t="inlineStr">
        <is>
          <t>StockAnalysis financials, accessed 2026-06-13; rounded display cross-check</t>
        </is>
      </c>
      <c r="H5" s="4" t="inlineStr">
        <is>
          <t>Company 10-K / earnings release where available</t>
        </is>
      </c>
      <c r="I5" s="4" t="inlineStr">
        <is>
          <t>SEC/company filing used as source of truth; secondary values rounded or stale in some feeds.</t>
        </is>
      </c>
      <c r="J5" s="4" t="inlineStr">
        <is>
          <t>Valuation!H4</t>
        </is>
      </c>
    </row>
    <row r="6">
      <c r="A6" s="3" t="inlineStr">
        <is>
          <t>Revenue</t>
        </is>
      </c>
      <c r="B6" s="4" t="inlineStr">
        <is>
          <t>FY2025</t>
        </is>
      </c>
      <c r="C6" s="5" t="n">
        <v>1313.517</v>
      </c>
      <c r="D6" s="4" t="inlineStr">
        <is>
          <t>USD $m</t>
        </is>
      </c>
      <c r="E6" s="5" t="n">
        <v>1313.517</v>
      </c>
      <c r="F6" s="4" t="inlineStr">
        <is>
          <t>SEC XBRL companyfacts / FY2026 Form 10-K filed 2026-05-21</t>
        </is>
      </c>
      <c r="G6" s="4" t="inlineStr">
        <is>
          <t>StockAnalysis financials, accessed 2026-06-13; rounded display cross-check</t>
        </is>
      </c>
      <c r="H6" s="4" t="inlineStr">
        <is>
          <t>Company 10-K / earnings release where available</t>
        </is>
      </c>
      <c r="I6" s="4" t="inlineStr">
        <is>
          <t>SEC/company filing used as source of truth; secondary values rounded or stale in some feeds.</t>
        </is>
      </c>
      <c r="J6" s="4" t="inlineStr">
        <is>
          <t>Valuation!I4</t>
        </is>
      </c>
    </row>
    <row r="7">
      <c r="A7" s="3" t="inlineStr">
        <is>
          <t>Revenue</t>
        </is>
      </c>
      <c r="B7" s="4" t="inlineStr">
        <is>
          <t>FY2026</t>
        </is>
      </c>
      <c r="C7" s="5" t="n">
        <v>1636.472</v>
      </c>
      <c r="D7" s="4" t="inlineStr">
        <is>
          <t>USD $m</t>
        </is>
      </c>
      <c r="E7" s="5" t="n">
        <v>1636.472</v>
      </c>
      <c r="F7" s="4" t="inlineStr">
        <is>
          <t>SEC XBRL companyfacts / FY2026 Form 10-K filed 2026-05-21</t>
        </is>
      </c>
      <c r="G7" s="4" t="inlineStr">
        <is>
          <t>StockAnalysis financials, accessed 2026-06-13; rounded display cross-check</t>
        </is>
      </c>
      <c r="H7" s="4" t="inlineStr">
        <is>
          <t>Company 10-K / earnings release where available</t>
        </is>
      </c>
      <c r="I7" s="4" t="inlineStr">
        <is>
          <t>SEC/company filing used as source of truth; secondary values rounded or stale in some feeds.</t>
        </is>
      </c>
      <c r="J7" s="4" t="inlineStr">
        <is>
          <t>Valuation!J4</t>
        </is>
      </c>
    </row>
    <row r="8">
      <c r="A8" s="3" t="inlineStr">
        <is>
          <t>Gross Profit</t>
        </is>
      </c>
      <c r="B8" s="4" t="inlineStr">
        <is>
          <t>FY2022</t>
        </is>
      </c>
      <c r="C8" s="5" t="n">
        <v>251.732</v>
      </c>
      <c r="D8" s="4" t="inlineStr">
        <is>
          <t>USD $m</t>
        </is>
      </c>
      <c r="E8" s="5" t="n">
        <v>251.732</v>
      </c>
      <c r="F8" s="4" t="inlineStr">
        <is>
          <t>SEC XBRL companyfacts / FY2026 Form 10-K filed 2026-05-21</t>
        </is>
      </c>
      <c r="G8" s="4" t="inlineStr">
        <is>
          <t>StockAnalysis financials, accessed 2026-06-13; rounded display cross-check</t>
        </is>
      </c>
      <c r="H8" s="4" t="inlineStr">
        <is>
          <t>Company 10-K / earnings release where available</t>
        </is>
      </c>
      <c r="I8" s="4" t="inlineStr">
        <is>
          <t>SEC/company filing used as source of truth; secondary values rounded or stale in some feeds.</t>
        </is>
      </c>
      <c r="J8" s="4" t="inlineStr">
        <is>
          <t>Valuation!F6</t>
        </is>
      </c>
    </row>
    <row r="9">
      <c r="A9" s="3" t="inlineStr">
        <is>
          <t>Gross Profit</t>
        </is>
      </c>
      <c r="B9" s="4" t="inlineStr">
        <is>
          <t>FY2023</t>
        </is>
      </c>
      <c r="C9" s="5" t="n">
        <v>390.396</v>
      </c>
      <c r="D9" s="4" t="inlineStr">
        <is>
          <t>USD $m</t>
        </is>
      </c>
      <c r="E9" s="5" t="n">
        <v>390.396</v>
      </c>
      <c r="F9" s="4" t="inlineStr">
        <is>
          <t>SEC XBRL companyfacts / FY2026 Form 10-K filed 2026-05-21</t>
        </is>
      </c>
      <c r="G9" s="4" t="inlineStr">
        <is>
          <t>StockAnalysis financials, accessed 2026-06-13; rounded display cross-check</t>
        </is>
      </c>
      <c r="H9" s="4" t="inlineStr">
        <is>
          <t>Company 10-K / earnings release where available</t>
        </is>
      </c>
      <c r="I9" s="4" t="inlineStr">
        <is>
          <t>SEC/company filing used as source of truth; secondary values rounded or stale in some feeds.</t>
        </is>
      </c>
      <c r="J9" s="4" t="inlineStr">
        <is>
          <t>Valuation!G6</t>
        </is>
      </c>
    </row>
    <row r="10">
      <c r="A10" s="3" t="inlineStr">
        <is>
          <t>Gross Profit</t>
        </is>
      </c>
      <c r="B10" s="4" t="inlineStr">
        <is>
          <t>FY2024</t>
        </is>
      </c>
      <c r="C10" s="5" t="n">
        <v>724.096</v>
      </c>
      <c r="D10" s="4" t="inlineStr">
        <is>
          <t>USD $m</t>
        </is>
      </c>
      <c r="E10" s="5" t="n">
        <v>724.096</v>
      </c>
      <c r="F10" s="4" t="inlineStr">
        <is>
          <t>SEC XBRL companyfacts / FY2026 Form 10-K filed 2026-05-21</t>
        </is>
      </c>
      <c r="G10" s="4" t="inlineStr">
        <is>
          <t>StockAnalysis financials, accessed 2026-06-13; rounded display cross-check</t>
        </is>
      </c>
      <c r="H10" s="4" t="inlineStr">
        <is>
          <t>Company 10-K / earnings release where available</t>
        </is>
      </c>
      <c r="I10" s="4" t="inlineStr">
        <is>
          <t>SEC/company filing used as source of truth; secondary values rounded or stale in some feeds.</t>
        </is>
      </c>
      <c r="J10" s="4" t="inlineStr">
        <is>
          <t>Valuation!H6</t>
        </is>
      </c>
    </row>
    <row r="11">
      <c r="A11" s="3" t="inlineStr">
        <is>
          <t>Gross Profit</t>
        </is>
      </c>
      <c r="B11" s="4" t="inlineStr">
        <is>
          <t>FY2025</t>
        </is>
      </c>
      <c r="C11" s="5" t="n">
        <v>935.686</v>
      </c>
      <c r="D11" s="4" t="inlineStr">
        <is>
          <t>USD $m</t>
        </is>
      </c>
      <c r="E11" s="5" t="n">
        <v>935.686</v>
      </c>
      <c r="F11" s="4" t="inlineStr">
        <is>
          <t>SEC XBRL companyfacts / FY2026 Form 10-K filed 2026-05-21</t>
        </is>
      </c>
      <c r="G11" s="4" t="inlineStr">
        <is>
          <t>StockAnalysis financials, accessed 2026-06-13; rounded display cross-check</t>
        </is>
      </c>
      <c r="H11" s="4" t="inlineStr">
        <is>
          <t>Company 10-K / earnings release where available</t>
        </is>
      </c>
      <c r="I11" s="4" t="inlineStr">
        <is>
          <t>SEC/company filing used as source of truth; secondary values rounded or stale in some feeds.</t>
        </is>
      </c>
      <c r="J11" s="4" t="inlineStr">
        <is>
          <t>Valuation!I6</t>
        </is>
      </c>
    </row>
    <row r="12">
      <c r="A12" s="3" t="inlineStr">
        <is>
          <t>Gross Profit</t>
        </is>
      </c>
      <c r="B12" s="4" t="inlineStr">
        <is>
          <t>FY2026</t>
        </is>
      </c>
      <c r="C12" s="5" t="n">
        <v>1157.347</v>
      </c>
      <c r="D12" s="4" t="inlineStr">
        <is>
          <t>USD $m</t>
        </is>
      </c>
      <c r="E12" s="5" t="n">
        <v>1157.347</v>
      </c>
      <c r="F12" s="4" t="inlineStr">
        <is>
          <t>SEC XBRL companyfacts / FY2026 Form 10-K filed 2026-05-21</t>
        </is>
      </c>
      <c r="G12" s="4" t="inlineStr">
        <is>
          <t>StockAnalysis financials, accessed 2026-06-13; rounded display cross-check</t>
        </is>
      </c>
      <c r="H12" s="4" t="inlineStr">
        <is>
          <t>Company 10-K / earnings release where available</t>
        </is>
      </c>
      <c r="I12" s="4" t="inlineStr">
        <is>
          <t>SEC/company filing used as source of truth; secondary values rounded or stale in some feeds.</t>
        </is>
      </c>
      <c r="J12" s="4" t="inlineStr">
        <is>
          <t>Valuation!J6</t>
        </is>
      </c>
    </row>
    <row r="13">
      <c r="A13" s="3" t="inlineStr">
        <is>
          <t>Operating Income</t>
        </is>
      </c>
      <c r="B13" s="4" t="inlineStr">
        <is>
          <t>FY2022</t>
        </is>
      </c>
      <c r="C13" s="5" t="n">
        <v>29.77</v>
      </c>
      <c r="D13" s="4" t="inlineStr">
        <is>
          <t>USD $m</t>
        </is>
      </c>
      <c r="E13" s="5" t="n">
        <v>29.77</v>
      </c>
      <c r="F13" s="4" t="inlineStr">
        <is>
          <t>SEC XBRL companyfacts / FY2026 Form 10-K filed 2026-05-21</t>
        </is>
      </c>
      <c r="G13" s="4" t="inlineStr">
        <is>
          <t>StockAnalysis financials, accessed 2026-06-13; rounded display cross-check</t>
        </is>
      </c>
      <c r="H13" s="4" t="inlineStr">
        <is>
          <t>Company 10-K / earnings release where available</t>
        </is>
      </c>
      <c r="I13" s="4" t="inlineStr">
        <is>
          <t>SEC/company filing used as source of truth; secondary values rounded or stale in some feeds.</t>
        </is>
      </c>
      <c r="J13" s="4" t="inlineStr">
        <is>
          <t>Valuation!F8</t>
        </is>
      </c>
    </row>
    <row r="14">
      <c r="A14" s="3" t="inlineStr">
        <is>
          <t>Operating Income</t>
        </is>
      </c>
      <c r="B14" s="4" t="inlineStr">
        <is>
          <t>FY2023</t>
        </is>
      </c>
      <c r="C14" s="5" t="n">
        <v>68.143</v>
      </c>
      <c r="D14" s="4" t="inlineStr">
        <is>
          <t>USD $m</t>
        </is>
      </c>
      <c r="E14" s="5" t="n">
        <v>68.143</v>
      </c>
      <c r="F14" s="4" t="inlineStr">
        <is>
          <t>SEC XBRL companyfacts / FY2026 Form 10-K filed 2026-05-21</t>
        </is>
      </c>
      <c r="G14" s="4" t="inlineStr">
        <is>
          <t>StockAnalysis financials, accessed 2026-06-13; rounded display cross-check</t>
        </is>
      </c>
      <c r="H14" s="4" t="inlineStr">
        <is>
          <t>Company 10-K / earnings release where available</t>
        </is>
      </c>
      <c r="I14" s="4" t="inlineStr">
        <is>
          <t>SEC/company filing used as source of truth; secondary values rounded or stale in some feeds.</t>
        </is>
      </c>
      <c r="J14" s="4" t="inlineStr">
        <is>
          <t>Valuation!G8</t>
        </is>
      </c>
    </row>
    <row r="15">
      <c r="A15" s="3" t="inlineStr">
        <is>
          <t>Operating Income</t>
        </is>
      </c>
      <c r="B15" s="4" t="inlineStr">
        <is>
          <t>FY2024</t>
        </is>
      </c>
      <c r="C15" s="5" t="n">
        <v>149.678</v>
      </c>
      <c r="D15" s="4" t="inlineStr">
        <is>
          <t>USD $m</t>
        </is>
      </c>
      <c r="E15" s="5" t="n">
        <v>149.678</v>
      </c>
      <c r="F15" s="4" t="inlineStr">
        <is>
          <t>SEC XBRL companyfacts / FY2026 Form 10-K filed 2026-05-21</t>
        </is>
      </c>
      <c r="G15" s="4" t="inlineStr">
        <is>
          <t>StockAnalysis financials, accessed 2026-06-13; rounded display cross-check</t>
        </is>
      </c>
      <c r="H15" s="4" t="inlineStr">
        <is>
          <t>Company 10-K / earnings release where available</t>
        </is>
      </c>
      <c r="I15" s="4" t="inlineStr">
        <is>
          <t>SEC/company filing used as source of truth; secondary values rounded or stale in some feeds.</t>
        </is>
      </c>
      <c r="J15" s="4" t="inlineStr">
        <is>
          <t>Valuation!H8</t>
        </is>
      </c>
    </row>
    <row r="16">
      <c r="A16" s="3" t="inlineStr">
        <is>
          <t>Operating Income</t>
        </is>
      </c>
      <c r="B16" s="4" t="inlineStr">
        <is>
          <t>FY2025</t>
        </is>
      </c>
      <c r="C16" s="5" t="n">
        <v>158.027</v>
      </c>
      <c r="D16" s="4" t="inlineStr">
        <is>
          <t>USD $m</t>
        </is>
      </c>
      <c r="E16" s="5" t="n">
        <v>158.027</v>
      </c>
      <c r="F16" s="4" t="inlineStr">
        <is>
          <t>SEC XBRL companyfacts / FY2026 Form 10-K filed 2026-05-21</t>
        </is>
      </c>
      <c r="G16" s="4" t="inlineStr">
        <is>
          <t>StockAnalysis financials, accessed 2026-06-13; rounded display cross-check</t>
        </is>
      </c>
      <c r="H16" s="4" t="inlineStr">
        <is>
          <t>Company 10-K / earnings release where available</t>
        </is>
      </c>
      <c r="I16" s="4" t="inlineStr">
        <is>
          <t>SEC/company filing used as source of truth; secondary values rounded or stale in some feeds.</t>
        </is>
      </c>
      <c r="J16" s="4" t="inlineStr">
        <is>
          <t>Valuation!I8</t>
        </is>
      </c>
    </row>
    <row r="17">
      <c r="A17" s="3" t="inlineStr">
        <is>
          <t>Operating Income</t>
        </is>
      </c>
      <c r="B17" s="4" t="inlineStr">
        <is>
          <t>FY2026</t>
        </is>
      </c>
      <c r="C17" s="5" t="n">
        <v>73.632</v>
      </c>
      <c r="D17" s="4" t="inlineStr">
        <is>
          <t>USD $m</t>
        </is>
      </c>
      <c r="E17" s="5" t="n">
        <v>73.632</v>
      </c>
      <c r="F17" s="4" t="inlineStr">
        <is>
          <t>SEC XBRL companyfacts / FY2026 Form 10-K filed 2026-05-21</t>
        </is>
      </c>
      <c r="G17" s="4" t="inlineStr">
        <is>
          <t>StockAnalysis financials, accessed 2026-06-13; rounded display cross-check</t>
        </is>
      </c>
      <c r="H17" s="4" t="inlineStr">
        <is>
          <t>Company 10-K / earnings release where available</t>
        </is>
      </c>
      <c r="I17" s="4" t="inlineStr">
        <is>
          <t>SEC/company filing used as source of truth; secondary values rounded or stale in some feeds.</t>
        </is>
      </c>
      <c r="J17" s="4" t="inlineStr">
        <is>
          <t>Valuation!J8</t>
        </is>
      </c>
    </row>
    <row r="18">
      <c r="A18" s="3" t="inlineStr">
        <is>
          <t>Net Income</t>
        </is>
      </c>
      <c r="B18" s="4" t="inlineStr">
        <is>
          <t>FY2022</t>
        </is>
      </c>
      <c r="C18" s="5" t="n">
        <v>21.77</v>
      </c>
      <c r="D18" s="4" t="inlineStr">
        <is>
          <t>USD $m</t>
        </is>
      </c>
      <c r="E18" s="5" t="n">
        <v>21.77</v>
      </c>
      <c r="F18" s="4" t="inlineStr">
        <is>
          <t>SEC XBRL companyfacts / FY2026 Form 10-K filed 2026-05-21</t>
        </is>
      </c>
      <c r="G18" s="4" t="inlineStr">
        <is>
          <t>StockAnalysis financials, accessed 2026-06-13; rounded display cross-check</t>
        </is>
      </c>
      <c r="H18" s="4" t="inlineStr">
        <is>
          <t>Company 10-K / earnings release where available</t>
        </is>
      </c>
      <c r="I18" s="4" t="inlineStr">
        <is>
          <t>SEC/company filing used as source of truth; secondary values rounded or stale in some feeds.</t>
        </is>
      </c>
      <c r="J18" s="4" t="inlineStr">
        <is>
          <t>Valuation!F10</t>
        </is>
      </c>
    </row>
    <row r="19">
      <c r="A19" s="3" t="inlineStr">
        <is>
          <t>Net Income</t>
        </is>
      </c>
      <c r="B19" s="4" t="inlineStr">
        <is>
          <t>FY2023</t>
        </is>
      </c>
      <c r="C19" s="5" t="n">
        <v>61.53</v>
      </c>
      <c r="D19" s="4" t="inlineStr">
        <is>
          <t>USD $m</t>
        </is>
      </c>
      <c r="E19" s="5" t="n">
        <v>61.53</v>
      </c>
      <c r="F19" s="4" t="inlineStr">
        <is>
          <t>SEC XBRL companyfacts / FY2026 Form 10-K filed 2026-05-21</t>
        </is>
      </c>
      <c r="G19" s="4" t="inlineStr">
        <is>
          <t>StockAnalysis financials, accessed 2026-06-13; rounded display cross-check</t>
        </is>
      </c>
      <c r="H19" s="4" t="inlineStr">
        <is>
          <t>Company 10-K / earnings release where available</t>
        </is>
      </c>
      <c r="I19" s="4" t="inlineStr">
        <is>
          <t>SEC/company filing used as source of truth; secondary values rounded or stale in some feeds.</t>
        </is>
      </c>
      <c r="J19" s="4" t="inlineStr">
        <is>
          <t>Valuation!G10</t>
        </is>
      </c>
    </row>
    <row r="20">
      <c r="A20" s="3" t="inlineStr">
        <is>
          <t>Net Income</t>
        </is>
      </c>
      <c r="B20" s="4" t="inlineStr">
        <is>
          <t>FY2024</t>
        </is>
      </c>
      <c r="C20" s="5" t="n">
        <v>127.663</v>
      </c>
      <c r="D20" s="4" t="inlineStr">
        <is>
          <t>USD $m</t>
        </is>
      </c>
      <c r="E20" s="5" t="n">
        <v>127.663</v>
      </c>
      <c r="F20" s="4" t="inlineStr">
        <is>
          <t>SEC XBRL companyfacts / FY2026 Form 10-K filed 2026-05-21</t>
        </is>
      </c>
      <c r="G20" s="4" t="inlineStr">
        <is>
          <t>StockAnalysis financials, accessed 2026-06-13; rounded display cross-check</t>
        </is>
      </c>
      <c r="H20" s="4" t="inlineStr">
        <is>
          <t>Company 10-K / earnings release where available</t>
        </is>
      </c>
      <c r="I20" s="4" t="inlineStr">
        <is>
          <t>SEC/company filing used as source of truth; secondary values rounded or stale in some feeds.</t>
        </is>
      </c>
      <c r="J20" s="4" t="inlineStr">
        <is>
          <t>Valuation!H10</t>
        </is>
      </c>
    </row>
    <row r="21">
      <c r="A21" s="3" t="inlineStr">
        <is>
          <t>Net Income</t>
        </is>
      </c>
      <c r="B21" s="4" t="inlineStr">
        <is>
          <t>FY2025</t>
        </is>
      </c>
      <c r="C21" s="5" t="n">
        <v>112.089</v>
      </c>
      <c r="D21" s="4" t="inlineStr">
        <is>
          <t>USD $m</t>
        </is>
      </c>
      <c r="E21" s="5" t="n">
        <v>112.089</v>
      </c>
      <c r="F21" s="4" t="inlineStr">
        <is>
          <t>SEC XBRL companyfacts / FY2026 Form 10-K filed 2026-05-21</t>
        </is>
      </c>
      <c r="G21" s="4" t="inlineStr">
        <is>
          <t>StockAnalysis financials, accessed 2026-06-13; rounded display cross-check</t>
        </is>
      </c>
      <c r="H21" s="4" t="inlineStr">
        <is>
          <t>Company 10-K / earnings release where available</t>
        </is>
      </c>
      <c r="I21" s="4" t="inlineStr">
        <is>
          <t>SEC/company filing used as source of truth; secondary values rounded or stale in some feeds.</t>
        </is>
      </c>
      <c r="J21" s="4" t="inlineStr">
        <is>
          <t>Valuation!I10</t>
        </is>
      </c>
    </row>
    <row r="22">
      <c r="A22" s="3" t="inlineStr">
        <is>
          <t>Net Income</t>
        </is>
      </c>
      <c r="B22" s="4" t="inlineStr">
        <is>
          <t>FY2026</t>
        </is>
      </c>
      <c r="C22" s="5" t="n">
        <v>26.318</v>
      </c>
      <c r="D22" s="4" t="inlineStr">
        <is>
          <t>USD $m</t>
        </is>
      </c>
      <c r="E22" s="5" t="n">
        <v>26.318</v>
      </c>
      <c r="F22" s="4" t="inlineStr">
        <is>
          <t>SEC XBRL companyfacts / FY2026 Form 10-K filed 2026-05-21</t>
        </is>
      </c>
      <c r="G22" s="4" t="inlineStr">
        <is>
          <t>StockAnalysis financials, accessed 2026-06-13; rounded display cross-check</t>
        </is>
      </c>
      <c r="H22" s="4" t="inlineStr">
        <is>
          <t>Company 10-K / earnings release where available</t>
        </is>
      </c>
      <c r="I22" s="4" t="inlineStr">
        <is>
          <t>SEC/company filing used as source of truth; secondary values rounded or stale in some feeds.</t>
        </is>
      </c>
      <c r="J22" s="4" t="inlineStr">
        <is>
          <t>Valuation!J10</t>
        </is>
      </c>
    </row>
    <row r="23">
      <c r="A23" s="3" t="inlineStr">
        <is>
          <t>Operating Cash Flow</t>
        </is>
      </c>
      <c r="B23" s="4" t="inlineStr">
        <is>
          <t>FY2022</t>
        </is>
      </c>
      <c r="C23" s="5" t="n">
        <v>19.513</v>
      </c>
      <c r="D23" s="4" t="inlineStr">
        <is>
          <t>USD $m</t>
        </is>
      </c>
      <c r="E23" s="5" t="n">
        <v>19.513</v>
      </c>
      <c r="F23" s="4" t="inlineStr">
        <is>
          <t>SEC XBRL companyfacts / FY2026 Form 10-K filed 2026-05-21</t>
        </is>
      </c>
      <c r="G23" s="4" t="inlineStr">
        <is>
          <t>StockAnalysis financials, accessed 2026-06-13; rounded display cross-check</t>
        </is>
      </c>
      <c r="H23" s="4" t="inlineStr">
        <is>
          <t>Company 10-K / earnings release where available</t>
        </is>
      </c>
      <c r="I23" s="4" t="inlineStr">
        <is>
          <t>SEC/company filing used as source of truth; secondary values rounded or stale in some feeds.</t>
        </is>
      </c>
      <c r="J23" s="4" t="inlineStr">
        <is>
          <t>Valuation!F14</t>
        </is>
      </c>
    </row>
    <row r="24">
      <c r="A24" s="3" t="inlineStr">
        <is>
          <t>Operating Cash Flow</t>
        </is>
      </c>
      <c r="B24" s="4" t="inlineStr">
        <is>
          <t>FY2023</t>
        </is>
      </c>
      <c r="C24" s="5" t="n">
        <v>101.883</v>
      </c>
      <c r="D24" s="4" t="inlineStr">
        <is>
          <t>USD $m</t>
        </is>
      </c>
      <c r="E24" s="5" t="n">
        <v>101.883</v>
      </c>
      <c r="F24" s="4" t="inlineStr">
        <is>
          <t>SEC XBRL companyfacts / FY2026 Form 10-K filed 2026-05-21</t>
        </is>
      </c>
      <c r="G24" s="4" t="inlineStr">
        <is>
          <t>StockAnalysis financials, accessed 2026-06-13; rounded display cross-check</t>
        </is>
      </c>
      <c r="H24" s="4" t="inlineStr">
        <is>
          <t>Company 10-K / earnings release where available</t>
        </is>
      </c>
      <c r="I24" s="4" t="inlineStr">
        <is>
          <t>SEC/company filing used as source of truth; secondary values rounded or stale in some feeds.</t>
        </is>
      </c>
      <c r="J24" s="4" t="inlineStr">
        <is>
          <t>Valuation!G14</t>
        </is>
      </c>
    </row>
    <row r="25">
      <c r="A25" s="3" t="inlineStr">
        <is>
          <t>Operating Cash Flow</t>
        </is>
      </c>
      <c r="B25" s="4" t="inlineStr">
        <is>
          <t>FY2024</t>
        </is>
      </c>
      <c r="C25" s="5" t="n">
        <v>71.154</v>
      </c>
      <c r="D25" s="4" t="inlineStr">
        <is>
          <t>USD $m</t>
        </is>
      </c>
      <c r="E25" s="5" t="n">
        <v>71.154</v>
      </c>
      <c r="F25" s="4" t="inlineStr">
        <is>
          <t>SEC XBRL companyfacts / FY2026 Form 10-K filed 2026-05-21</t>
        </is>
      </c>
      <c r="G25" s="4" t="inlineStr">
        <is>
          <t>StockAnalysis financials, accessed 2026-06-13; rounded display cross-check</t>
        </is>
      </c>
      <c r="H25" s="4" t="inlineStr">
        <is>
          <t>Company 10-K / earnings release where available</t>
        </is>
      </c>
      <c r="I25" s="4" t="inlineStr">
        <is>
          <t>SEC/company filing used as source of truth; secondary values rounded or stale in some feeds.</t>
        </is>
      </c>
      <c r="J25" s="4" t="inlineStr">
        <is>
          <t>Valuation!H14</t>
        </is>
      </c>
    </row>
    <row r="26">
      <c r="A26" s="3" t="inlineStr">
        <is>
          <t>Operating Cash Flow</t>
        </is>
      </c>
      <c r="B26" s="4" t="inlineStr">
        <is>
          <t>FY2025</t>
        </is>
      </c>
      <c r="C26" s="5" t="n">
        <v>133.84</v>
      </c>
      <c r="D26" s="4" t="inlineStr">
        <is>
          <t>USD $m</t>
        </is>
      </c>
      <c r="E26" s="5" t="n">
        <v>133.84</v>
      </c>
      <c r="F26" s="4" t="inlineStr">
        <is>
          <t>SEC XBRL companyfacts / FY2026 Form 10-K filed 2026-05-21</t>
        </is>
      </c>
      <c r="G26" s="4" t="inlineStr">
        <is>
          <t>StockAnalysis financials, accessed 2026-06-13; rounded display cross-check</t>
        </is>
      </c>
      <c r="H26" s="4" t="inlineStr">
        <is>
          <t>Company 10-K / earnings release where available</t>
        </is>
      </c>
      <c r="I26" s="4" t="inlineStr">
        <is>
          <t>SEC/company filing used as source of truth; secondary values rounded or stale in some feeds.</t>
        </is>
      </c>
      <c r="J26" s="4" t="inlineStr">
        <is>
          <t>Valuation!I14</t>
        </is>
      </c>
    </row>
    <row r="27">
      <c r="A27" s="3" t="inlineStr">
        <is>
          <t>Operating Cash Flow</t>
        </is>
      </c>
      <c r="B27" s="4" t="inlineStr">
        <is>
          <t>FY2026</t>
        </is>
      </c>
      <c r="C27" s="5" t="n">
        <v>212.511</v>
      </c>
      <c r="D27" s="4" t="inlineStr">
        <is>
          <t>USD $m</t>
        </is>
      </c>
      <c r="E27" s="5" t="n">
        <v>212.511</v>
      </c>
      <c r="F27" s="4" t="inlineStr">
        <is>
          <t>SEC XBRL companyfacts / FY2026 Form 10-K filed 2026-05-21</t>
        </is>
      </c>
      <c r="G27" s="4" t="inlineStr">
        <is>
          <t>StockAnalysis financials, accessed 2026-06-13; rounded display cross-check</t>
        </is>
      </c>
      <c r="H27" s="4" t="inlineStr">
        <is>
          <t>Company 10-K / earnings release where available</t>
        </is>
      </c>
      <c r="I27" s="4" t="inlineStr">
        <is>
          <t>SEC/company filing used as source of truth; secondary values rounded or stale in some feeds.</t>
        </is>
      </c>
      <c r="J27" s="4" t="inlineStr">
        <is>
          <t>Valuation!J14</t>
        </is>
      </c>
    </row>
    <row r="28">
      <c r="A28" s="3" t="inlineStr">
        <is>
          <t>Capex</t>
        </is>
      </c>
      <c r="B28" s="4" t="inlineStr">
        <is>
          <t>FY2022</t>
        </is>
      </c>
      <c r="C28" s="5" t="n">
        <v>4.818</v>
      </c>
      <c r="D28" s="4" t="inlineStr">
        <is>
          <t>USD $m</t>
        </is>
      </c>
      <c r="E28" s="5" t="n">
        <v>4.818</v>
      </c>
      <c r="F28" s="4" t="inlineStr">
        <is>
          <t>SEC XBRL companyfacts / FY2026 Form 10-K filed 2026-05-21</t>
        </is>
      </c>
      <c r="G28" s="4" t="inlineStr">
        <is>
          <t>StockAnalysis financials, accessed 2026-06-13; rounded display cross-check</t>
        </is>
      </c>
      <c r="H28" s="4" t="inlineStr">
        <is>
          <t>Company 10-K / earnings release where available</t>
        </is>
      </c>
      <c r="I28" s="4" t="inlineStr">
        <is>
          <t>SEC/company filing used as source of truth; secondary values rounded or stale in some feeds.</t>
        </is>
      </c>
      <c r="J28" s="4" t="inlineStr">
        <is>
          <t>Valuation!F15</t>
        </is>
      </c>
    </row>
    <row r="29">
      <c r="A29" s="3" t="inlineStr">
        <is>
          <t>Capex</t>
        </is>
      </c>
      <c r="B29" s="4" t="inlineStr">
        <is>
          <t>FY2023</t>
        </is>
      </c>
      <c r="C29" s="5" t="n">
        <v>1.723</v>
      </c>
      <c r="D29" s="4" t="inlineStr">
        <is>
          <t>USD $m</t>
        </is>
      </c>
      <c r="E29" s="5" t="n">
        <v>1.723</v>
      </c>
      <c r="F29" s="4" t="inlineStr">
        <is>
          <t>SEC XBRL companyfacts / FY2026 Form 10-K filed 2026-05-21</t>
        </is>
      </c>
      <c r="G29" s="4" t="inlineStr">
        <is>
          <t>StockAnalysis financials, accessed 2026-06-13; rounded display cross-check</t>
        </is>
      </c>
      <c r="H29" s="4" t="inlineStr">
        <is>
          <t>Company 10-K / earnings release where available</t>
        </is>
      </c>
      <c r="I29" s="4" t="inlineStr">
        <is>
          <t>SEC/company filing used as source of truth; secondary values rounded or stale in some feeds.</t>
        </is>
      </c>
      <c r="J29" s="4" t="inlineStr">
        <is>
          <t>Valuation!G15</t>
        </is>
      </c>
    </row>
    <row r="30">
      <c r="A30" s="3" t="inlineStr">
        <is>
          <t>Capex</t>
        </is>
      </c>
      <c r="B30" s="4" t="inlineStr">
        <is>
          <t>FY2024</t>
        </is>
      </c>
      <c r="C30" s="5" t="n">
        <v>8.659</v>
      </c>
      <c r="D30" s="4" t="inlineStr">
        <is>
          <t>USD $m</t>
        </is>
      </c>
      <c r="E30" s="5" t="n">
        <v>8.659</v>
      </c>
      <c r="F30" s="4" t="inlineStr">
        <is>
          <t>SEC XBRL companyfacts / FY2026 Form 10-K filed 2026-05-21</t>
        </is>
      </c>
      <c r="G30" s="4" t="inlineStr">
        <is>
          <t>StockAnalysis financials, accessed 2026-06-13; rounded display cross-check</t>
        </is>
      </c>
      <c r="H30" s="4" t="inlineStr">
        <is>
          <t>Company 10-K / earnings release where available</t>
        </is>
      </c>
      <c r="I30" s="4" t="inlineStr">
        <is>
          <t>SEC/company filing used as source of truth; secondary values rounded or stale in some feeds.</t>
        </is>
      </c>
      <c r="J30" s="4" t="inlineStr">
        <is>
          <t>Valuation!H15</t>
        </is>
      </c>
    </row>
    <row r="31">
      <c r="A31" s="3" t="inlineStr">
        <is>
          <t>Capex</t>
        </is>
      </c>
      <c r="B31" s="4" t="inlineStr">
        <is>
          <t>FY2025</t>
        </is>
      </c>
      <c r="C31" s="5" t="n">
        <v>18.52</v>
      </c>
      <c r="D31" s="4" t="inlineStr">
        <is>
          <t>USD $m</t>
        </is>
      </c>
      <c r="E31" s="5" t="n">
        <v>18.52</v>
      </c>
      <c r="F31" s="4" t="inlineStr">
        <is>
          <t>SEC XBRL companyfacts / FY2026 Form 10-K filed 2026-05-21</t>
        </is>
      </c>
      <c r="G31" s="4" t="inlineStr">
        <is>
          <t>StockAnalysis financials, accessed 2026-06-13; rounded display cross-check</t>
        </is>
      </c>
      <c r="H31" s="4" t="inlineStr">
        <is>
          <t>Company 10-K / earnings release where available</t>
        </is>
      </c>
      <c r="I31" s="4" t="inlineStr">
        <is>
          <t>SEC/company filing used as source of truth; secondary values rounded or stale in some feeds.</t>
        </is>
      </c>
      <c r="J31" s="4" t="inlineStr">
        <is>
          <t>Valuation!I15</t>
        </is>
      </c>
    </row>
    <row r="32">
      <c r="A32" s="3" t="inlineStr">
        <is>
          <t>Capex</t>
        </is>
      </c>
      <c r="B32" s="4" t="inlineStr">
        <is>
          <t>FY2026</t>
        </is>
      </c>
      <c r="C32" s="5" t="n">
        <v>22.449</v>
      </c>
      <c r="D32" s="4" t="inlineStr">
        <is>
          <t>USD $m</t>
        </is>
      </c>
      <c r="E32" s="5" t="n">
        <v>22.449</v>
      </c>
      <c r="F32" s="4" t="inlineStr">
        <is>
          <t>SEC XBRL companyfacts / FY2026 Form 10-K filed 2026-05-21</t>
        </is>
      </c>
      <c r="G32" s="4" t="inlineStr">
        <is>
          <t>StockAnalysis financials, accessed 2026-06-13; rounded display cross-check</t>
        </is>
      </c>
      <c r="H32" s="4" t="inlineStr">
        <is>
          <t>Company 10-K / earnings release where available</t>
        </is>
      </c>
      <c r="I32" s="4" t="inlineStr">
        <is>
          <t>SEC/company filing used as source of truth; secondary values rounded or stale in some feeds.</t>
        </is>
      </c>
      <c r="J32" s="4" t="inlineStr">
        <is>
          <t>Valuation!J15</t>
        </is>
      </c>
    </row>
    <row r="33">
      <c r="A33" s="3" t="inlineStr">
        <is>
          <t>Free Cash Flow</t>
        </is>
      </c>
      <c r="B33" s="4" t="inlineStr">
        <is>
          <t>FY2022</t>
        </is>
      </c>
      <c r="C33" s="5" t="n">
        <v>14.695000000000002</v>
      </c>
      <c r="D33" s="4" t="inlineStr">
        <is>
          <t>USD $m</t>
        </is>
      </c>
      <c r="E33" s="5" t="n">
        <v>14.695000000000002</v>
      </c>
      <c r="F33" s="4" t="inlineStr">
        <is>
          <t>SEC XBRL companyfacts / FY2026 Form 10-K filed 2026-05-21</t>
        </is>
      </c>
      <c r="G33" s="4" t="inlineStr">
        <is>
          <t>StockAnalysis financials, accessed 2026-06-13; rounded display cross-check</t>
        </is>
      </c>
      <c r="H33" s="4" t="inlineStr">
        <is>
          <t>Company 10-K / earnings release where available</t>
        </is>
      </c>
      <c r="I33" s="4" t="inlineStr">
        <is>
          <t>SEC/company filing used as source of truth; secondary values rounded or stale in some feeds.</t>
        </is>
      </c>
      <c r="J33" s="4" t="inlineStr">
        <is>
          <t>Valuation!F16</t>
        </is>
      </c>
    </row>
    <row r="34">
      <c r="A34" s="3" t="inlineStr">
        <is>
          <t>Free Cash Flow</t>
        </is>
      </c>
      <c r="B34" s="4" t="inlineStr">
        <is>
          <t>FY2023</t>
        </is>
      </c>
      <c r="C34" s="5" t="n">
        <v>100.16</v>
      </c>
      <c r="D34" s="4" t="inlineStr">
        <is>
          <t>USD $m</t>
        </is>
      </c>
      <c r="E34" s="5" t="n">
        <v>100.16</v>
      </c>
      <c r="F34" s="4" t="inlineStr">
        <is>
          <t>SEC XBRL companyfacts / FY2026 Form 10-K filed 2026-05-21</t>
        </is>
      </c>
      <c r="G34" s="4" t="inlineStr">
        <is>
          <t>StockAnalysis financials, accessed 2026-06-13; rounded display cross-check</t>
        </is>
      </c>
      <c r="H34" s="4" t="inlineStr">
        <is>
          <t>Company 10-K / earnings release where available</t>
        </is>
      </c>
      <c r="I34" s="4" t="inlineStr">
        <is>
          <t>SEC/company filing used as source of truth; secondary values rounded or stale in some feeds.</t>
        </is>
      </c>
      <c r="J34" s="4" t="inlineStr">
        <is>
          <t>Valuation!G16</t>
        </is>
      </c>
    </row>
    <row r="35">
      <c r="A35" s="3" t="inlineStr">
        <is>
          <t>Free Cash Flow</t>
        </is>
      </c>
      <c r="B35" s="4" t="inlineStr">
        <is>
          <t>FY2024</t>
        </is>
      </c>
      <c r="C35" s="5" t="n">
        <v>62.495</v>
      </c>
      <c r="D35" s="4" t="inlineStr">
        <is>
          <t>USD $m</t>
        </is>
      </c>
      <c r="E35" s="5" t="n">
        <v>62.495</v>
      </c>
      <c r="F35" s="4" t="inlineStr">
        <is>
          <t>SEC XBRL companyfacts / FY2026 Form 10-K filed 2026-05-21</t>
        </is>
      </c>
      <c r="G35" s="4" t="inlineStr">
        <is>
          <t>StockAnalysis financials, accessed 2026-06-13; rounded display cross-check</t>
        </is>
      </c>
      <c r="H35" s="4" t="inlineStr">
        <is>
          <t>Company 10-K / earnings release where available</t>
        </is>
      </c>
      <c r="I35" s="4" t="inlineStr">
        <is>
          <t>SEC/company filing used as source of truth; secondary values rounded or stale in some feeds.</t>
        </is>
      </c>
      <c r="J35" s="4" t="inlineStr">
        <is>
          <t>Valuation!H16</t>
        </is>
      </c>
    </row>
    <row r="36">
      <c r="A36" s="3" t="inlineStr">
        <is>
          <t>Free Cash Flow</t>
        </is>
      </c>
      <c r="B36" s="4" t="inlineStr">
        <is>
          <t>FY2025</t>
        </is>
      </c>
      <c r="C36" s="5" t="n">
        <v>115.32000000000001</v>
      </c>
      <c r="D36" s="4" t="inlineStr">
        <is>
          <t>USD $m</t>
        </is>
      </c>
      <c r="E36" s="5" t="n">
        <v>115.32000000000001</v>
      </c>
      <c r="F36" s="4" t="inlineStr">
        <is>
          <t>SEC XBRL companyfacts / FY2026 Form 10-K filed 2026-05-21</t>
        </is>
      </c>
      <c r="G36" s="4" t="inlineStr">
        <is>
          <t>StockAnalysis financials, accessed 2026-06-13; rounded display cross-check</t>
        </is>
      </c>
      <c r="H36" s="4" t="inlineStr">
        <is>
          <t>Company 10-K / earnings release where available</t>
        </is>
      </c>
      <c r="I36" s="4" t="inlineStr">
        <is>
          <t>SEC/company filing used as source of truth; secondary values rounded or stale in some feeds.</t>
        </is>
      </c>
      <c r="J36" s="4" t="inlineStr">
        <is>
          <t>Valuation!I16</t>
        </is>
      </c>
    </row>
    <row r="37">
      <c r="A37" s="3" t="inlineStr">
        <is>
          <t>Free Cash Flow</t>
        </is>
      </c>
      <c r="B37" s="4" t="inlineStr">
        <is>
          <t>FY2026</t>
        </is>
      </c>
      <c r="C37" s="5" t="n">
        <v>190.06199999999998</v>
      </c>
      <c r="D37" s="4" t="inlineStr">
        <is>
          <t>USD $m</t>
        </is>
      </c>
      <c r="E37" s="5" t="n">
        <v>190.06199999999998</v>
      </c>
      <c r="F37" s="4" t="inlineStr">
        <is>
          <t>SEC XBRL companyfacts / FY2026 Form 10-K filed 2026-05-21</t>
        </is>
      </c>
      <c r="G37" s="4" t="inlineStr">
        <is>
          <t>StockAnalysis financials, accessed 2026-06-13; rounded display cross-check</t>
        </is>
      </c>
      <c r="H37" s="4" t="inlineStr">
        <is>
          <t>Company 10-K / earnings release where available</t>
        </is>
      </c>
      <c r="I37" s="4" t="inlineStr">
        <is>
          <t>SEC/company filing used as source of truth; secondary values rounded or stale in some feeds.</t>
        </is>
      </c>
      <c r="J37" s="4" t="inlineStr">
        <is>
          <t>Valuation!J16</t>
        </is>
      </c>
    </row>
    <row r="38">
      <c r="A38" s="3" t="inlineStr">
        <is>
          <t>Diluted Shares</t>
        </is>
      </c>
      <c r="B38" s="4" t="inlineStr">
        <is>
          <t>FY2022</t>
        </is>
      </c>
      <c r="C38" s="5" t="n">
        <v>53.654303</v>
      </c>
      <c r="D38" s="4" t="inlineStr">
        <is>
          <t>million shares</t>
        </is>
      </c>
      <c r="E38" s="5" t="n">
        <v>53.654303</v>
      </c>
      <c r="F38" s="4" t="inlineStr">
        <is>
          <t>SEC XBRL companyfacts / FY2026 Form 10-K filed 2026-05-21</t>
        </is>
      </c>
      <c r="G38" s="4" t="inlineStr">
        <is>
          <t>StockAnalysis financials, accessed 2026-06-13; rounded display cross-check</t>
        </is>
      </c>
      <c r="H38" s="4" t="inlineStr">
        <is>
          <t>Company 10-K / earnings release where available</t>
        </is>
      </c>
      <c r="I38" s="4" t="inlineStr">
        <is>
          <t>SEC/company filing used as source of truth; secondary values rounded or stale in some feeds.</t>
        </is>
      </c>
      <c r="J38" s="4" t="inlineStr">
        <is>
          <t>Valuation!F12</t>
        </is>
      </c>
    </row>
    <row r="39">
      <c r="A39" s="3" t="inlineStr">
        <is>
          <t>Diluted Shares</t>
        </is>
      </c>
      <c r="B39" s="4" t="inlineStr">
        <is>
          <t>FY2023</t>
        </is>
      </c>
      <c r="C39" s="5" t="n">
        <v>55.337554</v>
      </c>
      <c r="D39" s="4" t="inlineStr">
        <is>
          <t>million shares</t>
        </is>
      </c>
      <c r="E39" s="5" t="n">
        <v>55.337554</v>
      </c>
      <c r="F39" s="4" t="inlineStr">
        <is>
          <t>SEC XBRL companyfacts / FY2026 Form 10-K filed 2026-05-21</t>
        </is>
      </c>
      <c r="G39" s="4" t="inlineStr">
        <is>
          <t>StockAnalysis financials, accessed 2026-06-13; rounded display cross-check</t>
        </is>
      </c>
      <c r="H39" s="4" t="inlineStr">
        <is>
          <t>Company 10-K / earnings release where available</t>
        </is>
      </c>
      <c r="I39" s="4" t="inlineStr">
        <is>
          <t>SEC/company filing used as source of truth; secondary values rounded or stale in some feeds.</t>
        </is>
      </c>
      <c r="J39" s="4" t="inlineStr">
        <is>
          <t>Valuation!G12</t>
        </is>
      </c>
    </row>
    <row r="40">
      <c r="A40" s="3" t="inlineStr">
        <is>
          <t>Diluted Shares</t>
        </is>
      </c>
      <c r="B40" s="4" t="inlineStr">
        <is>
          <t>FY2024</t>
        </is>
      </c>
      <c r="C40" s="5" t="n">
        <v>57.788454</v>
      </c>
      <c r="D40" s="4" t="inlineStr">
        <is>
          <t>million shares</t>
        </is>
      </c>
      <c r="E40" s="5" t="n">
        <v>57.788454</v>
      </c>
      <c r="F40" s="4" t="inlineStr">
        <is>
          <t>SEC XBRL companyfacts / FY2026 Form 10-K filed 2026-05-21</t>
        </is>
      </c>
      <c r="G40" s="4" t="inlineStr">
        <is>
          <t>StockAnalysis financials, accessed 2026-06-13; rounded display cross-check</t>
        </is>
      </c>
      <c r="H40" s="4" t="inlineStr">
        <is>
          <t>Company 10-K / earnings release where available</t>
        </is>
      </c>
      <c r="I40" s="4" t="inlineStr">
        <is>
          <t>SEC/company filing used as source of truth; secondary values rounded or stale in some feeds.</t>
        </is>
      </c>
      <c r="J40" s="4" t="inlineStr">
        <is>
          <t>Valuation!H12</t>
        </is>
      </c>
    </row>
    <row r="41">
      <c r="A41" s="3" t="inlineStr">
        <is>
          <t>Diluted Shares</t>
        </is>
      </c>
      <c r="B41" s="4" t="inlineStr">
        <is>
          <t>FY2025</t>
        </is>
      </c>
      <c r="C41" s="5" t="n">
        <v>58.345174</v>
      </c>
      <c r="D41" s="4" t="inlineStr">
        <is>
          <t>million shares</t>
        </is>
      </c>
      <c r="E41" s="5" t="n">
        <v>58.345174</v>
      </c>
      <c r="F41" s="4" t="inlineStr">
        <is>
          <t>SEC XBRL companyfacts / FY2026 Form 10-K filed 2026-05-21</t>
        </is>
      </c>
      <c r="G41" s="4" t="inlineStr">
        <is>
          <t>StockAnalysis financials, accessed 2026-06-13; rounded display cross-check</t>
        </is>
      </c>
      <c r="H41" s="4" t="inlineStr">
        <is>
          <t>Company 10-K / earnings release where available</t>
        </is>
      </c>
      <c r="I41" s="4" t="inlineStr">
        <is>
          <t>SEC/company filing used as source of truth; secondary values rounded or stale in some feeds.</t>
        </is>
      </c>
      <c r="J41" s="4" t="inlineStr">
        <is>
          <t>Valuation!I12</t>
        </is>
      </c>
    </row>
    <row r="42">
      <c r="A42" s="3" t="inlineStr">
        <is>
          <t>Diluted Shares</t>
        </is>
      </c>
      <c r="B42" s="4" t="inlineStr">
        <is>
          <t>FY2026</t>
        </is>
      </c>
      <c r="C42" s="5" t="n">
        <v>59.351449</v>
      </c>
      <c r="D42" s="4" t="inlineStr">
        <is>
          <t>million shares</t>
        </is>
      </c>
      <c r="E42" s="5" t="n">
        <v>59.351449</v>
      </c>
      <c r="F42" s="4" t="inlineStr">
        <is>
          <t>SEC XBRL companyfacts / FY2026 Form 10-K filed 2026-05-21</t>
        </is>
      </c>
      <c r="G42" s="4" t="inlineStr">
        <is>
          <t>StockAnalysis financials, accessed 2026-06-13; rounded display cross-check</t>
        </is>
      </c>
      <c r="H42" s="4" t="inlineStr">
        <is>
          <t>Company 10-K / earnings release where available</t>
        </is>
      </c>
      <c r="I42" s="4" t="inlineStr">
        <is>
          <t>SEC/company filing used as source of truth; secondary values rounded or stale in some feeds.</t>
        </is>
      </c>
      <c r="J42" s="4" t="inlineStr">
        <is>
          <t>Valuation!J12</t>
        </is>
      </c>
    </row>
    <row r="43">
      <c r="A43" s="3" t="inlineStr">
        <is>
          <t>EPS</t>
        </is>
      </c>
      <c r="B43" s="4" t="inlineStr">
        <is>
          <t>FY2022</t>
        </is>
      </c>
      <c r="C43" s="6" t="n">
        <v>0.41</v>
      </c>
      <c r="D43" s="4" t="inlineStr">
        <is>
          <t>USD/share</t>
        </is>
      </c>
      <c r="E43" s="6" t="n">
        <v>0.41</v>
      </c>
      <c r="F43" s="4" t="inlineStr">
        <is>
          <t>SEC XBRL companyfacts / FY2026 Form 10-K filed 2026-05-21</t>
        </is>
      </c>
      <c r="G43" s="4" t="inlineStr">
        <is>
          <t>StockAnalysis financials, accessed 2026-06-13; rounded display cross-check</t>
        </is>
      </c>
      <c r="H43" s="4" t="inlineStr">
        <is>
          <t>Company 10-K / earnings release where available</t>
        </is>
      </c>
      <c r="I43" s="4" t="inlineStr">
        <is>
          <t>SEC/company filing used as source of truth; secondary values rounded or stale in some feeds.</t>
        </is>
      </c>
      <c r="J43" s="4" t="inlineStr">
        <is>
          <t>Valuation!F13</t>
        </is>
      </c>
    </row>
    <row r="44">
      <c r="A44" s="3" t="inlineStr">
        <is>
          <t>EPS</t>
        </is>
      </c>
      <c r="B44" s="4" t="inlineStr">
        <is>
          <t>FY2023</t>
        </is>
      </c>
      <c r="C44" s="6" t="n">
        <v>1.11</v>
      </c>
      <c r="D44" s="4" t="inlineStr">
        <is>
          <t>USD/share</t>
        </is>
      </c>
      <c r="E44" s="6" t="n">
        <v>1.11</v>
      </c>
      <c r="F44" s="4" t="inlineStr">
        <is>
          <t>SEC XBRL companyfacts / FY2026 Form 10-K filed 2026-05-21</t>
        </is>
      </c>
      <c r="G44" s="4" t="inlineStr">
        <is>
          <t>StockAnalysis financials, accessed 2026-06-13; rounded display cross-check</t>
        </is>
      </c>
      <c r="H44" s="4" t="inlineStr">
        <is>
          <t>Company 10-K / earnings release where available</t>
        </is>
      </c>
      <c r="I44" s="4" t="inlineStr">
        <is>
          <t>SEC/company filing used as source of truth; secondary values rounded or stale in some feeds.</t>
        </is>
      </c>
      <c r="J44" s="4" t="inlineStr">
        <is>
          <t>Valuation!G13</t>
        </is>
      </c>
    </row>
    <row r="45">
      <c r="A45" s="3" t="inlineStr">
        <is>
          <t>EPS</t>
        </is>
      </c>
      <c r="B45" s="4" t="inlineStr">
        <is>
          <t>FY2024</t>
        </is>
      </c>
      <c r="C45" s="6" t="n">
        <v>2.21</v>
      </c>
      <c r="D45" s="4" t="inlineStr">
        <is>
          <t>USD/share</t>
        </is>
      </c>
      <c r="E45" s="6" t="n">
        <v>2.21</v>
      </c>
      <c r="F45" s="4" t="inlineStr">
        <is>
          <t>SEC XBRL companyfacts / FY2026 Form 10-K filed 2026-05-21</t>
        </is>
      </c>
      <c r="G45" s="4" t="inlineStr">
        <is>
          <t>StockAnalysis financials, accessed 2026-06-13; rounded display cross-check</t>
        </is>
      </c>
      <c r="H45" s="4" t="inlineStr">
        <is>
          <t>Company 10-K / earnings release where available</t>
        </is>
      </c>
      <c r="I45" s="4" t="inlineStr">
        <is>
          <t>SEC/company filing used as source of truth; secondary values rounded or stale in some feeds.</t>
        </is>
      </c>
      <c r="J45" s="4" t="inlineStr">
        <is>
          <t>Valuation!H13</t>
        </is>
      </c>
    </row>
    <row r="46">
      <c r="A46" s="3" t="inlineStr">
        <is>
          <t>EPS</t>
        </is>
      </c>
      <c r="B46" s="4" t="inlineStr">
        <is>
          <t>FY2025</t>
        </is>
      </c>
      <c r="C46" s="6" t="n">
        <v>1.92</v>
      </c>
      <c r="D46" s="4" t="inlineStr">
        <is>
          <t>USD/share</t>
        </is>
      </c>
      <c r="E46" s="6" t="n">
        <v>1.92</v>
      </c>
      <c r="F46" s="4" t="inlineStr">
        <is>
          <t>SEC XBRL companyfacts / FY2026 Form 10-K filed 2026-05-21</t>
        </is>
      </c>
      <c r="G46" s="4" t="inlineStr">
        <is>
          <t>StockAnalysis financials, accessed 2026-06-13; rounded display cross-check</t>
        </is>
      </c>
      <c r="H46" s="4" t="inlineStr">
        <is>
          <t>Company 10-K / earnings release where available</t>
        </is>
      </c>
      <c r="I46" s="4" t="inlineStr">
        <is>
          <t>SEC/company filing used as source of truth; secondary values rounded or stale in some feeds.</t>
        </is>
      </c>
      <c r="J46" s="4" t="inlineStr">
        <is>
          <t>Valuation!I13</t>
        </is>
      </c>
    </row>
    <row r="47">
      <c r="A47" s="3" t="inlineStr">
        <is>
          <t>EPS</t>
        </is>
      </c>
      <c r="B47" s="4" t="inlineStr">
        <is>
          <t>FY2026</t>
        </is>
      </c>
      <c r="C47" s="6" t="n">
        <v>0.44</v>
      </c>
      <c r="D47" s="4" t="inlineStr">
        <is>
          <t>USD/share</t>
        </is>
      </c>
      <c r="E47" s="6" t="n">
        <v>0.44</v>
      </c>
      <c r="F47" s="4" t="inlineStr">
        <is>
          <t>SEC XBRL companyfacts / FY2026 Form 10-K filed 2026-05-21</t>
        </is>
      </c>
      <c r="G47" s="4" t="inlineStr">
        <is>
          <t>StockAnalysis financials, accessed 2026-06-13; rounded display cross-check</t>
        </is>
      </c>
      <c r="H47" s="4" t="inlineStr">
        <is>
          <t>Company 10-K / earnings release where available</t>
        </is>
      </c>
      <c r="I47" s="4" t="inlineStr">
        <is>
          <t>SEC/company filing used as source of truth; secondary values rounded or stale in some feeds.</t>
        </is>
      </c>
      <c r="J47" s="4" t="inlineStr">
        <is>
          <t>Valuation!J13</t>
        </is>
      </c>
    </row>
    <row r="48">
      <c r="A48" s="3" t="inlineStr">
        <is>
          <t>SBC</t>
        </is>
      </c>
      <c r="B48" s="4" t="inlineStr">
        <is>
          <t>FY2022</t>
        </is>
      </c>
      <c r="C48" s="5" t="n">
        <v>19.646</v>
      </c>
      <c r="D48" s="4" t="inlineStr">
        <is>
          <t>USD $m</t>
        </is>
      </c>
      <c r="E48" s="5" t="n">
        <v>19.646</v>
      </c>
      <c r="F48" s="4" t="inlineStr">
        <is>
          <t>SEC XBRL companyfacts / FY2026 Form 10-K filed 2026-05-21</t>
        </is>
      </c>
      <c r="G48" s="4" t="inlineStr">
        <is>
          <t>StockAnalysis financials, accessed 2026-06-13; rounded display cross-check</t>
        </is>
      </c>
      <c r="H48" s="4" t="inlineStr">
        <is>
          <t>Company 10-K / earnings release where available</t>
        </is>
      </c>
      <c r="I48" s="4" t="inlineStr">
        <is>
          <t>SEC/company filing used as source of truth; secondary values rounded or stale in some feeds.</t>
        </is>
      </c>
      <c r="J48" s="4" t="inlineStr">
        <is>
          <t>Valuation!F18</t>
        </is>
      </c>
    </row>
    <row r="49">
      <c r="A49" s="3" t="inlineStr">
        <is>
          <t>SBC</t>
        </is>
      </c>
      <c r="B49" s="4" t="inlineStr">
        <is>
          <t>FY2023</t>
        </is>
      </c>
      <c r="C49" s="5" t="n">
        <v>29.117</v>
      </c>
      <c r="D49" s="4" t="inlineStr">
        <is>
          <t>USD $m</t>
        </is>
      </c>
      <c r="E49" s="5" t="n">
        <v>29.117</v>
      </c>
      <c r="F49" s="4" t="inlineStr">
        <is>
          <t>SEC XBRL companyfacts / FY2026 Form 10-K filed 2026-05-21</t>
        </is>
      </c>
      <c r="G49" s="4" t="inlineStr">
        <is>
          <t>StockAnalysis financials, accessed 2026-06-13; rounded display cross-check</t>
        </is>
      </c>
      <c r="H49" s="4" t="inlineStr">
        <is>
          <t>Company 10-K / earnings release where available</t>
        </is>
      </c>
      <c r="I49" s="4" t="inlineStr">
        <is>
          <t>SEC/company filing used as source of truth; secondary values rounded or stale in some feeds.</t>
        </is>
      </c>
      <c r="J49" s="4" t="inlineStr">
        <is>
          <t>Valuation!G18</t>
        </is>
      </c>
    </row>
    <row r="50">
      <c r="A50" s="3" t="inlineStr">
        <is>
          <t>SBC</t>
        </is>
      </c>
      <c r="B50" s="4" t="inlineStr">
        <is>
          <t>FY2024</t>
        </is>
      </c>
      <c r="C50" s="5" t="n">
        <v>40.625</v>
      </c>
      <c r="D50" s="4" t="inlineStr">
        <is>
          <t>USD $m</t>
        </is>
      </c>
      <c r="E50" s="5" t="n">
        <v>40.625</v>
      </c>
      <c r="F50" s="4" t="inlineStr">
        <is>
          <t>SEC XBRL companyfacts / FY2026 Form 10-K filed 2026-05-21</t>
        </is>
      </c>
      <c r="G50" s="4" t="inlineStr">
        <is>
          <t>StockAnalysis financials, accessed 2026-06-13; rounded display cross-check</t>
        </is>
      </c>
      <c r="H50" s="4" t="inlineStr">
        <is>
          <t>Company 10-K / earnings release where available</t>
        </is>
      </c>
      <c r="I50" s="4" t="inlineStr">
        <is>
          <t>SEC/company filing used as source of truth; secondary values rounded or stale in some feeds.</t>
        </is>
      </c>
      <c r="J50" s="4" t="inlineStr">
        <is>
          <t>Valuation!H18</t>
        </is>
      </c>
    </row>
    <row r="51">
      <c r="A51" s="3" t="inlineStr">
        <is>
          <t>SBC</t>
        </is>
      </c>
      <c r="B51" s="4" t="inlineStr">
        <is>
          <t>FY2025</t>
        </is>
      </c>
      <c r="C51" s="5" t="n">
        <v>71.786</v>
      </c>
      <c r="D51" s="4" t="inlineStr">
        <is>
          <t>USD $m</t>
        </is>
      </c>
      <c r="E51" s="5" t="n">
        <v>71.786</v>
      </c>
      <c r="F51" s="4" t="inlineStr">
        <is>
          <t>SEC XBRL companyfacts / FY2026 Form 10-K filed 2026-05-21</t>
        </is>
      </c>
      <c r="G51" s="4" t="inlineStr">
        <is>
          <t>StockAnalysis financials, accessed 2026-06-13; rounded display cross-check</t>
        </is>
      </c>
      <c r="H51" s="4" t="inlineStr">
        <is>
          <t>Company 10-K / earnings release where available</t>
        </is>
      </c>
      <c r="I51" s="4" t="inlineStr">
        <is>
          <t>SEC/company filing used as source of truth; secondary values rounded or stale in some feeds.</t>
        </is>
      </c>
      <c r="J51" s="4" t="inlineStr">
        <is>
          <t>Valuation!I18</t>
        </is>
      </c>
    </row>
    <row r="52">
      <c r="A52" s="3" t="inlineStr">
        <is>
          <t>SBC</t>
        </is>
      </c>
      <c r="B52" s="4" t="inlineStr">
        <is>
          <t>FY2026</t>
        </is>
      </c>
      <c r="C52" s="5" t="n">
        <v>86.919</v>
      </c>
      <c r="D52" s="4" t="inlineStr">
        <is>
          <t>USD $m</t>
        </is>
      </c>
      <c r="E52" s="5" t="n">
        <v>86.919</v>
      </c>
      <c r="F52" s="4" t="inlineStr">
        <is>
          <t>SEC XBRL companyfacts / FY2026 Form 10-K filed 2026-05-21</t>
        </is>
      </c>
      <c r="G52" s="4" t="inlineStr">
        <is>
          <t>StockAnalysis financials, accessed 2026-06-13; rounded display cross-check</t>
        </is>
      </c>
      <c r="H52" s="4" t="inlineStr">
        <is>
          <t>Company 10-K / earnings release where available</t>
        </is>
      </c>
      <c r="I52" s="4" t="inlineStr">
        <is>
          <t>SEC/company filing used as source of truth; secondary values rounded or stale in some feeds.</t>
        </is>
      </c>
      <c r="J52" s="4" t="inlineStr">
        <is>
          <t>Valuation!J18</t>
        </is>
      </c>
    </row>
    <row r="53">
      <c r="A53" s="3" t="inlineStr">
        <is>
          <t>Cash</t>
        </is>
      </c>
      <c r="B53" s="4" t="inlineStr">
        <is>
          <t>FY2026</t>
        </is>
      </c>
      <c r="C53" s="5" t="n">
        <v>289.685</v>
      </c>
      <c r="D53" s="4" t="inlineStr">
        <is>
          <t>USD $m</t>
        </is>
      </c>
      <c r="E53" s="5" t="n">
        <v>289.685</v>
      </c>
      <c r="F53" s="4" t="inlineStr">
        <is>
          <t>SEC FY2026 Form 10-K / XBRL companyfacts where applicable</t>
        </is>
      </c>
      <c r="G53" s="4" t="inlineStr">
        <is>
          <t>StockAnalysis statistics or balance sheet, accessed 2026-06-13</t>
        </is>
      </c>
      <c r="H53" s="4" t="inlineStr">
        <is>
          <t>Yahoo / MarketScreener / MarketBeat for market data cross-checks</t>
        </is>
      </c>
      <c r="I53" s="4" t="inlineStr">
        <is>
          <t>Model rebuilds EV from selected share count and SEC debt; provider EV differs by debt treatment.</t>
        </is>
      </c>
      <c r="J53" s="4" t="inlineStr">
        <is>
          <t>Valuation!C8</t>
        </is>
      </c>
    </row>
    <row r="54">
      <c r="A54" s="3" t="inlineStr">
        <is>
          <t>Debt + finance leases</t>
        </is>
      </c>
      <c r="B54" s="4" t="inlineStr">
        <is>
          <t>FY2026</t>
        </is>
      </c>
      <c r="C54" s="5" t="n">
        <v>839.348</v>
      </c>
      <c r="D54" s="4" t="inlineStr">
        <is>
          <t>USD $m</t>
        </is>
      </c>
      <c r="E54" s="5" t="n">
        <v>839.348</v>
      </c>
      <c r="F54" s="4" t="inlineStr">
        <is>
          <t>SEC FY2026 Form 10-K / XBRL companyfacts where applicable</t>
        </is>
      </c>
      <c r="G54" s="4" t="inlineStr">
        <is>
          <t>StockAnalysis statistics or balance sheet, accessed 2026-06-13</t>
        </is>
      </c>
      <c r="H54" s="4" t="inlineStr">
        <is>
          <t>Yahoo / MarketScreener / MarketBeat for market data cross-checks</t>
        </is>
      </c>
      <c r="I54" s="4" t="inlineStr">
        <is>
          <t>Model rebuilds EV from selected share count and SEC debt; provider EV differs by debt treatment.</t>
        </is>
      </c>
      <c r="J54" s="4" t="inlineStr">
        <is>
          <t>Valuation!C9</t>
        </is>
      </c>
    </row>
    <row r="55">
      <c r="A55" s="3" t="inlineStr">
        <is>
          <t>Net debt</t>
        </is>
      </c>
      <c r="B55" s="4" t="inlineStr">
        <is>
          <t>FY2026</t>
        </is>
      </c>
      <c r="C55" s="5" t="n">
        <v>549.663</v>
      </c>
      <c r="D55" s="4" t="inlineStr">
        <is>
          <t>USD $m</t>
        </is>
      </c>
      <c r="E55" s="5" t="n">
        <v>549.663</v>
      </c>
      <c r="F55" s="4" t="inlineStr">
        <is>
          <t>SEC FY2026 Form 10-K / XBRL companyfacts where applicable</t>
        </is>
      </c>
      <c r="G55" s="4" t="inlineStr">
        <is>
          <t>StockAnalysis statistics or balance sheet, accessed 2026-06-13</t>
        </is>
      </c>
      <c r="H55" s="4" t="inlineStr">
        <is>
          <t>Yahoo / MarketScreener / MarketBeat for market data cross-checks</t>
        </is>
      </c>
      <c r="I55" s="4" t="inlineStr">
        <is>
          <t>Model rebuilds EV from selected share count and SEC debt; provider EV differs by debt treatment.</t>
        </is>
      </c>
      <c r="J55" s="4" t="inlineStr">
        <is>
          <t>Valuation!C10</t>
        </is>
      </c>
    </row>
    <row r="56">
      <c r="A56" s="3" t="inlineStr">
        <is>
          <t>Accounts receivable</t>
        </is>
      </c>
      <c r="B56" s="4" t="inlineStr">
        <is>
          <t>FY2026</t>
        </is>
      </c>
      <c r="C56" s="5" t="n">
        <v>174.644</v>
      </c>
      <c r="D56" s="4" t="inlineStr">
        <is>
          <t>USD $m</t>
        </is>
      </c>
      <c r="E56" s="5" t="n">
        <v>174.644</v>
      </c>
      <c r="F56" s="4" t="inlineStr">
        <is>
          <t>SEC FY2026 Form 10-K / XBRL companyfacts where applicable</t>
        </is>
      </c>
      <c r="G56" s="4" t="inlineStr">
        <is>
          <t>StockAnalysis statistics or balance sheet, accessed 2026-06-13</t>
        </is>
      </c>
      <c r="H56" s="4" t="inlineStr">
        <is>
          <t>Yahoo / MarketScreener / MarketBeat for market data cross-checks</t>
        </is>
      </c>
      <c r="I56" s="4" t="inlineStr">
        <is>
          <t>Model rebuilds EV from selected share count and SEC debt; provider EV differs by debt treatment.</t>
        </is>
      </c>
      <c r="J56" s="4" t="inlineStr">
        <is>
          <t>Source audit only</t>
        </is>
      </c>
    </row>
    <row r="57">
      <c r="A57" s="3" t="inlineStr">
        <is>
          <t>Inventory</t>
        </is>
      </c>
      <c r="B57" s="4" t="inlineStr">
        <is>
          <t>FY2026</t>
        </is>
      </c>
      <c r="C57" s="5" t="n">
        <v>220.246</v>
      </c>
      <c r="D57" s="4" t="inlineStr">
        <is>
          <t>USD $m</t>
        </is>
      </c>
      <c r="E57" s="5" t="n">
        <v>220.246</v>
      </c>
      <c r="F57" s="4" t="inlineStr">
        <is>
          <t>SEC FY2026 Form 10-K / XBRL companyfacts where applicable</t>
        </is>
      </c>
      <c r="G57" s="4" t="inlineStr">
        <is>
          <t>StockAnalysis statistics or balance sheet, accessed 2026-06-13</t>
        </is>
      </c>
      <c r="H57" s="4" t="inlineStr">
        <is>
          <t>Yahoo / MarketScreener / MarketBeat for market data cross-checks</t>
        </is>
      </c>
      <c r="I57" s="4" t="inlineStr">
        <is>
          <t>Model rebuilds EV from selected share count and SEC debt; provider EV differs by debt treatment.</t>
        </is>
      </c>
      <c r="J57" s="4" t="inlineStr">
        <is>
          <t>Source audit only</t>
        </is>
      </c>
    </row>
    <row r="58">
      <c r="A58" s="3" t="inlineStr">
        <is>
          <t>Goodwill</t>
        </is>
      </c>
      <c r="B58" s="4" t="inlineStr">
        <is>
          <t>FY2026</t>
        </is>
      </c>
      <c r="C58" s="5" t="n">
        <v>853.475</v>
      </c>
      <c r="D58" s="4" t="inlineStr">
        <is>
          <t>USD $m</t>
        </is>
      </c>
      <c r="E58" s="5" t="n">
        <v>853.475</v>
      </c>
      <c r="F58" s="4" t="inlineStr">
        <is>
          <t>SEC FY2026 Form 10-K / XBRL companyfacts where applicable</t>
        </is>
      </c>
      <c r="G58" s="4" t="inlineStr">
        <is>
          <t>StockAnalysis statistics or balance sheet, accessed 2026-06-13</t>
        </is>
      </c>
      <c r="H58" s="4" t="inlineStr">
        <is>
          <t>Yahoo / MarketScreener / MarketBeat for market data cross-checks</t>
        </is>
      </c>
      <c r="I58" s="4" t="inlineStr">
        <is>
          <t>Model rebuilds EV from selected share count and SEC debt; provider EV differs by debt treatment.</t>
        </is>
      </c>
      <c r="J58" s="4" t="inlineStr">
        <is>
          <t>Source audit only</t>
        </is>
      </c>
    </row>
    <row r="59">
      <c r="A59" s="3" t="inlineStr">
        <is>
          <t>Finite-lived intangibles</t>
        </is>
      </c>
      <c r="B59" s="4" t="inlineStr">
        <is>
          <t>FY2026</t>
        </is>
      </c>
      <c r="C59" s="5" t="n">
        <v>489.31</v>
      </c>
      <c r="D59" s="4" t="inlineStr">
        <is>
          <t>USD $m</t>
        </is>
      </c>
      <c r="E59" s="5" t="n">
        <v>489.31</v>
      </c>
      <c r="F59" s="4" t="inlineStr">
        <is>
          <t>SEC FY2026 Form 10-K / XBRL companyfacts where applicable</t>
        </is>
      </c>
      <c r="G59" s="4" t="inlineStr">
        <is>
          <t>StockAnalysis statistics or balance sheet, accessed 2026-06-13</t>
        </is>
      </c>
      <c r="H59" s="4" t="inlineStr">
        <is>
          <t>Yahoo / MarketScreener / MarketBeat for market data cross-checks</t>
        </is>
      </c>
      <c r="I59" s="4" t="inlineStr">
        <is>
          <t>Model rebuilds EV from selected share count and SEC debt; provider EV differs by debt treatment.</t>
        </is>
      </c>
      <c r="J59" s="4" t="inlineStr">
        <is>
          <t>Source audit only</t>
        </is>
      </c>
    </row>
    <row r="60">
      <c r="A60" s="3" t="inlineStr">
        <is>
          <t>Shares outstanding</t>
        </is>
      </c>
      <c r="B60" s="4" t="inlineStr">
        <is>
          <t>2026-05-14</t>
        </is>
      </c>
      <c r="C60" s="5" t="n">
        <v>59.440526</v>
      </c>
      <c r="D60" s="4" t="inlineStr">
        <is>
          <t>million shares</t>
        </is>
      </c>
      <c r="E60" s="5" t="n">
        <v>59.440526</v>
      </c>
      <c r="F60" s="4" t="inlineStr">
        <is>
          <t>SEC FY2026 Form 10-K / XBRL companyfacts where applicable</t>
        </is>
      </c>
      <c r="G60" s="4" t="inlineStr">
        <is>
          <t>StockAnalysis statistics or balance sheet, accessed 2026-06-13</t>
        </is>
      </c>
      <c r="H60" s="4" t="inlineStr">
        <is>
          <t>Yahoo / MarketScreener / MarketBeat for market data cross-checks</t>
        </is>
      </c>
      <c r="I60" s="4" t="inlineStr">
        <is>
          <t>Model rebuilds EV from selected share count and SEC debt; provider EV differs by debt treatment.</t>
        </is>
      </c>
      <c r="J60" s="4" t="inlineStr">
        <is>
          <t>Valuation!C6</t>
        </is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C14"/>
  <sheetViews>
    <sheetView workbookViewId="0"/>
  </sheetViews>
  <sheetFormatPr baseColWidth="8" defaultRowHeight="15"/>
  <cols>
    <col min="1" max="1" width="6" customWidth="1"/>
    <col min="2" max="2" width="92" customWidth="1"/>
    <col min="3" max="3" width="28" customWidth="1"/>
  </cols>
  <sheetData>
    <row r="1">
      <c r="A1" s="1" t="inlineStr">
        <is>
          <t>e.l.f. Beauty - Underwriting Questions</t>
        </is>
      </c>
    </row>
    <row r="3">
      <c r="A3" s="5" t="n">
        <v>1</v>
      </c>
      <c r="B3" s="4" t="inlineStr">
        <is>
          <t>Does e.l.f. Cosmetics unit growth reaccelerate after selective price cuts, or are price cuts needed to hold volume?</t>
        </is>
      </c>
      <c r="C3" s="4" t="inlineStr">
        <is>
          <t>Unit velocity</t>
        </is>
      </c>
    </row>
    <row r="4">
      <c r="A4" s="5" t="n">
        <v>2</v>
      </c>
      <c r="B4" s="4" t="inlineStr">
        <is>
          <t>Can rhode sustain Sephora productivity and DTC repeat purchase after the initial launch/creator cycle?</t>
        </is>
      </c>
      <c r="C4" s="4" t="inlineStr">
        <is>
          <t>Acquisition quality</t>
        </is>
      </c>
    </row>
    <row r="5">
      <c r="A5" s="5" t="n">
        <v>3</v>
      </c>
      <c r="B5" s="4" t="inlineStr">
        <is>
          <t>How much of FY2027 revenue growth is core e.l.f. versus rhode/Naturium/international contribution?</t>
        </is>
      </c>
      <c r="C5" s="4" t="inlineStr">
        <is>
          <t>Revenue quality</t>
        </is>
      </c>
    </row>
    <row r="6">
      <c r="A6" s="5" t="n">
        <v>4</v>
      </c>
      <c r="B6" s="4" t="inlineStr">
        <is>
          <t>Does reported FCF track adjusted EBITDA after acquisition costs, earnout accounting, and integration spend normalize?</t>
        </is>
      </c>
      <c r="C6" s="4" t="inlineStr">
        <is>
          <t>Cash conversion</t>
        </is>
      </c>
    </row>
    <row r="7">
      <c r="A7" s="5" t="n">
        <v>5</v>
      </c>
      <c r="B7" s="4" t="inlineStr">
        <is>
          <t>Do tariffs or supplier changes erode the 70% gross-margin profile despite value pricing?</t>
        </is>
      </c>
      <c r="C7" s="4" t="inlineStr">
        <is>
          <t>Gross margin</t>
        </is>
      </c>
    </row>
    <row r="8">
      <c r="A8" s="5" t="n">
        <v>6</v>
      </c>
      <c r="B8" s="4" t="inlineStr">
        <is>
          <t>Does customer concentration decline from Target, Walmart, Amazon, and Sephora as the brand portfolio globalizes?</t>
        </is>
      </c>
      <c r="C8" s="4" t="inlineStr">
        <is>
          <t>Channel risk</t>
        </is>
      </c>
    </row>
    <row r="9">
      <c r="A9" s="5" t="n">
        <v>7</v>
      </c>
      <c r="B9" s="4" t="inlineStr">
        <is>
          <t>Does SBC remain above consumer-brand norms, and does diluted share count compound faster than revenue per share?</t>
        </is>
      </c>
      <c r="C9" s="4" t="inlineStr">
        <is>
          <t>Owner earnings</t>
        </is>
      </c>
    </row>
    <row r="10">
      <c r="A10" s="5" t="n">
        <v>8</v>
      </c>
      <c r="B10" s="4" t="inlineStr">
        <is>
          <t>Are inventory and receivables growing in line with sales, or are retailer allowances and channel inventory becoming riskier?</t>
        </is>
      </c>
      <c r="C10" s="4" t="inlineStr">
        <is>
          <t>Working capital</t>
        </is>
      </c>
    </row>
    <row r="11">
      <c r="A11" s="5" t="n">
        <v>9</v>
      </c>
      <c r="B11" s="4" t="inlineStr">
        <is>
          <t>Can international growth remain above category growth as the brand exits the early distribution ramp?</t>
        </is>
      </c>
      <c r="C11" s="4" t="inlineStr">
        <is>
          <t>International</t>
        </is>
      </c>
    </row>
    <row r="12">
      <c r="A12" s="5" t="n">
        <v>10</v>
      </c>
      <c r="B12" s="4" t="inlineStr">
        <is>
          <t>Does management reduce net debt, or does M&amp;A/earnout spending keep equity risk elevated?</t>
        </is>
      </c>
      <c r="C12" s="4" t="inlineStr">
        <is>
          <t>Capital allocation</t>
        </is>
      </c>
    </row>
    <row r="13">
      <c r="A13" s="5" t="n">
        <v>11</v>
      </c>
      <c r="B13" s="4" t="inlineStr">
        <is>
          <t>Do securities-litigation allegations resolve without material disclosure, inventory, or revenue-recognition findings?</t>
        </is>
      </c>
      <c r="C13" s="4" t="inlineStr">
        <is>
          <t>Legal / forensic</t>
        </is>
      </c>
    </row>
    <row r="14">
      <c r="A14" s="5" t="n">
        <v>12</v>
      </c>
      <c r="B14" s="4" t="inlineStr">
        <is>
          <t>What normalized multiple should a multi-brand beauty platform get if organic growth falls to high single digits?</t>
        </is>
      </c>
      <c r="C14" s="4" t="inlineStr">
        <is>
          <t>Terminal value</t>
        </is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E17"/>
  <sheetViews>
    <sheetView workbookViewId="0"/>
  </sheetViews>
  <sheetFormatPr baseColWidth="8" defaultRowHeight="15"/>
  <cols>
    <col min="1" max="1" width="34" customWidth="1"/>
    <col min="2" max="2" width="96" customWidth="1"/>
    <col min="3" max="3" width="16" customWidth="1"/>
    <col min="4" max="4" width="36" customWidth="1"/>
    <col min="5" max="5" width="52" customWidth="1"/>
  </cols>
  <sheetData>
    <row r="1">
      <c r="A1" s="1" t="inlineStr">
        <is>
          <t>e.l.f. Beauty - Sources</t>
        </is>
      </c>
    </row>
    <row r="2">
      <c r="A2" s="2" t="inlineStr">
        <is>
          <t>Source</t>
        </is>
      </c>
      <c r="B2" s="2" t="inlineStr">
        <is>
          <t>URL</t>
        </is>
      </c>
      <c r="C2" s="2" t="inlineStr">
        <is>
          <t>Accessed</t>
        </is>
      </c>
      <c r="D2" s="2" t="inlineStr">
        <is>
          <t>Used for</t>
        </is>
      </c>
      <c r="E2" s="2" t="inlineStr">
        <is>
          <t>Notes</t>
        </is>
      </c>
    </row>
    <row r="3">
      <c r="A3" s="4" t="inlineStr">
        <is>
          <t>SEC FY2026 Form 10-K</t>
        </is>
      </c>
      <c r="B3" s="4" t="inlineStr">
        <is>
          <t>https://www.sec.gov/Archives/edgar/data/1600033/000160003326000020/elf-20260331.htm</t>
        </is>
      </c>
      <c r="C3" s="4" t="inlineStr">
        <is>
          <t>2026-06-13</t>
        </is>
      </c>
      <c r="D3" s="4" t="inlineStr">
        <is>
          <t>Historical actuals, balance sheet, risks</t>
        </is>
      </c>
      <c r="E3" s="4" t="inlineStr">
        <is>
          <t>Primary source of truth.</t>
        </is>
      </c>
    </row>
    <row r="4">
      <c r="A4" s="4" t="inlineStr">
        <is>
          <t>SEC companyfacts XBRL</t>
        </is>
      </c>
      <c r="B4" s="4" t="inlineStr">
        <is>
          <t>https://data.sec.gov/api/xbrl/companyfacts/CIK0001600033.json</t>
        </is>
      </c>
      <c r="C4" s="4" t="inlineStr">
        <is>
          <t>2026-06-13</t>
        </is>
      </c>
      <c r="D4" s="4" t="inlineStr">
        <is>
          <t>Machine-readable actuals</t>
        </is>
      </c>
      <c r="E4" s="4" t="inlineStr">
        <is>
          <t>Downloaded locally for model build.</t>
        </is>
      </c>
    </row>
    <row r="5">
      <c r="A5" s="4" t="inlineStr">
        <is>
          <t>SEC submissions</t>
        </is>
      </c>
      <c r="B5" s="4" t="inlineStr">
        <is>
          <t>https://data.sec.gov/submissions/CIK0001600033.json</t>
        </is>
      </c>
      <c r="C5" s="4" t="inlineStr">
        <is>
          <t>2026-06-13</t>
        </is>
      </c>
      <c r="D5" s="4" t="inlineStr">
        <is>
          <t>Filing history and CIK</t>
        </is>
      </c>
      <c r="E5" s="4" t="inlineStr">
        <is>
          <t>Downloaded locally for filing check.</t>
        </is>
      </c>
    </row>
    <row r="6">
      <c r="A6" s="4" t="inlineStr">
        <is>
          <t>Company Q4 FY2026 release</t>
        </is>
      </c>
      <c r="B6" s="4" t="inlineStr">
        <is>
          <t>https://investor.elfbeauty.com/stock-and-financial/press-releases/landing-news/2026/05-20-2026-210538723</t>
        </is>
      </c>
      <c r="C6" s="4" t="inlineStr">
        <is>
          <t>2026-06-13</t>
        </is>
      </c>
      <c r="D6" s="4" t="inlineStr">
        <is>
          <t>FY2026 results and FY2027 guide</t>
        </is>
      </c>
      <c r="E6" s="4" t="inlineStr">
        <is>
          <t>Used for non-GAAP guide and management framing.</t>
        </is>
      </c>
    </row>
    <row r="7">
      <c r="A7" s="4" t="inlineStr">
        <is>
          <t>Company Q4 FY2026 Form 8-K</t>
        </is>
      </c>
      <c r="B7" s="4" t="inlineStr">
        <is>
          <t>https://www.sec.gov/Archives/edgar/data/1600033/000160003326000018/elf-20260520.htm</t>
        </is>
      </c>
      <c r="C7" s="4" t="inlineStr">
        <is>
          <t>2026-06-13</t>
        </is>
      </c>
      <c r="D7" s="4" t="inlineStr">
        <is>
          <t>Earnings exhibit</t>
        </is>
      </c>
      <c r="E7" s="4" t="inlineStr">
        <is>
          <t>Cross-check against release.</t>
        </is>
      </c>
    </row>
    <row r="8">
      <c r="A8" s="4" t="inlineStr">
        <is>
          <t>rhode acquisition announcement</t>
        </is>
      </c>
      <c r="B8" s="4" t="inlineStr">
        <is>
          <t>https://investor.elfbeauty.com/stock-and-financial/press-releases/landing-news/2025/05-28-2025-210536607</t>
        </is>
      </c>
      <c r="C8" s="4" t="inlineStr">
        <is>
          <t>2026-06-13</t>
        </is>
      </c>
      <c r="D8" s="4" t="inlineStr">
        <is>
          <t>Acquisition terms</t>
        </is>
      </c>
      <c r="E8" s="4" t="inlineStr">
        <is>
          <t>Supports debt/M&amp;A risk framing.</t>
        </is>
      </c>
    </row>
    <row r="9">
      <c r="A9" s="4" t="inlineStr">
        <is>
          <t>Yahoo Finance quote</t>
        </is>
      </c>
      <c r="B9" s="4" t="inlineStr">
        <is>
          <t>https://finance.yahoo.com/quote/ELF/</t>
        </is>
      </c>
      <c r="C9" s="4" t="inlineStr">
        <is>
          <t>2026-06-13</t>
        </is>
      </c>
      <c r="D9" s="4" t="inlineStr">
        <is>
          <t>Price, market cap, beta cross-check</t>
        </is>
      </c>
      <c r="E9" s="4" t="inlineStr">
        <is>
          <t>June 12 close used because June 13 is Saturday.</t>
        </is>
      </c>
    </row>
    <row r="10">
      <c r="A10" s="4" t="inlineStr">
        <is>
          <t>StockAnalysis overview</t>
        </is>
      </c>
      <c r="B10" s="4" t="inlineStr">
        <is>
          <t>https://stockanalysis.com/stocks/elf/</t>
        </is>
      </c>
      <c r="C10" s="4" t="inlineStr">
        <is>
          <t>2026-06-13</t>
        </is>
      </c>
      <c r="D10" s="4" t="inlineStr">
        <is>
          <t>Quote, shares, market cap, beta, forecast</t>
        </is>
      </c>
      <c r="E10" s="4" t="inlineStr">
        <is>
          <t>Secondary market-data source.</t>
        </is>
      </c>
    </row>
    <row r="11">
      <c r="A11" s="4" t="inlineStr">
        <is>
          <t>StockAnalysis financials</t>
        </is>
      </c>
      <c r="B11" s="4" t="inlineStr">
        <is>
          <t>https://stockanalysis.com/stocks/elf/financials/</t>
        </is>
      </c>
      <c r="C11" s="4" t="inlineStr">
        <is>
          <t>2026-06-13</t>
        </is>
      </c>
      <c r="D11" s="4" t="inlineStr">
        <is>
          <t>Financial statement cross-check</t>
        </is>
      </c>
      <c r="E11" s="4" t="inlineStr">
        <is>
          <t>Rounded values checked against SEC.</t>
        </is>
      </c>
    </row>
    <row r="12">
      <c r="A12" s="4" t="inlineStr">
        <is>
          <t>StockAnalysis cash flow</t>
        </is>
      </c>
      <c r="B12" s="4" t="inlineStr">
        <is>
          <t>https://stockanalysis.com/stocks/elf/financials/cash-flow-statement/</t>
        </is>
      </c>
      <c r="C12" s="4" t="inlineStr">
        <is>
          <t>2026-06-13</t>
        </is>
      </c>
      <c r="D12" s="4" t="inlineStr">
        <is>
          <t>OCF, capex, FCF cross-check</t>
        </is>
      </c>
      <c r="E12" s="4" t="inlineStr">
        <is>
          <t>Rounded values checked against SEC.</t>
        </is>
      </c>
    </row>
    <row r="13">
      <c r="A13" s="4" t="inlineStr">
        <is>
          <t>StockAnalysis statistics</t>
        </is>
      </c>
      <c r="B13" s="4" t="inlineStr">
        <is>
          <t>https://stockanalysis.com/stocks/elf/statistics/</t>
        </is>
      </c>
      <c r="C13" s="4" t="inlineStr">
        <is>
          <t>2026-06-13</t>
        </is>
      </c>
      <c r="D13" s="4" t="inlineStr">
        <is>
          <t>EV, shares, beta, valuation ratios</t>
        </is>
      </c>
      <c r="E13" s="4" t="inlineStr">
        <is>
          <t>Provider EV differs from model EV due debt treatment.</t>
        </is>
      </c>
    </row>
    <row r="14">
      <c r="A14" s="4" t="inlineStr">
        <is>
          <t>StockAnalysis forecast</t>
        </is>
      </c>
      <c r="B14" s="4" t="inlineStr">
        <is>
          <t>https://stockanalysis.com/stocks/elf/forecast/</t>
        </is>
      </c>
      <c r="C14" s="4" t="inlineStr">
        <is>
          <t>2026-06-13</t>
        </is>
      </c>
      <c r="D14" s="4" t="inlineStr">
        <is>
          <t>Analyst target and sentiment</t>
        </is>
      </c>
      <c r="E14" s="4" t="inlineStr">
        <is>
          <t>Used as secondary expectations context.</t>
        </is>
      </c>
    </row>
    <row r="15">
      <c r="A15" s="4" t="inlineStr">
        <is>
          <t>MarketBeat forecast</t>
        </is>
      </c>
      <c r="B15" s="4" t="inlineStr">
        <is>
          <t>https://www.marketbeat.com/stocks/NYSE/ELF/forecast/</t>
        </is>
      </c>
      <c r="C15" s="4" t="inlineStr">
        <is>
          <t>2026-06-13</t>
        </is>
      </c>
      <c r="D15" s="4" t="inlineStr">
        <is>
          <t>Analyst target range</t>
        </is>
      </c>
      <c r="E15" s="4" t="inlineStr">
        <is>
          <t>Quote differs slightly at $61.40 display.</t>
        </is>
      </c>
    </row>
    <row r="16">
      <c r="A16" s="4" t="inlineStr">
        <is>
          <t>FRED DGS10</t>
        </is>
      </c>
      <c r="B16" s="4" t="inlineStr">
        <is>
          <t>https://fred.stlouisfed.org/series/DGS10</t>
        </is>
      </c>
      <c r="C16" s="4" t="inlineStr">
        <is>
          <t>2026-06-13</t>
        </is>
      </c>
      <c r="D16" s="4" t="inlineStr">
        <is>
          <t>Risk-free rate</t>
        </is>
      </c>
      <c r="E16" s="4" t="inlineStr">
        <is>
          <t>Latest daily observation was 4.45% for 2026-06-11.</t>
        </is>
      </c>
    </row>
    <row r="17">
      <c r="A17" s="4" t="inlineStr">
        <is>
          <t>Local equity research note</t>
        </is>
      </c>
      <c r="B17" s="4" t="inlineStr">
        <is>
          <t>research/ELF.md</t>
        </is>
      </c>
      <c r="C17" s="4" t="inlineStr">
        <is>
          <t>2026-06-13</t>
        </is>
      </c>
      <c r="D17" s="4" t="inlineStr">
        <is>
          <t>Business assumptions, risks, scenarios</t>
        </is>
      </c>
      <c r="E17" s="4" t="inlineStr">
        <is>
          <t>Repo-local source-backed note built before workbook.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OOXML Builder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Valuation</vt:lpstr>
      <vt:lpstr>WACC</vt:lpstr>
      <vt:lpstr>Scenarios</vt:lpstr>
      <vt:lpstr>Actuals Source Audit</vt:lpstr>
      <vt:lpstr>Questions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e.l.f. Beauty DCF Model</dc:title>
  <dc:creator>Codex</dc:creator>
  <cp:lastModifiedBy>Codex</cp:lastModifiedBy>
  <dcterms:created xsi:type="dcterms:W3CDTF">2026-06-13T00:00:00Z</dcterms:created>
  <dcterms:modified xsi:type="dcterms:W3CDTF">2026-06-13T00:00:00Z</dcterms:modified>
</cp:coreProperties>
</file>