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luation" sheetId="1" r:id="rId1"/>
    <sheet name="WACC" sheetId="2" r:id="rId2"/>
    <sheet name="Scenarios" sheetId="3" r:id="rId3"/>
    <sheet name="Actuals Source Audit" sheetId="4" r:id="rId4"/>
    <sheet name="Questions" sheetId="5" r:id="rId5"/>
    <sheet name="Sources" sheetId="6" r:id="rId6"/>
  </sheets>
  <calcPr calcId="191029" calcMode="auto" fullCalcOnLoad="1" forceFullCalc="1"/>
</workbook>
</file>

<file path=xl/sharedStrings.xml><?xml version="1.0" encoding="utf-8"?>
<sst xmlns="http://schemas.openxmlformats.org/spreadsheetml/2006/main" count="421" uniqueCount="421">
  <si>
    <t>NIKE, Inc. (NKE) DCF Valuation Model</t>
  </si>
  <si>
    <t>USD in millions except per-share data; fiscal year ends May 31.</t>
  </si>
  <si>
    <t>Ticker</t>
  </si>
  <si>
    <t>NKE</t>
  </si>
  <si>
    <t>Company</t>
  </si>
  <si>
    <t>NIKE, Inc.</t>
  </si>
  <si>
    <t>Model date</t>
  </si>
  <si>
    <t>2026-06-01</t>
  </si>
  <si>
    <t>Current quote snapshot</t>
  </si>
  <si>
    <t>Yahoo Finance intraday, June 1, 2026, 11:16:24 AM EDT</t>
  </si>
  <si>
    <t>Primary filing anchor</t>
  </si>
  <si>
    <t>FY2025 10-K and Q3 FY2026 10-Q / earnings release</t>
  </si>
  <si>
    <t>Latest reported quarter</t>
  </si>
  <si>
    <t>Q3 FY2026, quarter ended Feb. 28, 2026</t>
  </si>
  <si>
    <t>Metric</t>
  </si>
  <si>
    <t>FY2021</t>
  </si>
  <si>
    <t>FY2022</t>
  </si>
  <si>
    <t>FY2023</t>
  </si>
  <si>
    <t>FY2024</t>
  </si>
  <si>
    <t>FY2025</t>
  </si>
  <si>
    <t>TTM</t>
  </si>
  <si>
    <t>2026E</t>
  </si>
  <si>
    <t>2027E</t>
  </si>
  <si>
    <t>2028E</t>
  </si>
  <si>
    <t>2029E</t>
  </si>
  <si>
    <t>2030E</t>
  </si>
  <si>
    <t>Source / formula</t>
  </si>
  <si>
    <t>Revenue</t>
  </si>
  <si>
    <t>SEC/company filings; TTM formula bridges FY2025 and 9M FY2026.</t>
  </si>
  <si>
    <t>Revenue growth</t>
  </si>
  <si>
    <t>Gross profit</t>
  </si>
  <si>
    <t>SEC/company filings; forecast margin ramps from tariff/reset trough.</t>
  </si>
  <si>
    <t>Gross margin</t>
  </si>
  <si>
    <t>SG&amp;A</t>
  </si>
  <si>
    <t>Gross profit less EBIT; forecast implied by gross margin and EBIT margin.</t>
  </si>
  <si>
    <t>EBIT / operating income</t>
  </si>
  <si>
    <t>Historical EBIT derived as gross profit less SG&amp;A; no non-GAAP addbacks.</t>
  </si>
  <si>
    <t>EBIT margin</t>
  </si>
  <si>
    <t>Cash tax rate assumption</t>
  </si>
  <si>
    <t>Forecast assumption, selected near normalized statutory/geographic mix.</t>
  </si>
  <si>
    <t>NOPAT</t>
  </si>
  <si>
    <t>D&amp;A</t>
  </si>
  <si>
    <t>D&amp;A from FY2025 and 9M FY2026 filings; forecast as % of revenue.</t>
  </si>
  <si>
    <t>D&amp;A / revenue</t>
  </si>
  <si>
    <t>Operating cash flow</t>
  </si>
  <si>
    <t>Capital expenditures</t>
  </si>
  <si>
    <t>SEC cash-flow statement; forecast as % of revenue.</t>
  </si>
  <si>
    <t>Capex / revenue</t>
  </si>
  <si>
    <t>Working-capital reinvestment</t>
  </si>
  <si>
    <t>Forecast reinvestment based on incremental revenue, not reported FCF.</t>
  </si>
  <si>
    <t>WC / incremental revenue</t>
  </si>
  <si>
    <t>FCF / owner earnings</t>
  </si>
  <si>
    <t>Historical reported FCF equals OCF less capex; forecast unlevered owner earnings.</t>
  </si>
  <si>
    <t>FCF margin</t>
  </si>
  <si>
    <t>Stock-based compensation</t>
  </si>
  <si>
    <t>Diluted shares (M)</t>
  </si>
  <si>
    <t>SEC diluted average shares; market snapshot uses current class A+B count.</t>
  </si>
  <si>
    <t>Diluted EPS</t>
  </si>
  <si>
    <t>Cash and equivalents</t>
  </si>
  <si>
    <t>Latest balance-sheet cash at 2026-02-28.</t>
  </si>
  <si>
    <t>Short-term investments</t>
  </si>
  <si>
    <t>Latest current AFS / short-term investments at 2026-02-28.</t>
  </si>
  <si>
    <t>Debt excluding operating leases</t>
  </si>
  <si>
    <t>Current debt plus long-term debt, excluding leases.</t>
  </si>
  <si>
    <t>Operating lease liabilities</t>
  </si>
  <si>
    <t>Operating lease liabilities disclosed separately.</t>
  </si>
  <si>
    <t>Net debt / (cash), excluding leases</t>
  </si>
  <si>
    <t>Lease-adjusted net debt / (cash)</t>
  </si>
  <si>
    <t>Dividends paid</t>
  </si>
  <si>
    <t>Share repurchases</t>
  </si>
  <si>
    <t>Inventories</t>
  </si>
  <si>
    <t>Latest balance-sheet inventory at 2026-02-28.</t>
  </si>
  <si>
    <t>Inventory / revenue</t>
  </si>
  <si>
    <t>TTM bridge and latest-quarter anchors</t>
  </si>
  <si>
    <t>9M FY2026</t>
  </si>
  <si>
    <t>9M FY2025</t>
  </si>
  <si>
    <t>TTM formula</t>
  </si>
  <si>
    <t>Source note</t>
  </si>
  <si>
    <t>FY2025 10-K plus Q3 FY2026 10-Q / earnings-release bridge.</t>
  </si>
  <si>
    <t>EBIT</t>
  </si>
  <si>
    <t>Free cash flow</t>
  </si>
  <si>
    <t>SBC</t>
  </si>
  <si>
    <t>Diluted shares</t>
  </si>
  <si>
    <t>Net income</t>
  </si>
  <si>
    <t>Market / enterprise value snapshot</t>
  </si>
  <si>
    <t>Share price</t>
  </si>
  <si>
    <t>Static market snapshot and latest 10-Q balance sheet; leases shown separately.</t>
  </si>
  <si>
    <t>Current shares outstanding (M)</t>
  </si>
  <si>
    <t>Market capitalization</t>
  </si>
  <si>
    <t>Debt excluding leases</t>
  </si>
  <si>
    <t>Enterprise value, excluding leases</t>
  </si>
  <si>
    <t>Lease-adjusted enterprise value</t>
  </si>
  <si>
    <t>TTM revenue</t>
  </si>
  <si>
    <t>TTM EBITDA estimate</t>
  </si>
  <si>
    <t>TTM reported FCF</t>
  </si>
  <si>
    <t>EV / TTM revenue</t>
  </si>
  <si>
    <t>EV / TTM EBITDA</t>
  </si>
  <si>
    <t>TTM FCF yield on market cap</t>
  </si>
  <si>
    <t>Annual dividend per share run-rate</t>
  </si>
  <si>
    <t>Dividend yield</t>
  </si>
  <si>
    <t>Base-case DCF output</t>
  </si>
  <si>
    <t>Selected discount rate / required return</t>
  </si>
  <si>
    <t>Terminal growth</t>
  </si>
  <si>
    <t>PV of explicit FCF</t>
  </si>
  <si>
    <t>Terminal value</t>
  </si>
  <si>
    <t>PV of terminal value</t>
  </si>
  <si>
    <t>Implied enterprise value</t>
  </si>
  <si>
    <t>Less net debt / (add net cash)</t>
  </si>
  <si>
    <t>Implied equity value</t>
  </si>
  <si>
    <t>Implied value per share</t>
  </si>
  <si>
    <t>Current price</t>
  </si>
  <si>
    <t>Upside / downside</t>
  </si>
  <si>
    <t>5-year price CAGR</t>
  </si>
  <si>
    <t>Current enterprise value</t>
  </si>
  <si>
    <t>DCF EV premium / discount to current EV</t>
  </si>
  <si>
    <t>Unlevered FCF</t>
  </si>
  <si>
    <t>Discount factor</t>
  </si>
  <si>
    <t>PV FCF</t>
  </si>
  <si>
    <t>Terminal FCF</t>
  </si>
  <si>
    <t>PV terminal value</t>
  </si>
  <si>
    <t>Reverse DCF diagnostics</t>
  </si>
  <si>
    <t>Constraint</t>
  </si>
  <si>
    <t>Revenue CAGR</t>
  </si>
  <si>
    <t>Y5 EBIT margin</t>
  </si>
  <si>
    <t>Y5 revenue</t>
  </si>
  <si>
    <t>Y5 FCF</t>
  </si>
  <si>
    <t>Implied EV target</t>
  </si>
  <si>
    <t>Interpretation</t>
  </si>
  <si>
    <t>Base revenue CAGR, solve margin</t>
  </si>
  <si>
    <t>Market price needs margin recovery above base case.</t>
  </si>
  <si>
    <t>Base margin target, solve growth</t>
  </si>
  <si>
    <t>Market price needs mid-single-digit growth if margins only reach base target.</t>
  </si>
  <si>
    <t>13.0% Y5 margin, solve growth</t>
  </si>
  <si>
    <t>A stronger margin case can clear today's EV with low-single-digit growth.</t>
  </si>
  <si>
    <t>Bull margin target, solve growth</t>
  </si>
  <si>
    <t>A true margin snapback materially lowers required revenue growth.</t>
  </si>
  <si>
    <t>WACC / Required Return</t>
  </si>
  <si>
    <t>The DCF uses scenario-specific required returns. Mechanical WACC is shown as a cross-check.</t>
  </si>
  <si>
    <t>Input</t>
  </si>
  <si>
    <t>Value</t>
  </si>
  <si>
    <t>Formula / Source</t>
  </si>
  <si>
    <t>Notes</t>
  </si>
  <si>
    <t>Risk-free rate</t>
  </si>
  <si>
    <t>FRED DGS10; latest complete observation 2026-05-28</t>
  </si>
  <si>
    <t>10Y Treasury used as U.S. discount-rate anchor.</t>
  </si>
  <si>
    <t>Equity risk premium</t>
  </si>
  <si>
    <t>Model assumption</t>
  </si>
  <si>
    <t>Mature U.S./global consumer discretionary company.</t>
  </si>
  <si>
    <t>Levered beta</t>
  </si>
  <si>
    <t>Yahoo Finance 5Y monthly beta</t>
  </si>
  <si>
    <t>Vendor beta used as a public cross-check.</t>
  </si>
  <si>
    <t>Cost of equity</t>
  </si>
  <si>
    <t>=B5+B6*B7</t>
  </si>
  <si>
    <t>CAPM output.</t>
  </si>
  <si>
    <t>Pre-tax cost of debt</t>
  </si>
  <si>
    <t>Model assumption / public debt cost proxy</t>
  </si>
  <si>
    <t>Rounded cost for investment-grade debt stack.</t>
  </si>
  <si>
    <t>Tax rate</t>
  </si>
  <si>
    <t>Forecast assumption</t>
  </si>
  <si>
    <t>Near base-case normalized cash tax rate.</t>
  </si>
  <si>
    <t>After-tax cost of debt</t>
  </si>
  <si>
    <t>=B9*(1-B10)</t>
  </si>
  <si>
    <t>Tax-adjusted debt cost.</t>
  </si>
  <si>
    <t>Market value of equity</t>
  </si>
  <si>
    <t>='Valuation'!$B$60</t>
  </si>
  <si>
    <t>Static quote snapshot times total shares.</t>
  </si>
  <si>
    <t>Debt value</t>
  </si>
  <si>
    <t>='Valuation'!$B$63</t>
  </si>
  <si>
    <t>Current + long-term debt, excluding operating leases.</t>
  </si>
  <si>
    <t>Equity weight</t>
  </si>
  <si>
    <t>=B12/(B12+B13)</t>
  </si>
  <si>
    <t>Market-value capital structure.</t>
  </si>
  <si>
    <t>Debt weight</t>
  </si>
  <si>
    <t>=B13/(B12+B13)</t>
  </si>
  <si>
    <t>Debt as share of debt plus equity.</t>
  </si>
  <si>
    <t>Mechanical WACC</t>
  </si>
  <si>
    <t>=B8*B14+B11*B15</t>
  </si>
  <si>
    <t>Cross-check; below selected return because NIKE is mostly equity-financed.</t>
  </si>
  <si>
    <t>Selected base discount rate</t>
  </si>
  <si>
    <t>Model judgment</t>
  </si>
  <si>
    <t>Used on Valuation and Base scenario.</t>
  </si>
  <si>
    <t>Bear required return</t>
  </si>
  <si>
    <t>Higher uncertainty / weaker recovery case.</t>
  </si>
  <si>
    <t>Bull required return</t>
  </si>
  <si>
    <t>Lower uncertainty if brand momentum and margin recovery are visible.</t>
  </si>
  <si>
    <t>Debt and lease treatment</t>
  </si>
  <si>
    <t>Item</t>
  </si>
  <si>
    <t>Use in model</t>
  </si>
  <si>
    <t>Rationale</t>
  </si>
  <si>
    <t>Included in EV bridge</t>
  </si>
  <si>
    <t>Debt from latest 10-Q balance sheet.</t>
  </si>
  <si>
    <t>Cash and short-term investments</t>
  </si>
  <si>
    <t>Netted against debt</t>
  </si>
  <si>
    <t>Liquid balance-sheet offsets.</t>
  </si>
  <si>
    <t>Operating leases</t>
  </si>
  <si>
    <t>Shown separately</t>
  </si>
  <si>
    <t>Lease-adjusted EV disclosed, but base DCF equity bridge excludes leases to avoid double counting rent expense.</t>
  </si>
  <si>
    <t>Bear / Base / Bull Scenarios</t>
  </si>
  <si>
    <t>Operating-case DCF scenarios using TTM revenue as the starting point and explicit 5-year forecast mechanics.</t>
  </si>
  <si>
    <t>Scenario</t>
  </si>
  <si>
    <t>2026E growth</t>
  </si>
  <si>
    <t>2027E growth</t>
  </si>
  <si>
    <t>2028E growth</t>
  </si>
  <si>
    <t>2029E growth</t>
  </si>
  <si>
    <t>2030E growth</t>
  </si>
  <si>
    <t>5Y revenue CAGR</t>
  </si>
  <si>
    <t>WC / incr rev</t>
  </si>
  <si>
    <t>Discount rate</t>
  </si>
  <si>
    <t>Implied EV</t>
  </si>
  <si>
    <t>Equity value</t>
  </si>
  <si>
    <t>Shares (M)</t>
  </si>
  <si>
    <t>Value / share</t>
  </si>
  <si>
    <t>5Y price CAGR</t>
  </si>
  <si>
    <t>Bear</t>
  </si>
  <si>
    <t>Base</t>
  </si>
  <si>
    <t>Bull</t>
  </si>
  <si>
    <t>Bear detailed DCF</t>
  </si>
  <si>
    <t/>
  </si>
  <si>
    <t>Capex</t>
  </si>
  <si>
    <t>Net debt / (cash)</t>
  </si>
  <si>
    <t>Shares</t>
  </si>
  <si>
    <t>Base detailed DCF</t>
  </si>
  <si>
    <t>Bull detailed DCF</t>
  </si>
  <si>
    <t>Base-case sensitivity: value per share</t>
  </si>
  <si>
    <t>Discount rate \ terminal growth</t>
  </si>
  <si>
    <t>Actuals Source Audit</t>
  </si>
  <si>
    <t>Reported actuals are anchored to SEC/company filings. Secondary sources are used as cross-checks, not as source of truth.</t>
  </si>
  <si>
    <t>Line item</t>
  </si>
  <si>
    <t>TTM / latest</t>
  </si>
  <si>
    <t>Q3 / 9M FY2026</t>
  </si>
  <si>
    <t>Primary source</t>
  </si>
  <si>
    <t>Secondary check</t>
  </si>
  <si>
    <t>Discrepancy / note</t>
  </si>
  <si>
    <t>Q3 11,279; 9M 35,426</t>
  </si>
  <si>
    <t>FY2025 10-K; Q3 FY2026 10-Q / release</t>
  </si>
  <si>
    <t>StockAnalysis financials/TTM revenue</t>
  </si>
  <si>
    <t>SEC wins; TTM bridges FY2025 plus 9M FY2026 less 9M FY2025.</t>
  </si>
  <si>
    <t>Q3 4,530; 9M 14,518</t>
  </si>
  <si>
    <t>FY2025 10-K; Q3 FY2026 release</t>
  </si>
  <si>
    <t>Company earnings schedules</t>
  </si>
  <si>
    <t>Gross margin at Q3 FY2026 remained pressured by tariffs/channel mix.</t>
  </si>
  <si>
    <t>44.8%</t>
  </si>
  <si>
    <t>46.0%</t>
  </si>
  <si>
    <t>43.5%</t>
  </si>
  <si>
    <t>44.6%</t>
  </si>
  <si>
    <t>42.7%</t>
  </si>
  <si>
    <t>40.8%</t>
  </si>
  <si>
    <t>Q3 40.2%; 9M 41.0%</t>
  </si>
  <si>
    <t>Company filings / release</t>
  </si>
  <si>
    <t>Nike IR schedules</t>
  </si>
  <si>
    <t>Model uses filing values; secondary sites may round.</t>
  </si>
  <si>
    <t>9M 2,486 derived</t>
  </si>
  <si>
    <t>Derived as gross profit less SG&amp;A</t>
  </si>
  <si>
    <t>StockAnalysis income statement</t>
  </si>
  <si>
    <t>NIKE filing presentation emphasizes income before tax/net income; model uses GP-SG&amp;A for EBIT consistency.</t>
  </si>
  <si>
    <t>Q3 520; 9M 2,039</t>
  </si>
  <si>
    <t>Yahoo / StockAnalysis EPS and net income</t>
  </si>
  <si>
    <t>TTM net income cross-check approximates vendor TTM EPS of about $1.52.</t>
  </si>
  <si>
    <t>9M 1,231</t>
  </si>
  <si>
    <t>FY2025 10-K; Q3 FY2026 10-Q</t>
  </si>
  <si>
    <t>StockAnalysis cash-flow statement</t>
  </si>
  <si>
    <t>Working-capital timing makes TTM OCF unusually weak.</t>
  </si>
  <si>
    <t>9M 546</t>
  </si>
  <si>
    <t>Reported capex, not maintenance-only capex.</t>
  </si>
  <si>
    <t>9M 685</t>
  </si>
  <si>
    <t>OCF less capex from filings</t>
  </si>
  <si>
    <t>StockAnalysis / company cash-flow schedules</t>
  </si>
  <si>
    <t>Reported FCF differs from unlevered forecast owner earnings.</t>
  </si>
  <si>
    <t>Q3 194; 9M 555</t>
  </si>
  <si>
    <t>Company cash-flow statement</t>
  </si>
  <si>
    <t>SBC included as a cash-flow addback; dilution captured through shares.</t>
  </si>
  <si>
    <t>Q3 1,481.6; 9M 1,480.4</t>
  </si>
  <si>
    <t>Yahoo / StockAnalysis shares</t>
  </si>
  <si>
    <t>Valuation denominator uses current Class A + Class B outstanding.</t>
  </si>
  <si>
    <t>Q3 0.35; 9M 1.38</t>
  </si>
  <si>
    <t>Yahoo / StockAnalysis EPS</t>
  </si>
  <si>
    <t>Vendor EPS can differ by exact TTM denominator.</t>
  </si>
  <si>
    <t>Latest 6,660</t>
  </si>
  <si>
    <t>Q3 FY2026 10-Q balance sheet</t>
  </si>
  <si>
    <t>Yahoo / StockAnalysis balance sheet</t>
  </si>
  <si>
    <t>Latest balance sheet used in EV bridge.</t>
  </si>
  <si>
    <t>Latest 1,397</t>
  </si>
  <si>
    <t>SEC/company balance sheet</t>
  </si>
  <si>
    <t>Current AFS debt securities / short-term investments.</t>
  </si>
  <si>
    <t>999 current + 7,030 long term</t>
  </si>
  <si>
    <t>Operating leases disclosed separately.</t>
  </si>
  <si>
    <t>493 current + 2,656 noncurrent</t>
  </si>
  <si>
    <t>SEC/company footnotes</t>
  </si>
  <si>
    <t>Shown as lease-adjusted EV, not base DCF net debt.</t>
  </si>
  <si>
    <t>Latest 7,487</t>
  </si>
  <si>
    <t>Company balance sheet</t>
  </si>
  <si>
    <t>Inventory reserve/markdown risk remains central to gross-margin recovery.</t>
  </si>
  <si>
    <t>Quarterly dividend $0.41</t>
  </si>
  <si>
    <t>FY2025 10-K; Yahoo dividend data</t>
  </si>
  <si>
    <t>Yahoo Finance</t>
  </si>
  <si>
    <t>Dividend sustainability depends on FCF normalization.</t>
  </si>
  <si>
    <t>Buybacks slowed</t>
  </si>
  <si>
    <t>FY2025 10-K</t>
  </si>
  <si>
    <t>Company filings</t>
  </si>
  <si>
    <t>Buyback capacity reduced while FCF is depressed.</t>
  </si>
  <si>
    <t>Sales-related reserves</t>
  </si>
  <si>
    <t>FY2025 10-K reserve disclosures</t>
  </si>
  <si>
    <t>SEC filing only</t>
  </si>
  <si>
    <t>Important quality flag: return/markdown reserves expanded.</t>
  </si>
  <si>
    <t>Sales returns reserve</t>
  </si>
  <si>
    <t>Reserve normalization is a margin and revenue-quality question.</t>
  </si>
  <si>
    <t>Inventory reserve</t>
  </si>
  <si>
    <t>Supports cautious gross-margin recovery assumptions.</t>
  </si>
  <si>
    <t>Underwriting Questions</t>
  </si>
  <si>
    <t>Questions to update before relying on the model output as an investment view.</t>
  </si>
  <si>
    <t>Area</t>
  </si>
  <si>
    <t>Question</t>
  </si>
  <si>
    <t>Base-case dependency</t>
  </si>
  <si>
    <t>KPI / evidence to watch</t>
  </si>
  <si>
    <t>Source</t>
  </si>
  <si>
    <t>Digital reset</t>
  </si>
  <si>
    <t>Can NIKE Brand Digital return to growth without relying on markdown-heavy traffic?</t>
  </si>
  <si>
    <t>Base case assumes Direct stops being a drag by FY2027.</t>
  </si>
  <si>
    <t>Digital revenue growth, return rates, promo cadence, app engagement.</t>
  </si>
  <si>
    <t>Quarterly releases / transcript</t>
  </si>
  <si>
    <t>Wholesale</t>
  </si>
  <si>
    <t>Is wholesale growth sell-through driven, or just channel refill after prior cleanup?</t>
  </si>
  <si>
    <t>Base case assumes healthier wholesale with limited channel stuffing.</t>
  </si>
  <si>
    <t>Wholesale growth vs inventories/receivables, partner commentary.</t>
  </si>
  <si>
    <t>10-Q / earnings call</t>
  </si>
  <si>
    <t>How much of the tariff and markdown pressure is temporary versus structural?</t>
  </si>
  <si>
    <t>Base case ramps gross margin from low-40s toward 44% by FY2030.</t>
  </si>
  <si>
    <t>Gross margin bridge, reserve movements, freight/tariff commentary.</t>
  </si>
  <si>
    <t>10-Q / release</t>
  </si>
  <si>
    <t>Product cycle</t>
  </si>
  <si>
    <t>Are running, basketball, women's and Jordan product launches large enough to regain cultural momentum?</t>
  </si>
  <si>
    <t>Base case assumes low-single-digit revenue recovery after FY2026.</t>
  </si>
  <si>
    <t>Search/social data, sell-outs, athlete events, category growth.</t>
  </si>
  <si>
    <t>Company / channel checks</t>
  </si>
  <si>
    <t>China</t>
  </si>
  <si>
    <t>Can Greater China stabilize without a sharp price/promo tradeoff?</t>
  </si>
  <si>
    <t>Base case embeds stabilization, not a full China boom.</t>
  </si>
  <si>
    <t>China revenue, local brand share, inventory quality.</t>
  </si>
  <si>
    <t>Quarterly releases</t>
  </si>
  <si>
    <t>Converse</t>
  </si>
  <si>
    <t>Does Converse remain a small drag or require a deeper brand reset?</t>
  </si>
  <si>
    <t>Base case does not assign a separate Converse re-rating.</t>
  </si>
  <si>
    <t>Converse revenue declines, margin, management actions.</t>
  </si>
  <si>
    <t>Quarterly schedules</t>
  </si>
  <si>
    <t>Working capital</t>
  </si>
  <si>
    <t>Does FCF recover with earnings, or are inventory and AR timing issues still absorbing cash?</t>
  </si>
  <si>
    <t>Base case assumes modest reinvestment tied to growth.</t>
  </si>
  <si>
    <t>OCF conversion, inventory days, receivable days.</t>
  </si>
  <si>
    <t>Cash-flow statement</t>
  </si>
  <si>
    <t>Capital returns</t>
  </si>
  <si>
    <t>Is the dividend prioritized over buybacks while reported FCF is depressed?</t>
  </si>
  <si>
    <t>Base value does not require aggressive buybacks.</t>
  </si>
  <si>
    <t>Dividend coverage, repurchases, net cash/debt.</t>
  </si>
  <si>
    <t>10-Q / 10-K</t>
  </si>
  <si>
    <t>Share count</t>
  </si>
  <si>
    <t>Will buybacks resume enough to offset SBC and reduce the denominator?</t>
  </si>
  <si>
    <t>Base model assumes slight annual dilution reduction.</t>
  </si>
  <si>
    <t>Average diluted shares and class A/B outstanding.</t>
  </si>
  <si>
    <t>SEC filings</t>
  </si>
  <si>
    <t>Valuation</t>
  </si>
  <si>
    <t>At the current market EV, is the market underwriting a 13%+ Y5 EBIT margin or faster revenue recovery?</t>
  </si>
  <si>
    <t>Reverse DCF says today's price needs a cleaner recovery than the base case.</t>
  </si>
  <si>
    <t>Forward consensus changes, margin guidance, estimate revisions.</t>
  </si>
  <si>
    <t>Consensus / model</t>
  </si>
  <si>
    <t>Competition</t>
  </si>
  <si>
    <t>Are Adidas, On, Hoka, Lululemon and New Balance taking permanent share in key categories?</t>
  </si>
  <si>
    <t>Base case assumes NIKE regains some, not all, momentum.</t>
  </si>
  <si>
    <t>Competitor growth, wholesale shelf space, category share.</t>
  </si>
  <si>
    <t>Competitor reports</t>
  </si>
  <si>
    <t>Accounting quality</t>
  </si>
  <si>
    <t>Do sales returns, sales-related reserves, and inventory reserves normalize?</t>
  </si>
  <si>
    <t>Base case assumes reserve pressure fades by FY2027-FY2028.</t>
  </si>
  <si>
    <t>Reserve balances, markdown commentary, returns allowance.</t>
  </si>
  <si>
    <t>10-K footnotes</t>
  </si>
  <si>
    <t>Sources</t>
  </si>
  <si>
    <t>Primary filings govern reported actuals; secondary sources are used for market data and cross-checks.</t>
  </si>
  <si>
    <t>URL</t>
  </si>
  <si>
    <t>Used for</t>
  </si>
  <si>
    <t>Accessed / as of</t>
  </si>
  <si>
    <t>SEC FY2025 Form 10-K</t>
  </si>
  <si>
    <t>https://www.sec.gov/Archives/edgar/data/320187/000032018725000047/0000320187-25-000047-index.html</t>
  </si>
  <si>
    <t>FY2021-FY2025 annual actuals, balance sheet, cash flow, reserves</t>
  </si>
  <si>
    <t>Accession 0000320187-25-000047; filed 2025-07-17; period ended 2025-05-31.</t>
  </si>
  <si>
    <t>SEC Q3 FY2026 Form 10-Q</t>
  </si>
  <si>
    <t>https://www.sec.gov/Archives/edgar/data/320187/000032018726000037/0000320187-26-000037-index.html</t>
  </si>
  <si>
    <t>Latest quarter, 9M FY2026, balance sheet, shares</t>
  </si>
  <si>
    <t>Accession 0000320187-26-000037; filed 2026-04-01; period ended 2026-02-28.</t>
  </si>
  <si>
    <t>NIKE Q3 FY2026 earnings release</t>
  </si>
  <si>
    <t>https://investors.nike.com/investors/news-events-and-reports/investor-news/investor-news-details/2026/NIKE-Inc--Reports-Fiscal-2026-Third-Quarter-Results/default.aspx</t>
  </si>
  <si>
    <t>Revenue, gross margin, channel commentary, Q3 EPS</t>
  </si>
  <si>
    <t>Company release dated 2026-03-31.</t>
  </si>
  <si>
    <t>NIKE Investor Relations</t>
  </si>
  <si>
    <t>https://investors.nike.com/investors/news-events-and-reports/default.aspx</t>
  </si>
  <si>
    <t>Quarterly earnings materials, annual report links, event calendar</t>
  </si>
  <si>
    <t>Used to verify Q4 FY2026 results were scheduled for 2026-06-30 and not yet reported as of model date.</t>
  </si>
  <si>
    <t>Yahoo Finance NKE quote</t>
  </si>
  <si>
    <t>https://finance.yahoo.com/quote/NKE/</t>
  </si>
  <si>
    <t>Share price, market cap, beta, dividend, EPS, target estimate cross-check</t>
  </si>
  <si>
    <t>2026-06-01 11:16:24 AM EDT snapshot</t>
  </si>
  <si>
    <t>Workbook uses $45.85 quote; market data is time-sensitive.</t>
  </si>
  <si>
    <t>MarketBeat NKE</t>
  </si>
  <si>
    <t>https://www.marketbeat.com/stocks/NYSE/NKE/</t>
  </si>
  <si>
    <t>Secondary quote, consensus rating/target cross-check</t>
  </si>
  <si>
    <t>Vendor quote/market cap can differ by timestamp and share denominator.</t>
  </si>
  <si>
    <t>StockAnalysis NKE</t>
  </si>
  <si>
    <t>https://stockanalysis.com/stocks/nke/</t>
  </si>
  <si>
    <t>Secondary financials, TTM revenue, market cap and analyst estimate cross-check</t>
  </si>
  <si>
    <t>Secondary data can lag or round; SEC/company filings prevail.</t>
  </si>
  <si>
    <t>FRED DGS10</t>
  </si>
  <si>
    <t>https://fred.stlouisfed.org/series/DGS10/</t>
  </si>
  <si>
    <t>Risk-free-rate input</t>
  </si>
  <si>
    <t>Latest complete observation 2026-05-28</t>
  </si>
  <si>
    <t>10Y Treasury constant maturity yield of 4.45%.</t>
  </si>
  <si>
    <t>Stooq NKE quote CSV</t>
  </si>
  <si>
    <t>https://stooq.com/q/l/?s=nke.us&amp;f=sd2t2ohlcv&amp;h&amp;e=csv</t>
  </si>
  <si>
    <t>Quote cross-check</t>
  </si>
  <si>
    <t>Prior snapshot around $45.76 used as reasonableness check; workbook uses refreshed Yahoo snapshot.</t>
  </si>
  <si>
    <t>SEC company landing page</t>
  </si>
  <si>
    <t>https://www.sec.gov/edgar/browse/?CIK=0000320187</t>
  </si>
  <si>
    <t>Latest filing chronology</t>
  </si>
  <si>
    <t>Used to verify latest 10-Q and later non-operating filings.</t>
  </si>
</sst>
</file>

<file path=xl/styles.xml><?xml version="1.0" encoding="utf-8"?>
<styleSheet xmlns="http://schemas.openxmlformats.org/spreadsheetml/2006/main">
  <numFmts count="4">
    <numFmt numFmtId="164" formatCode="$#,##0.0"/>
    <numFmt numFmtId="165" formatCode="#,##0.0"/>
    <numFmt numFmtId="166" formatCode="0.0%"/>
    <numFmt numFmtId="167" formatCode="0.0x"/>
  </numFmts>
  <fonts count="5">
    <font>
      <sz val="11"/>
      <color rgb="FF111827"/>
      <name val="Aptos"/>
    </font>
    <font>
      <b/>
      <sz val="16"/>
      <color rgb="FF111827"/>
      <name val="Aptos Display"/>
    </font>
    <font>
      <b/>
      <sz val="11"/>
      <color rgb="FFFFFFFF"/>
      <name val="Aptos"/>
    </font>
    <font>
      <b/>
      <sz val="11"/>
      <color rgb="FF111827"/>
      <name val="Aptos"/>
    </font>
    <font>
      <i/>
      <sz val="10"/>
      <color rgb="FF4B5563"/>
      <name val="Aptos"/>
    </font>
  </fonts>
  <fills count="7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E5E7EB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FFE4E6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D1D5DB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4" fillId="0" borderId="0" xfId="0" applyFont="1"/>
    <xf numFmtId="0" fontId="2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0" fillId="0" borderId="0" xfId="0" applyAlignment="1">
      <alignment wrapText="1" vertical="top"/>
    </xf>
    <xf numFmtId="0" fontId="4" fillId="0" borderId="0" xfId="0" applyFont="1" applyAlignment="1">
      <alignment wrapText="1" vertical="top"/>
    </xf>
    <xf numFmtId="165" fontId="0" fillId="4" borderId="2" xfId="0" applyNumberFormat="1" applyFill="1" applyBorder="1"/>
    <xf numFmtId="165" fontId="0" fillId="5" borderId="2" xfId="0" applyNumberFormat="1" applyFill="1" applyBorder="1"/>
    <xf numFmtId="164" fontId="0" fillId="0" borderId="1" xfId="0" applyNumberFormat="1" applyBorder="1"/>
    <xf numFmtId="164" fontId="0" fillId="4" borderId="2" xfId="0" applyNumberFormat="1" applyFill="1" applyBorder="1"/>
    <xf numFmtId="166" fontId="0" fillId="0" borderId="1" xfId="0" applyNumberFormat="1" applyBorder="1"/>
    <xf numFmtId="166" fontId="0" fillId="4" borderId="2" xfId="0" applyNumberFormat="1" applyFill="1" applyBorder="1"/>
    <xf numFmtId="167" fontId="0" fillId="0" borderId="1" xfId="0" applyNumberFormat="1" applyBorder="1"/>
    <xf numFmtId="165" fontId="0" fillId="3" borderId="1" xfId="0" applyNumberFormat="1" applyFill="1" applyBorder="1"/>
    <xf numFmtId="0" fontId="0" fillId="6" borderId="2" xfId="0" applyFill="1" applyBorder="1" applyAlignment="1">
      <alignment wrapText="1" vertical="top"/>
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10"/>
  <sheetViews>
    <sheetView workbookViewId="0">
      <pane xSplit="1" ySplit="8" topLeftCell="B9" activePane="bottomRight" state="frozen"/>
      <selection pane="bottomRight"/>
    </sheetView>
  </sheetViews>
  <cols>
    <col min="1" max="1" width="31" customWidth="1"/>
    <col min="2" max="2" width="13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42" customWidth="1"/>
  </cols>
  <sheetData>
    <row r="1">
      <c r="A1" t="s" s="1">
        <v>0</v>
      </c>
    </row>
    <row r="2">
      <c r="A2" t="s" s="2">
        <v>1</v>
      </c>
    </row>
    <row r="3">
      <c r="A3" t="s" s="5">
        <v>2</v>
      </c>
      <c r="B3" t="s" s="7">
        <v>3</v>
      </c>
      <c r="D3" t="s" s="5">
        <v>4</v>
      </c>
      <c r="E3" t="s" s="7">
        <v>5</v>
      </c>
    </row>
    <row r="4">
      <c r="A4" t="s" s="5">
        <v>6</v>
      </c>
      <c r="B4" t="s" s="7">
        <v>7</v>
      </c>
      <c r="D4" t="s" s="5">
        <v>8</v>
      </c>
      <c r="E4" t="s" s="7">
        <v>9</v>
      </c>
    </row>
    <row r="5">
      <c r="A5" t="s" s="5">
        <v>10</v>
      </c>
      <c r="B5" t="s" s="7">
        <v>11</v>
      </c>
      <c r="D5" t="s" s="5">
        <v>12</v>
      </c>
      <c r="E5" t="s" s="7">
        <v>13</v>
      </c>
    </row>
    <row r="8">
      <c r="A8" t="s" s="4">
        <v>14</v>
      </c>
      <c r="B8" t="s" s="4">
        <v>15</v>
      </c>
      <c r="C8" t="s" s="4">
        <v>16</v>
      </c>
      <c r="D8" t="s" s="4">
        <v>17</v>
      </c>
      <c r="E8" t="s" s="4">
        <v>18</v>
      </c>
      <c r="F8" t="s" s="4">
        <v>19</v>
      </c>
      <c r="G8" t="s" s="4">
        <v>20</v>
      </c>
      <c r="H8" t="s" s="4">
        <v>21</v>
      </c>
      <c r="I8" t="s" s="4">
        <v>22</v>
      </c>
      <c r="J8" t="s" s="4">
        <v>23</v>
      </c>
      <c r="K8" t="s" s="4">
        <v>24</v>
      </c>
      <c r="L8" t="s" s="4">
        <v>25</v>
      </c>
      <c r="M8" t="s" s="4">
        <v>26</v>
      </c>
    </row>
    <row r="9">
      <c r="A9" t="s" s="5">
        <v>27</v>
      </c>
      <c r="B9" s="9">
        <v>44538</v>
      </c>
      <c r="C9" s="9">
        <v>46710</v>
      </c>
      <c r="D9" s="9">
        <v>51217</v>
      </c>
      <c r="E9" s="9">
        <v>51362</v>
      </c>
      <c r="F9" s="9">
        <v>46309</v>
      </c>
      <c r="G9" s="9">
        <f>E44</f>
      </c>
      <c r="H9" s="9">
        <f>G9*(1+H10)</f>
      </c>
      <c r="I9" s="9">
        <f>H9*(1+I10)</f>
      </c>
      <c r="J9" s="9">
        <f>I9*(1+J10)</f>
      </c>
      <c r="K9" s="9">
        <f>J9*(1+K10)</f>
      </c>
      <c r="L9" s="9">
        <f>K9*(1+L10)</f>
      </c>
      <c r="M9" t="s" s="6">
        <v>28</v>
      </c>
    </row>
    <row r="10">
      <c r="A10" t="s" s="5">
        <v>29</v>
      </c>
      <c r="C10" s="11">
        <f>C9/B9-1</f>
      </c>
      <c r="D10" s="11">
        <f>D9/C9-1</f>
      </c>
      <c r="E10" s="11">
        <f>E9/D9-1</f>
      </c>
      <c r="F10" s="11">
        <f>F9/E9-1</f>
      </c>
      <c r="G10" s="11">
        <f>G9/F9-1</f>
      </c>
      <c r="H10" s="12">
        <v>-0.01</v>
      </c>
      <c r="I10" s="12">
        <v>0.02</v>
      </c>
      <c r="J10" s="12">
        <v>0.04</v>
      </c>
      <c r="K10" s="12">
        <v>0.05</v>
      </c>
      <c r="L10" s="12">
        <v>0.05</v>
      </c>
    </row>
    <row r="11">
      <c r="A11" t="s" s="5">
        <v>30</v>
      </c>
      <c r="B11" s="9">
        <v>19962</v>
      </c>
      <c r="C11" s="9">
        <v>21479</v>
      </c>
      <c r="D11" s="9">
        <v>22292</v>
      </c>
      <c r="E11" s="9">
        <v>22887</v>
      </c>
      <c r="F11" s="9">
        <v>19790</v>
      </c>
      <c r="G11" s="9">
        <f>E45</f>
      </c>
      <c r="H11" s="9">
        <f>H9*H12</f>
      </c>
      <c r="I11" s="9">
        <f>I9*I12</f>
      </c>
      <c r="J11" s="9">
        <f>J9*J12</f>
      </c>
      <c r="K11" s="9">
        <f>K9*K12</f>
      </c>
      <c r="L11" s="9">
        <f>L9*L12</f>
      </c>
      <c r="M11" t="s" s="6">
        <v>31</v>
      </c>
    </row>
    <row r="12">
      <c r="A12" t="s" s="5">
        <v>32</v>
      </c>
      <c r="B12" s="11">
        <f>B11/B9</f>
      </c>
      <c r="C12" s="11">
        <f>C11/C9</f>
      </c>
      <c r="D12" s="11">
        <f>D11/D9</f>
      </c>
      <c r="E12" s="11">
        <f>E11/E9</f>
      </c>
      <c r="F12" s="11">
        <f>F11/F9</f>
      </c>
      <c r="G12" s="11">
        <f>G11/G9</f>
      </c>
      <c r="H12" s="12">
        <v>0.409</v>
      </c>
      <c r="I12" s="12">
        <v>0.42</v>
      </c>
      <c r="J12" s="12">
        <v>0.43</v>
      </c>
      <c r="K12" s="12">
        <v>0.437</v>
      </c>
      <c r="L12" s="12">
        <v>0.442</v>
      </c>
    </row>
    <row r="13">
      <c r="A13" t="s" s="5">
        <v>33</v>
      </c>
      <c r="B13" s="9">
        <f>B11-B14</f>
      </c>
      <c r="C13" s="9">
        <f>C11-C14</f>
      </c>
      <c r="D13" s="9">
        <f>D11-D14</f>
      </c>
      <c r="E13" s="9">
        <f>E11-E14</f>
      </c>
      <c r="F13" s="9">
        <f>F11-F14</f>
      </c>
      <c r="G13" s="9">
        <f>E46</f>
      </c>
      <c r="H13" s="9">
        <f>H11-H14</f>
      </c>
      <c r="I13" s="9">
        <f>I11-I14</f>
      </c>
      <c r="J13" s="9">
        <f>J11-J14</f>
      </c>
      <c r="K13" s="9">
        <f>K11-K14</f>
      </c>
      <c r="L13" s="9">
        <f>L11-L14</f>
      </c>
      <c r="M13" t="s" s="6">
        <v>34</v>
      </c>
    </row>
    <row r="14">
      <c r="A14" t="s" s="5">
        <v>35</v>
      </c>
      <c r="B14" s="9">
        <v>6937</v>
      </c>
      <c r="C14" s="9">
        <v>6675</v>
      </c>
      <c r="D14" s="9">
        <v>5915</v>
      </c>
      <c r="E14" s="9">
        <v>6311</v>
      </c>
      <c r="F14" s="9">
        <v>3702</v>
      </c>
      <c r="G14" s="9">
        <f>E47</f>
      </c>
      <c r="H14" s="9">
        <f>H9*H15</f>
      </c>
      <c r="I14" s="9">
        <f>I9*I15</f>
      </c>
      <c r="J14" s="9">
        <f>J9*J15</f>
      </c>
      <c r="K14" s="9">
        <f>K9*K15</f>
      </c>
      <c r="L14" s="9">
        <f>L9*L15</f>
      </c>
      <c r="M14" t="s" s="6">
        <v>36</v>
      </c>
    </row>
    <row r="15">
      <c r="A15" t="s" s="5">
        <v>37</v>
      </c>
      <c r="B15" s="11">
        <f>B14/B9</f>
      </c>
      <c r="C15" s="11">
        <f>C14/C9</f>
      </c>
      <c r="D15" s="11">
        <f>D14/D9</f>
      </c>
      <c r="E15" s="11">
        <f>E14/E9</f>
      </c>
      <c r="F15" s="11">
        <f>F14/F9</f>
      </c>
      <c r="G15" s="11">
        <f>G14/G9</f>
      </c>
      <c r="H15" s="12">
        <v>0.07</v>
      </c>
      <c r="I15" s="12">
        <v>0.085</v>
      </c>
      <c r="J15" s="12">
        <v>0.098</v>
      </c>
      <c r="K15" s="12">
        <v>0.107</v>
      </c>
      <c r="L15" s="12">
        <v>0.115</v>
      </c>
    </row>
    <row r="16">
      <c r="A16" t="s" s="5">
        <v>38</v>
      </c>
      <c r="B16" s="14"/>
      <c r="C16" s="14"/>
      <c r="D16" s="14"/>
      <c r="E16" s="14"/>
      <c r="F16" s="14"/>
      <c r="G16" s="14"/>
      <c r="H16" s="12">
        <v>0.19</v>
      </c>
      <c r="I16" s="12">
        <v>0.19</v>
      </c>
      <c r="J16" s="12">
        <v>0.19</v>
      </c>
      <c r="K16" s="12">
        <v>0.19</v>
      </c>
      <c r="L16" s="12">
        <v>0.19</v>
      </c>
      <c r="M16" t="s" s="6">
        <v>39</v>
      </c>
    </row>
    <row r="17">
      <c r="A17" t="s" s="5">
        <v>40</v>
      </c>
      <c r="B17" s="14"/>
      <c r="C17" s="14"/>
      <c r="D17" s="14"/>
      <c r="E17" s="14"/>
      <c r="F17" s="14"/>
      <c r="G17" s="14"/>
      <c r="H17" s="9">
        <f>H14*(1-H16)</f>
      </c>
      <c r="I17" s="9">
        <f>I14*(1-I16)</f>
      </c>
      <c r="J17" s="9">
        <f>J14*(1-J16)</f>
      </c>
      <c r="K17" s="9">
        <f>K14*(1-K16)</f>
      </c>
      <c r="L17" s="9">
        <f>L14*(1-L16)</f>
      </c>
    </row>
    <row r="18">
      <c r="A18" t="s" s="5">
        <v>41</v>
      </c>
      <c r="B18" s="14"/>
      <c r="C18" s="14"/>
      <c r="D18" s="14"/>
      <c r="E18" s="14"/>
      <c r="F18" s="14"/>
      <c r="G18" s="9">
        <f>E53</f>
      </c>
      <c r="H18" s="9">
        <f>H9*H19</f>
      </c>
      <c r="I18" s="9">
        <f>I9*I19</f>
      </c>
      <c r="J18" s="9">
        <f>J9*J19</f>
      </c>
      <c r="K18" s="9">
        <f>K9*K19</f>
      </c>
      <c r="L18" s="9">
        <f>L9*L19</f>
      </c>
      <c r="M18" t="s" s="6">
        <v>42</v>
      </c>
    </row>
    <row r="19">
      <c r="A19" t="s" s="5">
        <v>43</v>
      </c>
      <c r="B19" s="14"/>
      <c r="C19" s="14"/>
      <c r="D19" s="14"/>
      <c r="E19" s="14"/>
      <c r="F19" s="14"/>
      <c r="G19" s="11">
        <f>G18/G9</f>
      </c>
      <c r="H19" s="12">
        <v>0.016</v>
      </c>
      <c r="I19" s="12">
        <v>0.016</v>
      </c>
      <c r="J19" s="12">
        <v>0.016</v>
      </c>
      <c r="K19" s="12">
        <v>0.016</v>
      </c>
      <c r="L19" s="12">
        <v>0.016</v>
      </c>
    </row>
    <row r="20">
      <c r="A20" t="s" s="5">
        <v>44</v>
      </c>
      <c r="B20" s="9">
        <v>6657</v>
      </c>
      <c r="C20" s="9">
        <v>5188</v>
      </c>
      <c r="D20" s="9">
        <v>5841</v>
      </c>
      <c r="E20" s="9">
        <v>7429</v>
      </c>
      <c r="F20" s="9">
        <v>3698</v>
      </c>
      <c r="G20" s="9">
        <f>E48</f>
      </c>
    </row>
    <row r="21">
      <c r="A21" t="s" s="5">
        <v>45</v>
      </c>
      <c r="B21" s="9">
        <v>695</v>
      </c>
      <c r="C21" s="9">
        <v>758</v>
      </c>
      <c r="D21" s="9">
        <v>969</v>
      </c>
      <c r="E21" s="9">
        <v>812</v>
      </c>
      <c r="F21" s="9">
        <v>430</v>
      </c>
      <c r="G21" s="9">
        <f>E49</f>
      </c>
      <c r="H21" s="9">
        <f>H9*H22</f>
      </c>
      <c r="I21" s="9">
        <f>I9*I22</f>
      </c>
      <c r="J21" s="9">
        <f>J9*J22</f>
      </c>
      <c r="K21" s="9">
        <f>K9*K22</f>
      </c>
      <c r="L21" s="9">
        <f>L9*L22</f>
      </c>
      <c r="M21" t="s" s="6">
        <v>46</v>
      </c>
    </row>
    <row r="22">
      <c r="A22" t="s" s="5">
        <v>47</v>
      </c>
      <c r="B22" s="11">
        <f>B21/B9</f>
      </c>
      <c r="C22" s="11">
        <f>C21/C9</f>
      </c>
      <c r="D22" s="11">
        <f>D21/D9</f>
      </c>
      <c r="E22" s="11">
        <f>E21/E9</f>
      </c>
      <c r="F22" s="11">
        <f>F21/F9</f>
      </c>
      <c r="G22" s="11">
        <f>G21/G9</f>
      </c>
      <c r="H22" s="12">
        <v>0.018</v>
      </c>
      <c r="I22" s="12">
        <v>0.018</v>
      </c>
      <c r="J22" s="12">
        <v>0.018</v>
      </c>
      <c r="K22" s="12">
        <v>0.018</v>
      </c>
      <c r="L22" s="12">
        <v>0.018</v>
      </c>
    </row>
    <row r="23">
      <c r="A23" t="s" s="5">
        <v>48</v>
      </c>
      <c r="B23" s="14"/>
      <c r="C23" s="14"/>
      <c r="D23" s="14"/>
      <c r="E23" s="14"/>
      <c r="F23" s="14"/>
      <c r="G23" s="14"/>
      <c r="H23" s="9">
        <f>(H9-G9)*H24</f>
      </c>
      <c r="I23" s="9">
        <f>(I9-H9)*I24</f>
      </c>
      <c r="J23" s="9">
        <f>(J9-I9)*J24</f>
      </c>
      <c r="K23" s="9">
        <f>(K9-J9)*K24</f>
      </c>
      <c r="L23" s="9">
        <f>(L9-K9)*L24</f>
      </c>
      <c r="M23" t="s" s="6">
        <v>49</v>
      </c>
    </row>
    <row r="24">
      <c r="A24" t="s" s="5">
        <v>50</v>
      </c>
      <c r="B24" s="14"/>
      <c r="C24" s="14"/>
      <c r="D24" s="14"/>
      <c r="E24" s="14"/>
      <c r="F24" s="14"/>
      <c r="G24" s="14"/>
      <c r="H24" s="12">
        <v>0.06</v>
      </c>
      <c r="I24" s="12">
        <v>0.06</v>
      </c>
      <c r="J24" s="12">
        <v>0.06</v>
      </c>
      <c r="K24" s="12">
        <v>0.06</v>
      </c>
      <c r="L24" s="12">
        <v>0.06</v>
      </c>
    </row>
    <row r="25">
      <c r="A25" t="s" s="5">
        <v>51</v>
      </c>
      <c r="B25" s="9">
        <f>B20-B21</f>
      </c>
      <c r="C25" s="9">
        <f>C20-C21</f>
      </c>
      <c r="D25" s="9">
        <f>D20-D21</f>
      </c>
      <c r="E25" s="9">
        <f>E20-E21</f>
      </c>
      <c r="F25" s="9">
        <f>F20-F21</f>
      </c>
      <c r="G25" s="9">
        <f>E50</f>
      </c>
      <c r="H25" s="9">
        <f>H17+H18-H21-H23</f>
      </c>
      <c r="I25" s="9">
        <f>I17+I18-I21-I23</f>
      </c>
      <c r="J25" s="9">
        <f>J17+J18-J21-J23</f>
      </c>
      <c r="K25" s="9">
        <f>K17+K18-K21-K23</f>
      </c>
      <c r="L25" s="9">
        <f>L17+L18-L21-L23</f>
      </c>
      <c r="M25" t="s" s="6">
        <v>52</v>
      </c>
    </row>
    <row r="26">
      <c r="A26" t="s" s="5">
        <v>53</v>
      </c>
      <c r="B26" s="11">
        <f>B25/B9</f>
      </c>
      <c r="C26" s="11">
        <f>C25/C9</f>
      </c>
      <c r="D26" s="11">
        <f>D25/D9</f>
      </c>
      <c r="E26" s="11">
        <f>E25/E9</f>
      </c>
      <c r="F26" s="11">
        <f>F25/F9</f>
      </c>
      <c r="G26" s="11">
        <f>G25/G9</f>
      </c>
      <c r="H26" s="11">
        <f>H25/H9</f>
      </c>
      <c r="I26" s="11">
        <f>I25/I9</f>
      </c>
      <c r="J26" s="11">
        <f>J25/J9</f>
      </c>
      <c r="K26" s="11">
        <f>K25/K9</f>
      </c>
      <c r="L26" s="11">
        <f>L25/L9</f>
      </c>
    </row>
    <row r="27">
      <c r="A27" t="s" s="5">
        <v>54</v>
      </c>
      <c r="B27" s="9">
        <v>611</v>
      </c>
      <c r="C27" s="9">
        <v>638</v>
      </c>
      <c r="D27" s="9">
        <v>755</v>
      </c>
      <c r="E27" s="9">
        <v>804</v>
      </c>
      <c r="F27" s="9">
        <v>709</v>
      </c>
      <c r="G27" s="9">
        <f>E51</f>
      </c>
    </row>
    <row r="28">
      <c r="A28" t="s" s="5">
        <v>55</v>
      </c>
      <c r="B28" s="8">
        <v>1609.4</v>
      </c>
      <c r="C28" s="8">
        <v>1610.8</v>
      </c>
      <c r="D28" s="8">
        <v>1569.8</v>
      </c>
      <c r="E28" s="8">
        <v>1529.7</v>
      </c>
      <c r="F28" s="8">
        <v>1487.6</v>
      </c>
      <c r="G28" s="8">
        <f>E52</f>
      </c>
      <c r="H28" s="8">
        <f>G28*0.998</f>
      </c>
      <c r="I28" s="8">
        <f>H28*0.998</f>
      </c>
      <c r="J28" s="8">
        <f>I28*0.998</f>
      </c>
      <c r="K28" s="8">
        <f>J28*0.998</f>
      </c>
      <c r="L28" s="8">
        <f>K28*0.998</f>
      </c>
      <c r="M28" t="s" s="6">
        <v>56</v>
      </c>
    </row>
    <row r="29">
      <c r="A29" t="s" s="5">
        <v>57</v>
      </c>
      <c r="B29" s="8">
        <v>3.56</v>
      </c>
      <c r="C29" s="8">
        <v>3.75</v>
      </c>
      <c r="D29" s="8">
        <v>3.23</v>
      </c>
      <c r="E29" s="8">
        <v>3.73</v>
      </c>
      <c r="F29" s="8">
        <v>2.16</v>
      </c>
      <c r="G29" s="7">
        <v>1.52</v>
      </c>
      <c r="H29" s="8">
        <f>H17/H28</f>
      </c>
      <c r="I29" s="8">
        <f>I17/I28</f>
      </c>
      <c r="J29" s="8">
        <f>J17/J28</f>
      </c>
      <c r="K29" s="8">
        <f>K17/K28</f>
      </c>
      <c r="L29" s="8">
        <f>L17/L28</f>
      </c>
    </row>
    <row r="30">
      <c r="A30" t="s" s="5">
        <v>58</v>
      </c>
      <c r="B30" s="9">
        <v>9889</v>
      </c>
      <c r="C30" s="9">
        <v>8574</v>
      </c>
      <c r="D30" s="9">
        <v>7441</v>
      </c>
      <c r="E30" s="9">
        <v>9860</v>
      </c>
      <c r="F30" s="9">
        <v>7464</v>
      </c>
      <c r="G30" s="10">
        <v>6660</v>
      </c>
      <c r="H30" s="14"/>
      <c r="I30" s="14"/>
      <c r="J30" s="14"/>
      <c r="K30" s="14"/>
      <c r="L30" s="14"/>
      <c r="M30" t="s" s="6">
        <v>59</v>
      </c>
    </row>
    <row r="31">
      <c r="A31" t="s" s="5">
        <v>60</v>
      </c>
      <c r="B31" s="9">
        <v>3587</v>
      </c>
      <c r="C31" s="9">
        <v>4423</v>
      </c>
      <c r="D31" s="9">
        <v>3234</v>
      </c>
      <c r="E31" s="9">
        <v>1722</v>
      </c>
      <c r="F31" s="9">
        <v>1687</v>
      </c>
      <c r="G31" s="10">
        <v>1397</v>
      </c>
      <c r="H31" s="14"/>
      <c r="I31" s="14"/>
      <c r="J31" s="14"/>
      <c r="K31" s="14"/>
      <c r="L31" s="14"/>
      <c r="M31" t="s" s="6">
        <v>61</v>
      </c>
    </row>
    <row r="32">
      <c r="A32" t="s" s="5">
        <v>62</v>
      </c>
      <c r="B32" s="9">
        <v>9415</v>
      </c>
      <c r="C32" s="9">
        <v>9430</v>
      </c>
      <c r="D32" s="9">
        <v>8933</v>
      </c>
      <c r="E32" s="9">
        <v>8909</v>
      </c>
      <c r="F32" s="9">
        <v>7966</v>
      </c>
      <c r="G32" s="10">
        <v>8029</v>
      </c>
      <c r="H32" s="14"/>
      <c r="I32" s="14"/>
      <c r="J32" s="14"/>
      <c r="K32" s="14"/>
      <c r="L32" s="14"/>
      <c r="M32" t="s" s="6">
        <v>63</v>
      </c>
    </row>
    <row r="33">
      <c r="A33" t="s" s="5">
        <v>64</v>
      </c>
      <c r="B33" s="9">
        <v>3305</v>
      </c>
      <c r="C33" s="9">
        <v>3227</v>
      </c>
      <c r="D33" s="9">
        <v>3214</v>
      </c>
      <c r="E33" s="9">
        <v>3219</v>
      </c>
      <c r="F33" s="9">
        <v>3052</v>
      </c>
      <c r="G33" s="10">
        <v>3149</v>
      </c>
      <c r="H33" s="14"/>
      <c r="I33" s="14"/>
      <c r="J33" s="14"/>
      <c r="K33" s="14"/>
      <c r="L33" s="14"/>
      <c r="M33" t="s" s="6">
        <v>65</v>
      </c>
    </row>
    <row r="34">
      <c r="A34" t="s" s="5">
        <v>66</v>
      </c>
      <c r="B34" s="9">
        <f>B32-B30-B31</f>
      </c>
      <c r="C34" s="9">
        <f>C32-C30-C31</f>
      </c>
      <c r="D34" s="9">
        <f>D32-D30-D31</f>
      </c>
      <c r="E34" s="9">
        <f>E32-E30-E31</f>
      </c>
      <c r="F34" s="9">
        <f>F32-F30-F31</f>
      </c>
      <c r="G34" s="9">
        <f>G32-G30-G31</f>
      </c>
      <c r="H34" s="14"/>
      <c r="I34" s="14"/>
      <c r="J34" s="14"/>
      <c r="K34" s="14"/>
      <c r="L34" s="14"/>
    </row>
    <row r="35">
      <c r="A35" t="s" s="5">
        <v>67</v>
      </c>
      <c r="B35" s="9">
        <f>B34+B33</f>
      </c>
      <c r="C35" s="9">
        <f>C34+C33</f>
      </c>
      <c r="D35" s="9">
        <f>D34+D33</f>
      </c>
      <c r="E35" s="9">
        <f>E34+E33</f>
      </c>
      <c r="F35" s="9">
        <f>F34+F33</f>
      </c>
      <c r="G35" s="9">
        <f>G34+G33</f>
      </c>
      <c r="H35" s="14"/>
      <c r="I35" s="14"/>
      <c r="J35" s="14"/>
      <c r="K35" s="14"/>
      <c r="L35" s="14"/>
    </row>
    <row r="36">
      <c r="A36" t="s" s="5">
        <v>68</v>
      </c>
      <c r="B36" s="9">
        <v>1638</v>
      </c>
      <c r="C36" s="9">
        <v>1837</v>
      </c>
      <c r="D36" s="9">
        <v>2012</v>
      </c>
      <c r="E36" s="9">
        <v>2169</v>
      </c>
      <c r="F36" s="9">
        <v>2300</v>
      </c>
      <c r="G36" s="14"/>
      <c r="H36" s="14"/>
      <c r="I36" s="14"/>
      <c r="J36" s="14"/>
      <c r="K36" s="14"/>
      <c r="L36" s="14"/>
    </row>
    <row r="37">
      <c r="A37" t="s" s="5">
        <v>69</v>
      </c>
      <c r="B37" s="9">
        <v>608</v>
      </c>
      <c r="C37" s="9">
        <v>4014</v>
      </c>
      <c r="D37" s="9">
        <v>5480</v>
      </c>
      <c r="E37" s="9">
        <v>4250</v>
      </c>
      <c r="F37" s="9">
        <v>2985</v>
      </c>
      <c r="G37" s="14"/>
      <c r="H37" s="14"/>
      <c r="I37" s="14"/>
      <c r="J37" s="14"/>
      <c r="K37" s="14"/>
      <c r="L37" s="14"/>
    </row>
    <row r="38">
      <c r="A38" t="s" s="5">
        <v>70</v>
      </c>
      <c r="B38" s="9">
        <v>6854</v>
      </c>
      <c r="C38" s="9">
        <v>8420</v>
      </c>
      <c r="D38" s="9">
        <v>8454</v>
      </c>
      <c r="E38" s="9">
        <v>7519</v>
      </c>
      <c r="F38" s="9">
        <v>7489</v>
      </c>
      <c r="G38" s="10">
        <v>7487</v>
      </c>
      <c r="H38" s="14"/>
      <c r="I38" s="14"/>
      <c r="J38" s="14"/>
      <c r="K38" s="14"/>
      <c r="L38" s="14"/>
      <c r="M38" t="s" s="6">
        <v>71</v>
      </c>
    </row>
    <row r="39">
      <c r="A39" t="s" s="5">
        <v>72</v>
      </c>
      <c r="B39" s="11">
        <f>B38/B9</f>
      </c>
      <c r="C39" s="11">
        <f>C38/C9</f>
      </c>
      <c r="D39" s="11">
        <f>D38/D9</f>
      </c>
      <c r="E39" s="11">
        <f>E38/E9</f>
      </c>
      <c r="F39" s="11">
        <f>F38/F9</f>
      </c>
      <c r="G39" s="11">
        <f>F38/G9</f>
      </c>
      <c r="H39" s="14"/>
      <c r="I39" s="14"/>
      <c r="J39" s="14"/>
      <c r="K39" s="14"/>
      <c r="L39" s="14"/>
    </row>
    <row r="42">
      <c r="A42" t="s" s="3">
        <v>73</v>
      </c>
    </row>
    <row r="43">
      <c r="A43" t="s" s="4">
        <v>14</v>
      </c>
      <c r="B43" t="s" s="4">
        <v>19</v>
      </c>
      <c r="C43" t="s" s="4">
        <v>74</v>
      </c>
      <c r="D43" t="s" s="4">
        <v>75</v>
      </c>
      <c r="E43" t="s" s="4">
        <v>76</v>
      </c>
      <c r="F43" t="s" s="4">
        <v>77</v>
      </c>
    </row>
    <row r="44">
      <c r="A44" t="s" s="5">
        <v>27</v>
      </c>
      <c r="B44" s="10">
        <v>46309</v>
      </c>
      <c r="C44" s="10">
        <v>35426</v>
      </c>
      <c r="D44" s="10">
        <v>35212</v>
      </c>
      <c r="E44" s="9">
        <f>B44+C44-D44</f>
      </c>
      <c r="F44" t="s" s="6">
        <v>78</v>
      </c>
    </row>
    <row r="45">
      <c r="A45" t="s" s="5">
        <v>30</v>
      </c>
      <c r="B45" s="10">
        <v>19790</v>
      </c>
      <c r="C45" s="10">
        <v>14518</v>
      </c>
      <c r="D45" s="10">
        <v>15321</v>
      </c>
      <c r="E45" s="9">
        <f>B45+C45-D45</f>
      </c>
      <c r="F45" t="s" s="6">
        <v>78</v>
      </c>
    </row>
    <row r="46">
      <c r="A46" t="s" s="5">
        <v>33</v>
      </c>
      <c r="B46" s="10">
        <v>16088</v>
      </c>
      <c r="C46" s="10">
        <v>12032</v>
      </c>
      <c r="D46" s="10">
        <v>11940</v>
      </c>
      <c r="E46" s="9">
        <f>B46+C46-D46</f>
      </c>
      <c r="F46" t="s" s="6">
        <v>78</v>
      </c>
    </row>
    <row r="47">
      <c r="A47" t="s" s="5">
        <v>79</v>
      </c>
      <c r="B47" s="10">
        <v>3702</v>
      </c>
      <c r="C47" s="10">
        <v>2486</v>
      </c>
      <c r="D47" s="10">
        <v>3381</v>
      </c>
      <c r="E47" s="9">
        <f>B47+C47-D47</f>
      </c>
      <c r="F47" t="s" s="6">
        <v>78</v>
      </c>
    </row>
    <row r="48">
      <c r="A48" t="s" s="5">
        <v>44</v>
      </c>
      <c r="B48" s="10">
        <v>3698</v>
      </c>
      <c r="C48" s="10">
        <v>1231</v>
      </c>
      <c r="D48" s="10">
        <v>3235</v>
      </c>
      <c r="E48" s="9">
        <f>B48+C48-D48</f>
      </c>
      <c r="F48" t="s" s="6">
        <v>78</v>
      </c>
    </row>
    <row r="49">
      <c r="A49" t="s" s="5">
        <v>45</v>
      </c>
      <c r="B49" s="10">
        <v>430</v>
      </c>
      <c r="C49" s="10">
        <v>546</v>
      </c>
      <c r="D49" s="10">
        <v>330</v>
      </c>
      <c r="E49" s="9">
        <f>B49+C49-D49</f>
      </c>
      <c r="F49" t="s" s="6">
        <v>78</v>
      </c>
    </row>
    <row r="50">
      <c r="A50" t="s" s="5">
        <v>80</v>
      </c>
      <c r="B50" s="10">
        <v>3268</v>
      </c>
      <c r="C50" s="10">
        <v>685</v>
      </c>
      <c r="D50" s="10">
        <v>2905</v>
      </c>
      <c r="E50" s="9">
        <f>B50+C50-D50</f>
      </c>
      <c r="F50" t="s" s="6">
        <v>78</v>
      </c>
    </row>
    <row r="51">
      <c r="A51" t="s" s="5">
        <v>81</v>
      </c>
      <c r="B51" s="10">
        <v>709</v>
      </c>
      <c r="C51" s="10">
        <v>555</v>
      </c>
      <c r="D51" s="10">
        <v>544</v>
      </c>
      <c r="E51" s="9">
        <f>B51+C51-D51</f>
      </c>
      <c r="F51" t="s" s="6">
        <v>78</v>
      </c>
    </row>
    <row r="52">
      <c r="A52" t="s" s="5">
        <v>82</v>
      </c>
      <c r="B52" s="10">
        <v>1487.6</v>
      </c>
      <c r="C52" s="10">
        <v>1480.4</v>
      </c>
      <c r="D52" s="10">
        <v>1491.0</v>
      </c>
      <c r="E52" s="9">
        <f>B52+C52-D52</f>
      </c>
      <c r="F52" t="s" s="6">
        <v>78</v>
      </c>
    </row>
    <row r="53">
      <c r="A53" t="s" s="5">
        <v>41</v>
      </c>
      <c r="B53" s="10">
        <v>775</v>
      </c>
      <c r="C53" s="10">
        <v>554</v>
      </c>
      <c r="D53" s="10">
        <v>576</v>
      </c>
      <c r="E53" s="9">
        <f>B53+C53-D53</f>
      </c>
      <c r="F53" t="s" s="6">
        <v>78</v>
      </c>
    </row>
    <row r="54">
      <c r="A54" t="s" s="5">
        <v>83</v>
      </c>
      <c r="B54" s="10">
        <v>3219</v>
      </c>
      <c r="C54" s="10">
        <v>2039</v>
      </c>
      <c r="D54" s="10">
        <v>3008</v>
      </c>
      <c r="E54" s="9">
        <f>B54+C54-D54</f>
      </c>
      <c r="F54" t="s" s="6">
        <v>78</v>
      </c>
    </row>
    <row r="57">
      <c r="A57" t="s" s="3">
        <v>84</v>
      </c>
    </row>
    <row r="58">
      <c r="A58" t="s" s="5">
        <v>85</v>
      </c>
      <c r="B58" s="10">
        <v>45.85</v>
      </c>
      <c r="D58" t="s" s="6">
        <v>86</v>
      </c>
    </row>
    <row r="59">
      <c r="A59" t="s" s="5">
        <v>87</v>
      </c>
      <c r="B59" s="7">
        <v>1480.887033</v>
      </c>
      <c r="D59" t="s" s="6">
        <v>86</v>
      </c>
    </row>
    <row r="60">
      <c r="A60" t="s" s="5">
        <v>88</v>
      </c>
      <c r="B60" s="9">
        <f>B58*B59</f>
      </c>
      <c r="D60" t="s" s="6">
        <v>86</v>
      </c>
    </row>
    <row r="61">
      <c r="A61" t="s" s="5">
        <v>58</v>
      </c>
      <c r="B61" s="9">
        <f>G30</f>
      </c>
      <c r="D61" t="s" s="6">
        <v>86</v>
      </c>
    </row>
    <row r="62">
      <c r="A62" t="s" s="5">
        <v>60</v>
      </c>
      <c r="B62" s="9">
        <f>G31</f>
      </c>
      <c r="D62" t="s" s="6">
        <v>86</v>
      </c>
    </row>
    <row r="63">
      <c r="A63" t="s" s="5">
        <v>89</v>
      </c>
      <c r="B63" s="9">
        <f>G32</f>
      </c>
      <c r="D63" t="s" s="6">
        <v>86</v>
      </c>
    </row>
    <row r="64">
      <c r="A64" t="s" s="5">
        <v>64</v>
      </c>
      <c r="B64" s="9">
        <f>G33</f>
      </c>
      <c r="D64" t="s" s="6">
        <v>86</v>
      </c>
    </row>
    <row r="65">
      <c r="A65" t="s" s="5">
        <v>66</v>
      </c>
      <c r="B65" s="9">
        <f>B63-B61-B62</f>
      </c>
      <c r="D65" t="s" s="6">
        <v>86</v>
      </c>
    </row>
    <row r="66">
      <c r="A66" t="s" s="5">
        <v>90</v>
      </c>
      <c r="B66" s="9">
        <f>B60+B65</f>
      </c>
      <c r="D66" t="s" s="6">
        <v>86</v>
      </c>
    </row>
    <row r="67">
      <c r="A67" t="s" s="5">
        <v>91</v>
      </c>
      <c r="B67" s="9">
        <f>B66+B64</f>
      </c>
      <c r="D67" t="s" s="6">
        <v>86</v>
      </c>
    </row>
    <row r="68">
      <c r="A68" t="s" s="5">
        <v>92</v>
      </c>
      <c r="B68" s="9">
        <f>G9</f>
      </c>
      <c r="D68" t="s" s="6">
        <v>86</v>
      </c>
    </row>
    <row r="69">
      <c r="A69" t="s" s="5">
        <v>93</v>
      </c>
      <c r="B69" s="9">
        <f>G14+G18</f>
      </c>
      <c r="D69" t="s" s="6">
        <v>86</v>
      </c>
    </row>
    <row r="70">
      <c r="A70" t="s" s="5">
        <v>94</v>
      </c>
      <c r="B70" s="9">
        <f>G25</f>
      </c>
      <c r="D70" t="s" s="6">
        <v>86</v>
      </c>
    </row>
    <row r="71">
      <c r="A71" t="s" s="5">
        <v>95</v>
      </c>
      <c r="B71" s="13">
        <f>B66/B68</f>
      </c>
      <c r="D71" t="s" s="6">
        <v>86</v>
      </c>
    </row>
    <row r="72">
      <c r="A72" t="s" s="5">
        <v>96</v>
      </c>
      <c r="B72" s="13">
        <f>B66/B69</f>
      </c>
      <c r="D72" t="s" s="6">
        <v>86</v>
      </c>
    </row>
    <row r="73">
      <c r="A73" t="s" s="5">
        <v>97</v>
      </c>
      <c r="B73" s="11">
        <f>B70/B60</f>
      </c>
      <c r="D73" t="s" s="6">
        <v>86</v>
      </c>
    </row>
    <row r="74">
      <c r="A74" t="s" s="5">
        <v>98</v>
      </c>
      <c r="B74" s="10">
        <v>1.64</v>
      </c>
      <c r="D74" t="s" s="6">
        <v>86</v>
      </c>
    </row>
    <row r="75">
      <c r="A75" t="s" s="5">
        <v>99</v>
      </c>
      <c r="B75" s="11">
        <f>B74/B58</f>
      </c>
      <c r="D75" t="s" s="6">
        <v>86</v>
      </c>
    </row>
    <row r="78">
      <c r="A78" t="s" s="3">
        <v>100</v>
      </c>
    </row>
    <row r="79">
      <c r="A79" t="s" s="5">
        <v>101</v>
      </c>
      <c r="B79" s="11">
        <f>'WACC'!$B$16</f>
      </c>
    </row>
    <row r="80">
      <c r="A80" t="s" s="5">
        <v>102</v>
      </c>
      <c r="B80" s="12">
        <v>0.025</v>
      </c>
    </row>
    <row r="81">
      <c r="A81" t="s" s="5">
        <v>103</v>
      </c>
      <c r="B81" s="9">
        <f>SUM(H99:L99)</f>
      </c>
    </row>
    <row r="82">
      <c r="A82" t="s" s="5">
        <v>104</v>
      </c>
      <c r="B82" s="9">
        <f>L101</f>
      </c>
    </row>
    <row r="83">
      <c r="A83" t="s" s="5">
        <v>105</v>
      </c>
      <c r="B83" s="9">
        <f>L102</f>
      </c>
    </row>
    <row r="84">
      <c r="A84" t="s" s="5">
        <v>106</v>
      </c>
      <c r="B84" s="9">
        <f>B81+B83</f>
      </c>
    </row>
    <row r="85">
      <c r="A85" t="s" s="5">
        <v>107</v>
      </c>
      <c r="B85" s="9">
        <f>B65</f>
      </c>
    </row>
    <row r="86">
      <c r="A86" t="s" s="5">
        <v>108</v>
      </c>
      <c r="B86" s="9">
        <f>B84-B85</f>
      </c>
    </row>
    <row r="87">
      <c r="A87" t="s" s="5">
        <v>82</v>
      </c>
      <c r="B87" s="8">
        <f>B59</f>
      </c>
    </row>
    <row r="88">
      <c r="A88" t="s" s="5">
        <v>109</v>
      </c>
      <c r="B88" s="9">
        <f>B86/B87</f>
      </c>
    </row>
    <row r="89">
      <c r="A89" t="s" s="5">
        <v>110</v>
      </c>
      <c r="B89" s="9">
        <f>B58</f>
      </c>
    </row>
    <row r="90">
      <c r="A90" t="s" s="5">
        <v>111</v>
      </c>
      <c r="B90" s="11">
        <f>B88/B89-1</f>
      </c>
    </row>
    <row r="91">
      <c r="A91" t="s" s="5">
        <v>112</v>
      </c>
      <c r="B91" s="11">
        <f>(B88/B89)^(1/5)-1</f>
      </c>
    </row>
    <row r="92">
      <c r="A92" t="s" s="5">
        <v>113</v>
      </c>
      <c r="B92" s="9">
        <f>B66</f>
      </c>
    </row>
    <row r="93">
      <c r="A93" t="s" s="5">
        <v>114</v>
      </c>
      <c r="B93" s="11">
        <f>B84/B92-1</f>
      </c>
    </row>
    <row r="96">
      <c r="H96" t="s" s="4">
        <v>21</v>
      </c>
      <c r="I96" t="s" s="4">
        <v>22</v>
      </c>
      <c r="J96" t="s" s="4">
        <v>23</v>
      </c>
      <c r="K96" t="s" s="4">
        <v>24</v>
      </c>
      <c r="L96" t="s" s="4">
        <v>25</v>
      </c>
    </row>
    <row r="97">
      <c r="A97" t="s" s="5">
        <v>115</v>
      </c>
      <c r="H97" s="9">
        <f>H25</f>
      </c>
      <c r="I97" s="9">
        <f>I25</f>
      </c>
      <c r="J97" s="9">
        <f>J25</f>
      </c>
      <c r="K97" s="9">
        <f>K25</f>
      </c>
      <c r="L97" s="9">
        <f>L25</f>
      </c>
    </row>
    <row r="98">
      <c r="A98" t="s" s="5">
        <v>116</v>
      </c>
      <c r="H98" s="8">
        <f>1/(1+$B$79)^1</f>
      </c>
      <c r="I98" s="8">
        <f>1/(1+$B$79)^2</f>
      </c>
      <c r="J98" s="8">
        <f>1/(1+$B$79)^3</f>
      </c>
      <c r="K98" s="8">
        <f>1/(1+$B$79)^4</f>
      </c>
      <c r="L98" s="8">
        <f>1/(1+$B$79)^5</f>
      </c>
    </row>
    <row r="99">
      <c r="A99" t="s" s="5">
        <v>117</v>
      </c>
      <c r="H99" s="9">
        <f>H97*H98</f>
      </c>
      <c r="I99" s="9">
        <f>I97*I98</f>
      </c>
      <c r="J99" s="9">
        <f>J97*J98</f>
      </c>
      <c r="K99" s="9">
        <f>K97*K98</f>
      </c>
      <c r="L99" s="9">
        <f>L97*L98</f>
      </c>
    </row>
    <row r="100">
      <c r="A100" t="s" s="5">
        <v>118</v>
      </c>
      <c r="H100" s="14"/>
      <c r="I100" s="14"/>
      <c r="J100" s="14"/>
      <c r="K100" s="14"/>
      <c r="L100" s="9">
        <f>L97*(1+$B$80)</f>
      </c>
    </row>
    <row r="101">
      <c r="A101" t="s" s="5">
        <v>104</v>
      </c>
      <c r="H101" s="14"/>
      <c r="I101" s="14"/>
      <c r="J101" s="14"/>
      <c r="K101" s="14"/>
      <c r="L101" s="9">
        <f>L100/($B$79-$B$80)</f>
      </c>
    </row>
    <row r="102">
      <c r="A102" t="s" s="5">
        <v>119</v>
      </c>
      <c r="H102" s="14"/>
      <c r="I102" s="14"/>
      <c r="J102" s="14"/>
      <c r="K102" s="14"/>
      <c r="L102" s="9">
        <f>L101*L98</f>
      </c>
    </row>
    <row r="105">
      <c r="A105" t="s" s="3">
        <v>120</v>
      </c>
    </row>
    <row r="106">
      <c r="A106" t="s" s="4">
        <v>121</v>
      </c>
      <c r="B106" t="s" s="4">
        <v>122</v>
      </c>
      <c r="C106" t="s" s="4">
        <v>123</v>
      </c>
      <c r="D106" t="s" s="4">
        <v>124</v>
      </c>
      <c r="E106" t="s" s="4">
        <v>125</v>
      </c>
      <c r="F106" t="s" s="4">
        <v>126</v>
      </c>
      <c r="G106" t="s" s="4">
        <v>127</v>
      </c>
    </row>
    <row r="107">
      <c r="A107" t="s" s="5">
        <v>128</v>
      </c>
      <c r="B107" s="12">
        <v>0.03</v>
      </c>
      <c r="C107" s="12">
        <v>0.132</v>
      </c>
      <c r="D107" s="9">
        <f>$G$9*(1+B107)^5</f>
      </c>
      <c r="E107" s="9">
        <f>D107*C107*(1-H16)+D107*H19-D107*H22</f>
      </c>
      <c r="F107" s="9">
        <f>B66</f>
      </c>
      <c r="G107" t="s" s="6">
        <v>129</v>
      </c>
    </row>
    <row r="108">
      <c r="A108" t="s" s="5">
        <v>130</v>
      </c>
      <c r="B108" s="12">
        <v>0.066</v>
      </c>
      <c r="C108" s="12">
        <v>0.115</v>
      </c>
      <c r="D108" s="9">
        <f>$G$9*(1+B108)^5</f>
      </c>
      <c r="E108" s="9">
        <f>D108*C108*(1-H16)+D108*H19-D108*H22</f>
      </c>
      <c r="F108" s="9">
        <f>B66</f>
      </c>
      <c r="G108" t="s" s="6">
        <v>131</v>
      </c>
    </row>
    <row r="109">
      <c r="A109" t="s" s="5">
        <v>132</v>
      </c>
      <c r="B109" s="12">
        <v>0.033</v>
      </c>
      <c r="C109" s="12">
        <v>0.13</v>
      </c>
      <c r="D109" s="9">
        <f>$G$9*(1+B109)^5</f>
      </c>
      <c r="E109" s="9">
        <f>D109*C109*(1-H16)+D109*H19-D109*H22</f>
      </c>
      <c r="F109" s="9">
        <f>B66</f>
      </c>
      <c r="G109" t="s" s="6">
        <v>133</v>
      </c>
    </row>
    <row r="110">
      <c r="A110" t="s" s="5">
        <v>134</v>
      </c>
      <c r="B110" s="12">
        <v>0.006</v>
      </c>
      <c r="C110" s="12">
        <v>0.145</v>
      </c>
      <c r="D110" s="9">
        <f>$G$9*(1+B110)^5</f>
      </c>
      <c r="E110" s="9">
        <f>D110*C110*(1-H16)+D110*H19-D110*H22</f>
      </c>
      <c r="F110" s="9">
        <f>B66</f>
      </c>
      <c r="G110" t="s" s="6">
        <v>135</v>
      </c>
    </row>
  </sheetData>
  <pageMargins left="0.5" right="0.5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7"/>
  <sheetViews>
    <sheetView workbookViewId="0">
      <pane xSplit="1" ySplit="4" topLeftCell="B5" activePane="bottomRight" state="frozen"/>
      <selection pane="bottomRight"/>
    </sheetView>
  </sheetViews>
  <cols>
    <col min="1" max="1" width="36" customWidth="1"/>
    <col min="2" max="2" width="16" customWidth="1"/>
    <col min="3" max="3" width="18" customWidth="1"/>
    <col min="4" max="4" width="70" customWidth="1"/>
  </cols>
  <sheetData>
    <row r="1">
      <c r="A1" t="s" s="1">
        <v>136</v>
      </c>
    </row>
    <row r="2">
      <c r="A2" t="s" s="2">
        <v>137</v>
      </c>
    </row>
    <row r="4">
      <c r="A4" t="s" s="4">
        <v>138</v>
      </c>
      <c r="B4" t="s" s="4">
        <v>139</v>
      </c>
      <c r="C4" t="s" s="4">
        <v>140</v>
      </c>
      <c r="D4" t="s" s="4">
        <v>141</v>
      </c>
    </row>
    <row r="5">
      <c r="A5" t="s" s="5">
        <v>142</v>
      </c>
      <c r="B5" s="12">
        <v>0.0445</v>
      </c>
      <c r="C5" t="s" s="6">
        <v>143</v>
      </c>
      <c r="D5" t="s" s="6">
        <v>144</v>
      </c>
    </row>
    <row r="6">
      <c r="A6" t="s" s="5">
        <v>145</v>
      </c>
      <c r="B6" s="12">
        <v>0.05</v>
      </c>
      <c r="C6" t="s" s="6">
        <v>146</v>
      </c>
      <c r="D6" t="s" s="6">
        <v>147</v>
      </c>
    </row>
    <row r="7">
      <c r="A7" t="s" s="5">
        <v>148</v>
      </c>
      <c r="B7" s="10">
        <v>1.12</v>
      </c>
      <c r="C7" t="s" s="6">
        <v>149</v>
      </c>
      <c r="D7" t="s" s="6">
        <v>150</v>
      </c>
    </row>
    <row r="8">
      <c r="A8" t="s" s="5">
        <v>151</v>
      </c>
      <c r="B8" s="11">
        <f>B5+B6*B7</f>
      </c>
      <c r="C8" t="s" s="6">
        <v>152</v>
      </c>
      <c r="D8" t="s" s="6">
        <v>153</v>
      </c>
    </row>
    <row r="9">
      <c r="A9" t="s" s="5">
        <v>154</v>
      </c>
      <c r="B9" s="12">
        <v>0.048</v>
      </c>
      <c r="C9" t="s" s="6">
        <v>155</v>
      </c>
      <c r="D9" t="s" s="6">
        <v>156</v>
      </c>
    </row>
    <row r="10">
      <c r="A10" t="s" s="5">
        <v>157</v>
      </c>
      <c r="B10" s="12">
        <v>0.19</v>
      </c>
      <c r="C10" t="s" s="6">
        <v>158</v>
      </c>
      <c r="D10" t="s" s="6">
        <v>159</v>
      </c>
    </row>
    <row r="11">
      <c r="A11" t="s" s="5">
        <v>160</v>
      </c>
      <c r="B11" s="11">
        <f>B9*(1-B10)</f>
      </c>
      <c r="C11" t="s" s="6">
        <v>161</v>
      </c>
      <c r="D11" t="s" s="6">
        <v>162</v>
      </c>
    </row>
    <row r="12">
      <c r="A12" t="s" s="5">
        <v>163</v>
      </c>
      <c r="B12" s="9">
        <f>'Valuation'!$B$60</f>
      </c>
      <c r="C12" t="s" s="6">
        <v>164</v>
      </c>
      <c r="D12" t="s" s="6">
        <v>165</v>
      </c>
    </row>
    <row r="13">
      <c r="A13" t="s" s="5">
        <v>166</v>
      </c>
      <c r="B13" s="9">
        <f>'Valuation'!$B$63</f>
      </c>
      <c r="C13" t="s" s="6">
        <v>167</v>
      </c>
      <c r="D13" t="s" s="6">
        <v>168</v>
      </c>
    </row>
    <row r="14">
      <c r="A14" t="s" s="5">
        <v>169</v>
      </c>
      <c r="B14" s="11">
        <f>B12/(B12+B13)</f>
      </c>
      <c r="C14" t="s" s="6">
        <v>170</v>
      </c>
      <c r="D14" t="s" s="6">
        <v>171</v>
      </c>
    </row>
    <row r="15">
      <c r="A15" t="s" s="5">
        <v>172</v>
      </c>
      <c r="B15" s="11">
        <f>B13/(B12+B13)</f>
      </c>
      <c r="C15" t="s" s="6">
        <v>173</v>
      </c>
      <c r="D15" t="s" s="6">
        <v>174</v>
      </c>
    </row>
    <row r="16">
      <c r="A16" t="s" s="5">
        <v>175</v>
      </c>
      <c r="B16" s="11">
        <f>B8*B14+B11*B15</f>
      </c>
      <c r="C16" t="s" s="6">
        <v>176</v>
      </c>
      <c r="D16" t="s" s="6">
        <v>177</v>
      </c>
    </row>
    <row r="17">
      <c r="A17" t="s" s="5">
        <v>178</v>
      </c>
      <c r="B17" s="12">
        <v>0.095</v>
      </c>
      <c r="C17" t="s" s="6">
        <v>179</v>
      </c>
      <c r="D17" t="s" s="6">
        <v>180</v>
      </c>
    </row>
    <row r="18">
      <c r="A18" t="s" s="5">
        <v>181</v>
      </c>
      <c r="B18" s="12">
        <v>0.105</v>
      </c>
      <c r="C18" t="s" s="6">
        <v>179</v>
      </c>
      <c r="D18" t="s" s="6">
        <v>182</v>
      </c>
    </row>
    <row r="19">
      <c r="A19" t="s" s="5">
        <v>183</v>
      </c>
      <c r="B19" s="12">
        <v>0.0875</v>
      </c>
      <c r="C19" t="s" s="6">
        <v>179</v>
      </c>
      <c r="D19" t="s" s="6">
        <v>184</v>
      </c>
    </row>
    <row r="23">
      <c r="A23" t="s" s="3">
        <v>185</v>
      </c>
    </row>
    <row r="24">
      <c r="A24" t="s" s="4">
        <v>186</v>
      </c>
      <c r="B24" t="s" s="4">
        <v>139</v>
      </c>
      <c r="C24" t="s" s="4">
        <v>187</v>
      </c>
      <c r="D24" t="s" s="4">
        <v>188</v>
      </c>
    </row>
    <row r="25">
      <c r="A25" t="s" s="5">
        <v>89</v>
      </c>
      <c r="B25" s="9">
        <f>'Valuation'!$B$63</f>
      </c>
      <c r="C25" t="s" s="5">
        <v>189</v>
      </c>
      <c r="D25" t="s" s="6">
        <v>190</v>
      </c>
    </row>
    <row r="26">
      <c r="A26" t="s" s="5">
        <v>191</v>
      </c>
      <c r="B26" s="9">
        <f>'Valuation'!$B$61+'Valuation'!$B$62</f>
      </c>
      <c r="C26" t="s" s="5">
        <v>192</v>
      </c>
      <c r="D26" t="s" s="6">
        <v>193</v>
      </c>
    </row>
    <row r="27">
      <c r="A27" t="s" s="5">
        <v>194</v>
      </c>
      <c r="B27" s="9">
        <f>'Valuation'!$B$64</f>
      </c>
      <c r="C27" t="s" s="5">
        <v>195</v>
      </c>
      <c r="D27" t="s" s="6">
        <v>196</v>
      </c>
    </row>
  </sheetData>
  <pageMargins left="0.5" right="0.5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91"/>
  <sheetViews>
    <sheetView workbookViewId="0">
      <pane xSplit="1" ySplit="3" topLeftCell="B4" activePane="bottomRight" state="frozen"/>
      <selection pane="bottomRight"/>
    </sheetView>
  </sheetViews>
  <cols>
    <col min="1" max="1" width="22" customWidth="1"/>
    <col min="2" max="2" width="12" customWidth="1"/>
    <col min="3" max="3" width="12" customWidth="1"/>
    <col min="4" max="4" width="12" customWidth="1"/>
    <col min="5" max="5" width="12" customWidth="1"/>
    <col min="6" max="6" width="12" customWidth="1"/>
    <col min="7" max="7" width="12" customWidth="1"/>
    <col min="8" max="8" width="13" customWidth="1"/>
    <col min="9" max="9" width="12" customWidth="1"/>
    <col min="10" max="10" width="12" customWidth="1"/>
    <col min="11" max="11" width="12" customWidth="1"/>
    <col min="12" max="12" width="13" customWidth="1"/>
    <col min="13" max="13" width="12" customWidth="1"/>
    <col min="14" max="14" width="13" customWidth="1"/>
    <col min="15" max="15" width="14" customWidth="1"/>
    <col min="16" max="16" width="14" customWidth="1"/>
    <col min="17" max="17" width="12" customWidth="1"/>
    <col min="18" max="18" width="13" customWidth="1"/>
    <col min="19" max="19" width="13" customWidth="1"/>
    <col min="20" max="20" width="55" customWidth="1"/>
  </cols>
  <sheetData>
    <row r="1">
      <c r="A1" t="s" s="1">
        <v>197</v>
      </c>
    </row>
    <row r="2">
      <c r="A2" t="s" s="2">
        <v>198</v>
      </c>
    </row>
    <row r="4">
      <c r="A4" t="s" s="4">
        <v>199</v>
      </c>
      <c r="B4" t="s" s="4">
        <v>200</v>
      </c>
      <c r="C4" t="s" s="4">
        <v>201</v>
      </c>
      <c r="D4" t="s" s="4">
        <v>202</v>
      </c>
      <c r="E4" t="s" s="4">
        <v>203</v>
      </c>
      <c r="F4" t="s" s="4">
        <v>204</v>
      </c>
      <c r="G4" t="s" s="4">
        <v>205</v>
      </c>
      <c r="H4" t="s" s="4">
        <v>123</v>
      </c>
      <c r="I4" t="s" s="4">
        <v>157</v>
      </c>
      <c r="J4" t="s" s="4">
        <v>43</v>
      </c>
      <c r="K4" t="s" s="4">
        <v>47</v>
      </c>
      <c r="L4" t="s" s="4">
        <v>206</v>
      </c>
      <c r="M4" t="s" s="4">
        <v>207</v>
      </c>
      <c r="N4" t="s" s="4">
        <v>102</v>
      </c>
      <c r="O4" t="s" s="4">
        <v>208</v>
      </c>
      <c r="P4" t="s" s="4">
        <v>209</v>
      </c>
      <c r="Q4" t="s" s="4">
        <v>210</v>
      </c>
      <c r="R4" t="s" s="4">
        <v>211</v>
      </c>
      <c r="S4" t="s" s="4">
        <v>111</v>
      </c>
      <c r="T4" t="s" s="4">
        <v>212</v>
      </c>
    </row>
    <row r="5">
      <c r="A5" t="s" s="5">
        <v>213</v>
      </c>
      <c r="B5" s="12">
        <v>-0.02</v>
      </c>
      <c r="C5" s="12">
        <v>0.0</v>
      </c>
      <c r="D5" s="12">
        <v>0.01</v>
      </c>
      <c r="E5" s="12">
        <v>0.02</v>
      </c>
      <c r="F5" s="12">
        <v>0.025</v>
      </c>
      <c r="G5" s="11">
        <f>((1+B5)*(1+C5)*(1+D5)*(1+E5)*(1+F5))^(1/5)-1</f>
      </c>
      <c r="H5" s="12">
        <v>0.07</v>
      </c>
      <c r="I5" s="12">
        <v>0.22</v>
      </c>
      <c r="J5" s="12">
        <v>0.015</v>
      </c>
      <c r="K5" s="12">
        <v>0.016</v>
      </c>
      <c r="L5" s="12">
        <v>0.08</v>
      </c>
      <c r="M5" s="12">
        <v>0.105</v>
      </c>
      <c r="N5" s="12">
        <v>0.015</v>
      </c>
      <c r="O5" s="9">
        <f>B29</f>
      </c>
      <c r="P5" s="9">
        <f>B31</f>
      </c>
      <c r="Q5" s="7">
        <v>1490.0</v>
      </c>
      <c r="R5" s="9">
        <f>B33</f>
      </c>
      <c r="S5" s="11">
        <f>R5/'Valuation'!$B$58-1</f>
      </c>
      <c r="T5" s="11">
        <f>(R5/'Valuation'!$B$58)^(1/5)-1</f>
      </c>
    </row>
    <row r="6">
      <c r="A6" t="s" s="5">
        <v>214</v>
      </c>
      <c r="B6" s="12">
        <v>-0.01</v>
      </c>
      <c r="C6" s="12">
        <v>0.02</v>
      </c>
      <c r="D6" s="12">
        <v>0.04</v>
      </c>
      <c r="E6" s="12">
        <v>0.05</v>
      </c>
      <c r="F6" s="12">
        <v>0.05</v>
      </c>
      <c r="G6" s="11">
        <f>((1+B6)*(1+C6)*(1+D6)*(1+E6)*(1+F6))^(1/5)-1</f>
      </c>
      <c r="H6" s="12">
        <v>0.115</v>
      </c>
      <c r="I6" s="12">
        <v>0.19</v>
      </c>
      <c r="J6" s="12">
        <v>0.016</v>
      </c>
      <c r="K6" s="12">
        <v>0.018</v>
      </c>
      <c r="L6" s="12">
        <v>0.06</v>
      </c>
      <c r="M6" s="12">
        <v>0.095</v>
      </c>
      <c r="N6" s="12">
        <v>0.025</v>
      </c>
      <c r="O6" s="9">
        <f>B53</f>
      </c>
      <c r="P6" s="9">
        <f>B55</f>
      </c>
      <c r="Q6" s="7">
        <v>1480.887033</v>
      </c>
      <c r="R6" s="9">
        <f>B57</f>
      </c>
      <c r="S6" s="11">
        <f>R6/'Valuation'!$B$58-1</f>
      </c>
      <c r="T6" s="11">
        <f>(R6/'Valuation'!$B$58)^(1/5)-1</f>
      </c>
    </row>
    <row r="7">
      <c r="A7" t="s" s="5">
        <v>215</v>
      </c>
      <c r="B7" s="12">
        <v>0.02</v>
      </c>
      <c r="C7" s="12">
        <v>0.05</v>
      </c>
      <c r="D7" s="12">
        <v>0.07</v>
      </c>
      <c r="E7" s="12">
        <v>0.07</v>
      </c>
      <c r="F7" s="12">
        <v>0.06</v>
      </c>
      <c r="G7" s="11">
        <f>((1+B7)*(1+C7)*(1+D7)*(1+E7)*(1+F7))^(1/5)-1</f>
      </c>
      <c r="H7" s="12">
        <v>0.145</v>
      </c>
      <c r="I7" s="12">
        <v>0.18</v>
      </c>
      <c r="J7" s="12">
        <v>0.016</v>
      </c>
      <c r="K7" s="12">
        <v>0.02</v>
      </c>
      <c r="L7" s="12">
        <v>0.05</v>
      </c>
      <c r="M7" s="12">
        <v>0.0875</v>
      </c>
      <c r="N7" s="12">
        <v>0.03</v>
      </c>
      <c r="O7" s="9">
        <f>B77</f>
      </c>
      <c r="P7" s="9">
        <f>B79</f>
      </c>
      <c r="Q7" s="7">
        <v>1460.0</v>
      </c>
      <c r="R7" s="9">
        <f>B81</f>
      </c>
      <c r="S7" s="11">
        <f>R7/'Valuation'!$B$58-1</f>
      </c>
      <c r="T7" s="11">
        <f>(R7/'Valuation'!$B$58)^(1/5)-1</f>
      </c>
    </row>
    <row r="12">
      <c r="A12" t="s" s="3">
        <v>216</v>
      </c>
    </row>
    <row r="13">
      <c r="A13" t="s" s="4">
        <v>217</v>
      </c>
      <c r="B13" t="s" s="4">
        <v>21</v>
      </c>
      <c r="C13" t="s" s="4">
        <v>22</v>
      </c>
      <c r="D13" t="s" s="4">
        <v>23</v>
      </c>
      <c r="E13" t="s" s="4">
        <v>24</v>
      </c>
      <c r="F13" t="s" s="4">
        <v>25</v>
      </c>
    </row>
    <row r="14">
      <c r="A14" t="s" s="5">
        <v>29</v>
      </c>
      <c r="B14" s="11">
        <f>$B$5</f>
      </c>
      <c r="C14" s="11">
        <f>$C$5</f>
      </c>
      <c r="D14" s="11">
        <f>$D$5</f>
      </c>
      <c r="E14" s="11">
        <f>$E$5</f>
      </c>
      <c r="F14" s="11">
        <f>$F$5</f>
      </c>
    </row>
    <row r="15">
      <c r="A15" t="s" s="5">
        <v>27</v>
      </c>
      <c r="B15" s="9">
        <f>'Valuation'!$G$9*(1+B14)</f>
      </c>
      <c r="C15" s="9">
        <f>B15*(1+C14)</f>
      </c>
      <c r="D15" s="9">
        <f>C15*(1+D14)</f>
      </c>
      <c r="E15" s="9">
        <f>D15*(1+E14)</f>
      </c>
      <c r="F15" s="9">
        <f>E15*(1+F14)</f>
      </c>
    </row>
    <row r="16">
      <c r="A16" t="s" s="5">
        <v>37</v>
      </c>
      <c r="B16" s="11">
        <f>'Valuation'!$G$15+($H$5-'Valuation'!$G$15)*1/5</f>
      </c>
      <c r="C16" s="11">
        <f>'Valuation'!$G$15+($H$5-'Valuation'!$G$15)*2/5</f>
      </c>
      <c r="D16" s="11">
        <f>'Valuation'!$G$15+($H$5-'Valuation'!$G$15)*3/5</f>
      </c>
      <c r="E16" s="11">
        <f>'Valuation'!$G$15+($H$5-'Valuation'!$G$15)*4/5</f>
      </c>
      <c r="F16" s="11">
        <f>'Valuation'!$G$15+($H$5-'Valuation'!$G$15)*5/5</f>
      </c>
    </row>
    <row r="17">
      <c r="A17" t="s" s="5">
        <v>79</v>
      </c>
      <c r="B17" s="9">
        <f>B15*B16</f>
      </c>
      <c r="C17" s="9">
        <f>C15*C16</f>
      </c>
      <c r="D17" s="9">
        <f>D15*D16</f>
      </c>
      <c r="E17" s="9">
        <f>E15*E16</f>
      </c>
      <c r="F17" s="9">
        <f>F15*F16</f>
      </c>
    </row>
    <row r="18">
      <c r="A18" t="s" s="5">
        <v>157</v>
      </c>
      <c r="B18" s="11">
        <f>$I$5</f>
      </c>
      <c r="C18" s="11">
        <f>$I$5</f>
      </c>
      <c r="D18" s="11">
        <f>$I$5</f>
      </c>
      <c r="E18" s="11">
        <f>$I$5</f>
      </c>
      <c r="F18" s="11">
        <f>$I$5</f>
      </c>
    </row>
    <row r="19">
      <c r="A19" t="s" s="5">
        <v>40</v>
      </c>
      <c r="B19" s="9">
        <f>B17*(1-B18)</f>
      </c>
      <c r="C19" s="9">
        <f>C17*(1-C18)</f>
      </c>
      <c r="D19" s="9">
        <f>D17*(1-D18)</f>
      </c>
      <c r="E19" s="9">
        <f>E17*(1-E18)</f>
      </c>
      <c r="F19" s="9">
        <f>F17*(1-F18)</f>
      </c>
    </row>
    <row r="20">
      <c r="A20" t="s" s="5">
        <v>41</v>
      </c>
      <c r="B20" s="9">
        <f>B15*$J$5</f>
      </c>
      <c r="C20" s="9">
        <f>C15*$J$5</f>
      </c>
      <c r="D20" s="9">
        <f>D15*$J$5</f>
      </c>
      <c r="E20" s="9">
        <f>E15*$J$5</f>
      </c>
      <c r="F20" s="9">
        <f>F15*$J$5</f>
      </c>
    </row>
    <row r="21">
      <c r="A21" t="s" s="5">
        <v>218</v>
      </c>
      <c r="B21" s="9">
        <f>B15*$K$5</f>
      </c>
      <c r="C21" s="9">
        <f>C15*$K$5</f>
      </c>
      <c r="D21" s="9">
        <f>D15*$K$5</f>
      </c>
      <c r="E21" s="9">
        <f>E15*$K$5</f>
      </c>
      <c r="F21" s="9">
        <f>F15*$K$5</f>
      </c>
    </row>
    <row r="22">
      <c r="A22" t="s" s="5">
        <v>48</v>
      </c>
      <c r="B22" s="9">
        <f>(B15-'Valuation'!$G$9)*$L$5</f>
      </c>
      <c r="C22" s="9">
        <f>(C15-B15)*$L$5</f>
      </c>
      <c r="D22" s="9">
        <f>(D15-C15)*$L$5</f>
      </c>
      <c r="E22" s="9">
        <f>(E15-D15)*$L$5</f>
      </c>
      <c r="F22" s="9">
        <f>(F15-E15)*$L$5</f>
      </c>
    </row>
    <row r="23">
      <c r="A23" t="s" s="5">
        <v>115</v>
      </c>
      <c r="B23" s="9">
        <f>B19+B20-B21-B22</f>
      </c>
      <c r="C23" s="9">
        <f>C19+C20-C21-C22</f>
      </c>
      <c r="D23" s="9">
        <f>D19+D20-D21-D22</f>
      </c>
      <c r="E23" s="9">
        <f>E19+E20-E21-E22</f>
      </c>
      <c r="F23" s="9">
        <f>F19+F20-F21-F22</f>
      </c>
    </row>
    <row r="24">
      <c r="A24" t="s" s="5">
        <v>116</v>
      </c>
      <c r="B24" s="8">
        <f>1/(1+$M$5)^1</f>
      </c>
      <c r="C24" s="8">
        <f>1/(1+$M$5)^2</f>
      </c>
      <c r="D24" s="8">
        <f>1/(1+$M$5)^3</f>
      </c>
      <c r="E24" s="8">
        <f>1/(1+$M$5)^4</f>
      </c>
      <c r="F24" s="8">
        <f>1/(1+$M$5)^5</f>
      </c>
    </row>
    <row r="25">
      <c r="A25" t="s" s="5">
        <v>117</v>
      </c>
      <c r="B25" s="9">
        <f>B23*B24</f>
      </c>
      <c r="C25" s="9">
        <f>C23*C24</f>
      </c>
      <c r="D25" s="9">
        <f>D23*D24</f>
      </c>
      <c r="E25" s="9">
        <f>E23*E24</f>
      </c>
      <c r="F25" s="9">
        <f>F23*F24</f>
      </c>
    </row>
    <row r="26">
      <c r="A26" t="s" s="5">
        <v>118</v>
      </c>
      <c r="B26" s="14"/>
      <c r="C26" s="14"/>
      <c r="D26" s="14"/>
      <c r="E26" s="14"/>
      <c r="F26" s="9">
        <f>F23*(1+$N$5)</f>
      </c>
    </row>
    <row r="27">
      <c r="A27" t="s" s="5">
        <v>104</v>
      </c>
      <c r="B27" s="14"/>
      <c r="C27" s="14"/>
      <c r="D27" s="14"/>
      <c r="E27" s="14"/>
      <c r="F27" s="9">
        <f>F26/($M$5-$N$5)</f>
      </c>
    </row>
    <row r="28">
      <c r="A28" t="s" s="5">
        <v>119</v>
      </c>
      <c r="B28" s="14"/>
      <c r="C28" s="14"/>
      <c r="D28" s="14"/>
      <c r="E28" s="14"/>
      <c r="F28" s="9">
        <f>F27*F24</f>
      </c>
    </row>
    <row r="29">
      <c r="A29" t="s" s="5">
        <v>208</v>
      </c>
      <c r="B29" s="9">
        <f>SUM(B25:F25)+F28</f>
      </c>
    </row>
    <row r="30">
      <c r="A30" t="s" s="5">
        <v>219</v>
      </c>
      <c r="B30" s="9">
        <f>'Valuation'!$B$65</f>
      </c>
    </row>
    <row r="31">
      <c r="A31" t="s" s="5">
        <v>209</v>
      </c>
      <c r="B31" s="9">
        <f>B29-B30</f>
      </c>
    </row>
    <row r="32">
      <c r="A32" t="s" s="5">
        <v>220</v>
      </c>
      <c r="B32" s="8">
        <f>$Q$5</f>
      </c>
    </row>
    <row r="33">
      <c r="A33" t="s" s="5">
        <v>211</v>
      </c>
      <c r="B33" s="9">
        <f>B31/B32</f>
      </c>
    </row>
    <row r="36">
      <c r="A36" t="s" s="3">
        <v>221</v>
      </c>
    </row>
    <row r="37">
      <c r="A37" t="s" s="4">
        <v>217</v>
      </c>
      <c r="B37" t="s" s="4">
        <v>21</v>
      </c>
      <c r="C37" t="s" s="4">
        <v>22</v>
      </c>
      <c r="D37" t="s" s="4">
        <v>23</v>
      </c>
      <c r="E37" t="s" s="4">
        <v>24</v>
      </c>
      <c r="F37" t="s" s="4">
        <v>25</v>
      </c>
    </row>
    <row r="38">
      <c r="A38" t="s" s="5">
        <v>29</v>
      </c>
      <c r="B38" s="11">
        <f>$B$6</f>
      </c>
      <c r="C38" s="11">
        <f>$C$6</f>
      </c>
      <c r="D38" s="11">
        <f>$D$6</f>
      </c>
      <c r="E38" s="11">
        <f>$E$6</f>
      </c>
      <c r="F38" s="11">
        <f>$F$6</f>
      </c>
    </row>
    <row r="39">
      <c r="A39" t="s" s="5">
        <v>27</v>
      </c>
      <c r="B39" s="9">
        <f>'Valuation'!$G$9*(1+B38)</f>
      </c>
      <c r="C39" s="9">
        <f>B39*(1+C38)</f>
      </c>
      <c r="D39" s="9">
        <f>C39*(1+D38)</f>
      </c>
      <c r="E39" s="9">
        <f>D39*(1+E38)</f>
      </c>
      <c r="F39" s="9">
        <f>E39*(1+F38)</f>
      </c>
    </row>
    <row r="40">
      <c r="A40" t="s" s="5">
        <v>37</v>
      </c>
      <c r="B40" s="11">
        <f>'Valuation'!$G$15+($H$6-'Valuation'!$G$15)*1/5</f>
      </c>
      <c r="C40" s="11">
        <f>'Valuation'!$G$15+($H$6-'Valuation'!$G$15)*2/5</f>
      </c>
      <c r="D40" s="11">
        <f>'Valuation'!$G$15+($H$6-'Valuation'!$G$15)*3/5</f>
      </c>
      <c r="E40" s="11">
        <f>'Valuation'!$G$15+($H$6-'Valuation'!$G$15)*4/5</f>
      </c>
      <c r="F40" s="11">
        <f>'Valuation'!$G$15+($H$6-'Valuation'!$G$15)*5/5</f>
      </c>
    </row>
    <row r="41">
      <c r="A41" t="s" s="5">
        <v>79</v>
      </c>
      <c r="B41" s="9">
        <f>B39*B40</f>
      </c>
      <c r="C41" s="9">
        <f>C39*C40</f>
      </c>
      <c r="D41" s="9">
        <f>D39*D40</f>
      </c>
      <c r="E41" s="9">
        <f>E39*E40</f>
      </c>
      <c r="F41" s="9">
        <f>F39*F40</f>
      </c>
    </row>
    <row r="42">
      <c r="A42" t="s" s="5">
        <v>157</v>
      </c>
      <c r="B42" s="11">
        <f>$I$6</f>
      </c>
      <c r="C42" s="11">
        <f>$I$6</f>
      </c>
      <c r="D42" s="11">
        <f>$I$6</f>
      </c>
      <c r="E42" s="11">
        <f>$I$6</f>
      </c>
      <c r="F42" s="11">
        <f>$I$6</f>
      </c>
    </row>
    <row r="43">
      <c r="A43" t="s" s="5">
        <v>40</v>
      </c>
      <c r="B43" s="9">
        <f>B41*(1-B42)</f>
      </c>
      <c r="C43" s="9">
        <f>C41*(1-C42)</f>
      </c>
      <c r="D43" s="9">
        <f>D41*(1-D42)</f>
      </c>
      <c r="E43" s="9">
        <f>E41*(1-E42)</f>
      </c>
      <c r="F43" s="9">
        <f>F41*(1-F42)</f>
      </c>
    </row>
    <row r="44">
      <c r="A44" t="s" s="5">
        <v>41</v>
      </c>
      <c r="B44" s="9">
        <f>B39*$J$6</f>
      </c>
      <c r="C44" s="9">
        <f>C39*$J$6</f>
      </c>
      <c r="D44" s="9">
        <f>D39*$J$6</f>
      </c>
      <c r="E44" s="9">
        <f>E39*$J$6</f>
      </c>
      <c r="F44" s="9">
        <f>F39*$J$6</f>
      </c>
    </row>
    <row r="45">
      <c r="A45" t="s" s="5">
        <v>218</v>
      </c>
      <c r="B45" s="9">
        <f>B39*$K$6</f>
      </c>
      <c r="C45" s="9">
        <f>C39*$K$6</f>
      </c>
      <c r="D45" s="9">
        <f>D39*$K$6</f>
      </c>
      <c r="E45" s="9">
        <f>E39*$K$6</f>
      </c>
      <c r="F45" s="9">
        <f>F39*$K$6</f>
      </c>
    </row>
    <row r="46">
      <c r="A46" t="s" s="5">
        <v>48</v>
      </c>
      <c r="B46" s="9">
        <f>(B39-'Valuation'!$G$9)*$L$6</f>
      </c>
      <c r="C46" s="9">
        <f>(C39-B39)*$L$6</f>
      </c>
      <c r="D46" s="9">
        <f>(D39-C39)*$L$6</f>
      </c>
      <c r="E46" s="9">
        <f>(E39-D39)*$L$6</f>
      </c>
      <c r="F46" s="9">
        <f>(F39-E39)*$L$6</f>
      </c>
    </row>
    <row r="47">
      <c r="A47" t="s" s="5">
        <v>115</v>
      </c>
      <c r="B47" s="9">
        <f>B43+B44-B45-B46</f>
      </c>
      <c r="C47" s="9">
        <f>C43+C44-C45-C46</f>
      </c>
      <c r="D47" s="9">
        <f>D43+D44-D45-D46</f>
      </c>
      <c r="E47" s="9">
        <f>E43+E44-E45-E46</f>
      </c>
      <c r="F47" s="9">
        <f>F43+F44-F45-F46</f>
      </c>
    </row>
    <row r="48">
      <c r="A48" t="s" s="5">
        <v>116</v>
      </c>
      <c r="B48" s="8">
        <f>1/(1+$M$6)^1</f>
      </c>
      <c r="C48" s="8">
        <f>1/(1+$M$6)^2</f>
      </c>
      <c r="D48" s="8">
        <f>1/(1+$M$6)^3</f>
      </c>
      <c r="E48" s="8">
        <f>1/(1+$M$6)^4</f>
      </c>
      <c r="F48" s="8">
        <f>1/(1+$M$6)^5</f>
      </c>
    </row>
    <row r="49">
      <c r="A49" t="s" s="5">
        <v>117</v>
      </c>
      <c r="B49" s="9">
        <f>B47*B48</f>
      </c>
      <c r="C49" s="9">
        <f>C47*C48</f>
      </c>
      <c r="D49" s="9">
        <f>D47*D48</f>
      </c>
      <c r="E49" s="9">
        <f>E47*E48</f>
      </c>
      <c r="F49" s="9">
        <f>F47*F48</f>
      </c>
    </row>
    <row r="50">
      <c r="A50" t="s" s="5">
        <v>118</v>
      </c>
      <c r="B50" s="14"/>
      <c r="C50" s="14"/>
      <c r="D50" s="14"/>
      <c r="E50" s="14"/>
      <c r="F50" s="9">
        <f>F47*(1+$N$6)</f>
      </c>
    </row>
    <row r="51">
      <c r="A51" t="s" s="5">
        <v>104</v>
      </c>
      <c r="B51" s="14"/>
      <c r="C51" s="14"/>
      <c r="D51" s="14"/>
      <c r="E51" s="14"/>
      <c r="F51" s="9">
        <f>F50/($M$6-$N$6)</f>
      </c>
    </row>
    <row r="52">
      <c r="A52" t="s" s="5">
        <v>119</v>
      </c>
      <c r="B52" s="14"/>
      <c r="C52" s="14"/>
      <c r="D52" s="14"/>
      <c r="E52" s="14"/>
      <c r="F52" s="9">
        <f>F51*F48</f>
      </c>
    </row>
    <row r="53">
      <c r="A53" t="s" s="5">
        <v>208</v>
      </c>
      <c r="B53" s="9">
        <f>SUM(B49:F49)+F52</f>
      </c>
    </row>
    <row r="54">
      <c r="A54" t="s" s="5">
        <v>219</v>
      </c>
      <c r="B54" s="9">
        <f>'Valuation'!$B$65</f>
      </c>
    </row>
    <row r="55">
      <c r="A55" t="s" s="5">
        <v>209</v>
      </c>
      <c r="B55" s="9">
        <f>B53-B54</f>
      </c>
    </row>
    <row r="56">
      <c r="A56" t="s" s="5">
        <v>220</v>
      </c>
      <c r="B56" s="8">
        <f>$Q$6</f>
      </c>
    </row>
    <row r="57">
      <c r="A57" t="s" s="5">
        <v>211</v>
      </c>
      <c r="B57" s="9">
        <f>B55/B56</f>
      </c>
    </row>
    <row r="60">
      <c r="A60" t="s" s="3">
        <v>222</v>
      </c>
    </row>
    <row r="61">
      <c r="A61" t="s" s="4">
        <v>217</v>
      </c>
      <c r="B61" t="s" s="4">
        <v>21</v>
      </c>
      <c r="C61" t="s" s="4">
        <v>22</v>
      </c>
      <c r="D61" t="s" s="4">
        <v>23</v>
      </c>
      <c r="E61" t="s" s="4">
        <v>24</v>
      </c>
      <c r="F61" t="s" s="4">
        <v>25</v>
      </c>
    </row>
    <row r="62">
      <c r="A62" t="s" s="5">
        <v>29</v>
      </c>
      <c r="B62" s="11">
        <f>$B$7</f>
      </c>
      <c r="C62" s="11">
        <f>$C$7</f>
      </c>
      <c r="D62" s="11">
        <f>$D$7</f>
      </c>
      <c r="E62" s="11">
        <f>$E$7</f>
      </c>
      <c r="F62" s="11">
        <f>$F$7</f>
      </c>
    </row>
    <row r="63">
      <c r="A63" t="s" s="5">
        <v>27</v>
      </c>
      <c r="B63" s="9">
        <f>'Valuation'!$G$9*(1+B62)</f>
      </c>
      <c r="C63" s="9">
        <f>B63*(1+C62)</f>
      </c>
      <c r="D63" s="9">
        <f>C63*(1+D62)</f>
      </c>
      <c r="E63" s="9">
        <f>D63*(1+E62)</f>
      </c>
      <c r="F63" s="9">
        <f>E63*(1+F62)</f>
      </c>
    </row>
    <row r="64">
      <c r="A64" t="s" s="5">
        <v>37</v>
      </c>
      <c r="B64" s="11">
        <f>'Valuation'!$G$15+($H$7-'Valuation'!$G$15)*1/5</f>
      </c>
      <c r="C64" s="11">
        <f>'Valuation'!$G$15+($H$7-'Valuation'!$G$15)*2/5</f>
      </c>
      <c r="D64" s="11">
        <f>'Valuation'!$G$15+($H$7-'Valuation'!$G$15)*3/5</f>
      </c>
      <c r="E64" s="11">
        <f>'Valuation'!$G$15+($H$7-'Valuation'!$G$15)*4/5</f>
      </c>
      <c r="F64" s="11">
        <f>'Valuation'!$G$15+($H$7-'Valuation'!$G$15)*5/5</f>
      </c>
    </row>
    <row r="65">
      <c r="A65" t="s" s="5">
        <v>79</v>
      </c>
      <c r="B65" s="9">
        <f>B63*B64</f>
      </c>
      <c r="C65" s="9">
        <f>C63*C64</f>
      </c>
      <c r="D65" s="9">
        <f>D63*D64</f>
      </c>
      <c r="E65" s="9">
        <f>E63*E64</f>
      </c>
      <c r="F65" s="9">
        <f>F63*F64</f>
      </c>
    </row>
    <row r="66">
      <c r="A66" t="s" s="5">
        <v>157</v>
      </c>
      <c r="B66" s="11">
        <f>$I$7</f>
      </c>
      <c r="C66" s="11">
        <f>$I$7</f>
      </c>
      <c r="D66" s="11">
        <f>$I$7</f>
      </c>
      <c r="E66" s="11">
        <f>$I$7</f>
      </c>
      <c r="F66" s="11">
        <f>$I$7</f>
      </c>
    </row>
    <row r="67">
      <c r="A67" t="s" s="5">
        <v>40</v>
      </c>
      <c r="B67" s="9">
        <f>B65*(1-B66)</f>
      </c>
      <c r="C67" s="9">
        <f>C65*(1-C66)</f>
      </c>
      <c r="D67" s="9">
        <f>D65*(1-D66)</f>
      </c>
      <c r="E67" s="9">
        <f>E65*(1-E66)</f>
      </c>
      <c r="F67" s="9">
        <f>F65*(1-F66)</f>
      </c>
    </row>
    <row r="68">
      <c r="A68" t="s" s="5">
        <v>41</v>
      </c>
      <c r="B68" s="9">
        <f>B63*$J$7</f>
      </c>
      <c r="C68" s="9">
        <f>C63*$J$7</f>
      </c>
      <c r="D68" s="9">
        <f>D63*$J$7</f>
      </c>
      <c r="E68" s="9">
        <f>E63*$J$7</f>
      </c>
      <c r="F68" s="9">
        <f>F63*$J$7</f>
      </c>
    </row>
    <row r="69">
      <c r="A69" t="s" s="5">
        <v>218</v>
      </c>
      <c r="B69" s="9">
        <f>B63*$K$7</f>
      </c>
      <c r="C69" s="9">
        <f>C63*$K$7</f>
      </c>
      <c r="D69" s="9">
        <f>D63*$K$7</f>
      </c>
      <c r="E69" s="9">
        <f>E63*$K$7</f>
      </c>
      <c r="F69" s="9">
        <f>F63*$K$7</f>
      </c>
    </row>
    <row r="70">
      <c r="A70" t="s" s="5">
        <v>48</v>
      </c>
      <c r="B70" s="9">
        <f>(B63-'Valuation'!$G$9)*$L$7</f>
      </c>
      <c r="C70" s="9">
        <f>(C63-B63)*$L$7</f>
      </c>
      <c r="D70" s="9">
        <f>(D63-C63)*$L$7</f>
      </c>
      <c r="E70" s="9">
        <f>(E63-D63)*$L$7</f>
      </c>
      <c r="F70" s="9">
        <f>(F63-E63)*$L$7</f>
      </c>
    </row>
    <row r="71">
      <c r="A71" t="s" s="5">
        <v>115</v>
      </c>
      <c r="B71" s="9">
        <f>B67+B68-B69-B70</f>
      </c>
      <c r="C71" s="9">
        <f>C67+C68-C69-C70</f>
      </c>
      <c r="D71" s="9">
        <f>D67+D68-D69-D70</f>
      </c>
      <c r="E71" s="9">
        <f>E67+E68-E69-E70</f>
      </c>
      <c r="F71" s="9">
        <f>F67+F68-F69-F70</f>
      </c>
    </row>
    <row r="72">
      <c r="A72" t="s" s="5">
        <v>116</v>
      </c>
      <c r="B72" s="8">
        <f>1/(1+$M$7)^1</f>
      </c>
      <c r="C72" s="8">
        <f>1/(1+$M$7)^2</f>
      </c>
      <c r="D72" s="8">
        <f>1/(1+$M$7)^3</f>
      </c>
      <c r="E72" s="8">
        <f>1/(1+$M$7)^4</f>
      </c>
      <c r="F72" s="8">
        <f>1/(1+$M$7)^5</f>
      </c>
    </row>
    <row r="73">
      <c r="A73" t="s" s="5">
        <v>117</v>
      </c>
      <c r="B73" s="9">
        <f>B71*B72</f>
      </c>
      <c r="C73" s="9">
        <f>C71*C72</f>
      </c>
      <c r="D73" s="9">
        <f>D71*D72</f>
      </c>
      <c r="E73" s="9">
        <f>E71*E72</f>
      </c>
      <c r="F73" s="9">
        <f>F71*F72</f>
      </c>
    </row>
    <row r="74">
      <c r="A74" t="s" s="5">
        <v>118</v>
      </c>
      <c r="B74" s="14"/>
      <c r="C74" s="14"/>
      <c r="D74" s="14"/>
      <c r="E74" s="14"/>
      <c r="F74" s="9">
        <f>F71*(1+$N$7)</f>
      </c>
    </row>
    <row r="75">
      <c r="A75" t="s" s="5">
        <v>104</v>
      </c>
      <c r="B75" s="14"/>
      <c r="C75" s="14"/>
      <c r="D75" s="14"/>
      <c r="E75" s="14"/>
      <c r="F75" s="9">
        <f>F74/($M$7-$N$7)</f>
      </c>
    </row>
    <row r="76">
      <c r="A76" t="s" s="5">
        <v>119</v>
      </c>
      <c r="B76" s="14"/>
      <c r="C76" s="14"/>
      <c r="D76" s="14"/>
      <c r="E76" s="14"/>
      <c r="F76" s="9">
        <f>F75*F72</f>
      </c>
    </row>
    <row r="77">
      <c r="A77" t="s" s="5">
        <v>208</v>
      </c>
      <c r="B77" s="9">
        <f>SUM(B73:F73)+F76</f>
      </c>
    </row>
    <row r="78">
      <c r="A78" t="s" s="5">
        <v>219</v>
      </c>
      <c r="B78" s="9">
        <f>'Valuation'!$B$65</f>
      </c>
    </row>
    <row r="79">
      <c r="A79" t="s" s="5">
        <v>209</v>
      </c>
      <c r="B79" s="9">
        <f>B77-B78</f>
      </c>
    </row>
    <row r="80">
      <c r="A80" t="s" s="5">
        <v>220</v>
      </c>
      <c r="B80" s="8">
        <f>$Q$7</f>
      </c>
    </row>
    <row r="81">
      <c r="A81" t="s" s="5">
        <v>211</v>
      </c>
      <c r="B81" s="9">
        <f>B79/B80</f>
      </c>
    </row>
    <row r="85">
      <c r="A85" t="s" s="3">
        <v>223</v>
      </c>
    </row>
    <row r="86">
      <c r="A86" t="s" s="4">
        <v>224</v>
      </c>
      <c r="B86" s="12">
        <v>0.015</v>
      </c>
      <c r="C86" s="12">
        <v>0.02</v>
      </c>
      <c r="D86" s="12">
        <v>0.025</v>
      </c>
      <c r="E86" s="12">
        <v>0.03</v>
      </c>
      <c r="F86" s="12">
        <v>0.035</v>
      </c>
    </row>
    <row r="87">
      <c r="A87" s="12">
        <v>0.085</v>
      </c>
      <c r="B87" s="9">
        <f>(SUM(B47/(1+$A87)^1,C47/(1+$A87)^2,D47/(1+$A87)^3,E47/(1+$A87)^4,F47/(1+$A87)^5)+F47*(1+B86)/($A87-B86)/(1+$A87)^5-'Valuation'!$B$65)/$Q$6</f>
      </c>
      <c r="C87" s="9">
        <f>(SUM(B47/(1+$A87)^1,C47/(1+$A87)^2,D47/(1+$A87)^3,E47/(1+$A87)^4,F47/(1+$A87)^5)+F47*(1+C86)/($A87-C86)/(1+$A87)^5-'Valuation'!$B$65)/$Q$6</f>
      </c>
      <c r="D87" s="9">
        <f>(SUM(B47/(1+$A87)^1,C47/(1+$A87)^2,D47/(1+$A87)^3,E47/(1+$A87)^4,F47/(1+$A87)^5)+F47*(1+D86)/($A87-D86)/(1+$A87)^5-'Valuation'!$B$65)/$Q$6</f>
      </c>
      <c r="E87" s="9">
        <f>(SUM(B47/(1+$A87)^1,C47/(1+$A87)^2,D47/(1+$A87)^3,E47/(1+$A87)^4,F47/(1+$A87)^5)+F47*(1+E86)/($A87-E86)/(1+$A87)^5-'Valuation'!$B$65)/$Q$6</f>
      </c>
      <c r="F87" s="9">
        <f>(SUM(B47/(1+$A87)^1,C47/(1+$A87)^2,D47/(1+$A87)^3,E47/(1+$A87)^4,F47/(1+$A87)^5)+F47*(1+F86)/($A87-F86)/(1+$A87)^5-'Valuation'!$B$65)/$Q$6</f>
      </c>
    </row>
    <row r="88">
      <c r="A88" s="12">
        <v>0.09</v>
      </c>
      <c r="B88" s="9">
        <f>(SUM(B47/(1+$A88)^1,C47/(1+$A88)^2,D47/(1+$A88)^3,E47/(1+$A88)^4,F47/(1+$A88)^5)+F47*(1+B86)/($A88-B86)/(1+$A88)^5-'Valuation'!$B$65)/$Q$6</f>
      </c>
      <c r="C88" s="9">
        <f>(SUM(B47/(1+$A88)^1,C47/(1+$A88)^2,D47/(1+$A88)^3,E47/(1+$A88)^4,F47/(1+$A88)^5)+F47*(1+C86)/($A88-C86)/(1+$A88)^5-'Valuation'!$B$65)/$Q$6</f>
      </c>
      <c r="D88" s="9">
        <f>(SUM(B47/(1+$A88)^1,C47/(1+$A88)^2,D47/(1+$A88)^3,E47/(1+$A88)^4,F47/(1+$A88)^5)+F47*(1+D86)/($A88-D86)/(1+$A88)^5-'Valuation'!$B$65)/$Q$6</f>
      </c>
      <c r="E88" s="9">
        <f>(SUM(B47/(1+$A88)^1,C47/(1+$A88)^2,D47/(1+$A88)^3,E47/(1+$A88)^4,F47/(1+$A88)^5)+F47*(1+E86)/($A88-E86)/(1+$A88)^5-'Valuation'!$B$65)/$Q$6</f>
      </c>
      <c r="F88" s="9">
        <f>(SUM(B47/(1+$A88)^1,C47/(1+$A88)^2,D47/(1+$A88)^3,E47/(1+$A88)^4,F47/(1+$A88)^5)+F47*(1+F86)/($A88-F86)/(1+$A88)^5-'Valuation'!$B$65)/$Q$6</f>
      </c>
    </row>
    <row r="89">
      <c r="A89" s="12">
        <v>0.095</v>
      </c>
      <c r="B89" s="9">
        <f>(SUM(B47/(1+$A89)^1,C47/(1+$A89)^2,D47/(1+$A89)^3,E47/(1+$A89)^4,F47/(1+$A89)^5)+F47*(1+B86)/($A89-B86)/(1+$A89)^5-'Valuation'!$B$65)/$Q$6</f>
      </c>
      <c r="C89" s="9">
        <f>(SUM(B47/(1+$A89)^1,C47/(1+$A89)^2,D47/(1+$A89)^3,E47/(1+$A89)^4,F47/(1+$A89)^5)+F47*(1+C86)/($A89-C86)/(1+$A89)^5-'Valuation'!$B$65)/$Q$6</f>
      </c>
      <c r="D89" s="9">
        <f>(SUM(B47/(1+$A89)^1,C47/(1+$A89)^2,D47/(1+$A89)^3,E47/(1+$A89)^4,F47/(1+$A89)^5)+F47*(1+D86)/($A89-D86)/(1+$A89)^5-'Valuation'!$B$65)/$Q$6</f>
      </c>
      <c r="E89" s="9">
        <f>(SUM(B47/(1+$A89)^1,C47/(1+$A89)^2,D47/(1+$A89)^3,E47/(1+$A89)^4,F47/(1+$A89)^5)+F47*(1+E86)/($A89-E86)/(1+$A89)^5-'Valuation'!$B$65)/$Q$6</f>
      </c>
      <c r="F89" s="9">
        <f>(SUM(B47/(1+$A89)^1,C47/(1+$A89)^2,D47/(1+$A89)^3,E47/(1+$A89)^4,F47/(1+$A89)^5)+F47*(1+F86)/($A89-F86)/(1+$A89)^5-'Valuation'!$B$65)/$Q$6</f>
      </c>
    </row>
    <row r="90">
      <c r="A90" s="12">
        <v>0.1</v>
      </c>
      <c r="B90" s="9">
        <f>(SUM(B47/(1+$A90)^1,C47/(1+$A90)^2,D47/(1+$A90)^3,E47/(1+$A90)^4,F47/(1+$A90)^5)+F47*(1+B86)/($A90-B86)/(1+$A90)^5-'Valuation'!$B$65)/$Q$6</f>
      </c>
      <c r="C90" s="9">
        <f>(SUM(B47/(1+$A90)^1,C47/(1+$A90)^2,D47/(1+$A90)^3,E47/(1+$A90)^4,F47/(1+$A90)^5)+F47*(1+C86)/($A90-C86)/(1+$A90)^5-'Valuation'!$B$65)/$Q$6</f>
      </c>
      <c r="D90" s="9">
        <f>(SUM(B47/(1+$A90)^1,C47/(1+$A90)^2,D47/(1+$A90)^3,E47/(1+$A90)^4,F47/(1+$A90)^5)+F47*(1+D86)/($A90-D86)/(1+$A90)^5-'Valuation'!$B$65)/$Q$6</f>
      </c>
      <c r="E90" s="9">
        <f>(SUM(B47/(1+$A90)^1,C47/(1+$A90)^2,D47/(1+$A90)^3,E47/(1+$A90)^4,F47/(1+$A90)^5)+F47*(1+E86)/($A90-E86)/(1+$A90)^5-'Valuation'!$B$65)/$Q$6</f>
      </c>
      <c r="F90" s="9">
        <f>(SUM(B47/(1+$A90)^1,C47/(1+$A90)^2,D47/(1+$A90)^3,E47/(1+$A90)^4,F47/(1+$A90)^5)+F47*(1+F86)/($A90-F86)/(1+$A90)^5-'Valuation'!$B$65)/$Q$6</f>
      </c>
    </row>
    <row r="91">
      <c r="A91" s="12">
        <v>0.105</v>
      </c>
      <c r="B91" s="9">
        <f>(SUM(B47/(1+$A91)^1,C47/(1+$A91)^2,D47/(1+$A91)^3,E47/(1+$A91)^4,F47/(1+$A91)^5)+F47*(1+B86)/($A91-B86)/(1+$A91)^5-'Valuation'!$B$65)/$Q$6</f>
      </c>
      <c r="C91" s="9">
        <f>(SUM(B47/(1+$A91)^1,C47/(1+$A91)^2,D47/(1+$A91)^3,E47/(1+$A91)^4,F47/(1+$A91)^5)+F47*(1+C86)/($A91-C86)/(1+$A91)^5-'Valuation'!$B$65)/$Q$6</f>
      </c>
      <c r="D91" s="9">
        <f>(SUM(B47/(1+$A91)^1,C47/(1+$A91)^2,D47/(1+$A91)^3,E47/(1+$A91)^4,F47/(1+$A91)^5)+F47*(1+D86)/($A91-D86)/(1+$A91)^5-'Valuation'!$B$65)/$Q$6</f>
      </c>
      <c r="E91" s="9">
        <f>(SUM(B47/(1+$A91)^1,C47/(1+$A91)^2,D47/(1+$A91)^3,E47/(1+$A91)^4,F47/(1+$A91)^5)+F47*(1+E86)/($A91-E86)/(1+$A91)^5-'Valuation'!$B$65)/$Q$6</f>
      </c>
      <c r="F91" s="9">
        <f>(SUM(B47/(1+$A91)^1,C47/(1+$A91)^2,D47/(1+$A91)^3,E47/(1+$A91)^4,F47/(1+$A91)^5)+F47*(1+F86)/($A91-F86)/(1+$A91)^5-'Valuation'!$B$65)/$Q$6</f>
      </c>
    </row>
  </sheetData>
  <pageMargins left="0.5" right="0.5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25"/>
  <sheetViews>
    <sheetView workbookViewId="0">
      <pane xSplit="1" ySplit="4" topLeftCell="B5" activePane="bottomRight" state="frozen"/>
      <selection pane="bottomRight"/>
    </sheetView>
  </sheetViews>
  <cols>
    <col min="1" max="1" width="28" customWidth="1"/>
    <col min="2" max="2" width="12" customWidth="1"/>
    <col min="3" max="3" width="12" customWidth="1"/>
    <col min="4" max="4" width="12" customWidth="1"/>
    <col min="5" max="5" width="12" customWidth="1"/>
    <col min="6" max="6" width="12" customWidth="1"/>
    <col min="7" max="7" width="12" customWidth="1"/>
    <col min="8" max="8" width="14" customWidth="1"/>
    <col min="9" max="9" width="42" customWidth="1"/>
    <col min="10" max="10" width="42" customWidth="1"/>
    <col min="11" max="11" width="58" customWidth="1"/>
  </cols>
  <sheetData>
    <row r="1">
      <c r="A1" t="s" s="1">
        <v>225</v>
      </c>
    </row>
    <row r="2">
      <c r="A2" t="s" s="2">
        <v>226</v>
      </c>
    </row>
    <row r="4">
      <c r="A4" t="s" s="4">
        <v>227</v>
      </c>
      <c r="B4" t="s" s="4">
        <v>15</v>
      </c>
      <c r="C4" t="s" s="4">
        <v>16</v>
      </c>
      <c r="D4" t="s" s="4">
        <v>17</v>
      </c>
      <c r="E4" t="s" s="4">
        <v>18</v>
      </c>
      <c r="F4" t="s" s="4">
        <v>19</v>
      </c>
      <c r="G4" t="s" s="4">
        <v>228</v>
      </c>
      <c r="H4" t="s" s="4">
        <v>229</v>
      </c>
      <c r="I4" t="s" s="4">
        <v>230</v>
      </c>
      <c r="J4" t="s" s="4">
        <v>231</v>
      </c>
      <c r="K4" t="s" s="4">
        <v>232</v>
      </c>
    </row>
    <row r="5">
      <c r="A5" t="s" s="5">
        <v>27</v>
      </c>
      <c r="B5" s="10">
        <v>44538</v>
      </c>
      <c r="C5" s="10">
        <v>46710</v>
      </c>
      <c r="D5" s="10">
        <v>51217</v>
      </c>
      <c r="E5" s="10">
        <v>51362</v>
      </c>
      <c r="F5" s="10">
        <v>46309</v>
      </c>
      <c r="G5" s="10">
        <v>46523</v>
      </c>
      <c r="H5" t="s" s="5">
        <v>233</v>
      </c>
      <c r="I5" t="s" s="5">
        <v>234</v>
      </c>
      <c r="J5" t="s" s="5">
        <v>235</v>
      </c>
      <c r="K5" t="s" s="5">
        <v>236</v>
      </c>
    </row>
    <row r="6">
      <c r="A6" t="s" s="5">
        <v>30</v>
      </c>
      <c r="B6" s="10">
        <v>19962</v>
      </c>
      <c r="C6" s="10">
        <v>21479</v>
      </c>
      <c r="D6" s="10">
        <v>22292</v>
      </c>
      <c r="E6" s="10">
        <v>22887</v>
      </c>
      <c r="F6" s="10">
        <v>19790</v>
      </c>
      <c r="G6" s="10">
        <v>18987</v>
      </c>
      <c r="H6" t="s" s="5">
        <v>237</v>
      </c>
      <c r="I6" t="s" s="5">
        <v>238</v>
      </c>
      <c r="J6" t="s" s="5">
        <v>239</v>
      </c>
      <c r="K6" t="s" s="5">
        <v>240</v>
      </c>
    </row>
    <row r="7">
      <c r="A7" t="s" s="5">
        <v>32</v>
      </c>
      <c r="B7" t="s" s="7">
        <v>241</v>
      </c>
      <c r="C7" t="s" s="7">
        <v>242</v>
      </c>
      <c r="D7" t="s" s="7">
        <v>243</v>
      </c>
      <c r="E7" t="s" s="7">
        <v>244</v>
      </c>
      <c r="F7" t="s" s="7">
        <v>245</v>
      </c>
      <c r="G7" t="s" s="7">
        <v>246</v>
      </c>
      <c r="H7" t="s" s="5">
        <v>247</v>
      </c>
      <c r="I7" t="s" s="5">
        <v>248</v>
      </c>
      <c r="J7" t="s" s="5">
        <v>249</v>
      </c>
      <c r="K7" t="s" s="5">
        <v>250</v>
      </c>
    </row>
    <row r="8">
      <c r="A8" t="s" s="5">
        <v>35</v>
      </c>
      <c r="B8" s="10">
        <v>6937</v>
      </c>
      <c r="C8" s="10">
        <v>6675</v>
      </c>
      <c r="D8" s="10">
        <v>5915</v>
      </c>
      <c r="E8" s="10">
        <v>6311</v>
      </c>
      <c r="F8" s="10">
        <v>3702</v>
      </c>
      <c r="G8" s="10">
        <v>2807</v>
      </c>
      <c r="H8" t="s" s="5">
        <v>251</v>
      </c>
      <c r="I8" t="s" s="5">
        <v>252</v>
      </c>
      <c r="J8" t="s" s="5">
        <v>253</v>
      </c>
      <c r="K8" t="s" s="5">
        <v>254</v>
      </c>
    </row>
    <row r="9">
      <c r="A9" t="s" s="5">
        <v>83</v>
      </c>
      <c r="B9" s="10">
        <v>5727</v>
      </c>
      <c r="C9" s="10">
        <v>6046</v>
      </c>
      <c r="D9" s="10">
        <v>5070</v>
      </c>
      <c r="E9" s="10">
        <v>5700</v>
      </c>
      <c r="F9" s="10">
        <v>3219</v>
      </c>
      <c r="G9" s="10">
        <v>2250</v>
      </c>
      <c r="H9" t="s" s="5">
        <v>255</v>
      </c>
      <c r="I9" t="s" s="5">
        <v>234</v>
      </c>
      <c r="J9" t="s" s="5">
        <v>256</v>
      </c>
      <c r="K9" t="s" s="5">
        <v>257</v>
      </c>
    </row>
    <row r="10">
      <c r="A10" t="s" s="5">
        <v>44</v>
      </c>
      <c r="B10" s="10">
        <v>6657</v>
      </c>
      <c r="C10" s="10">
        <v>5188</v>
      </c>
      <c r="D10" s="10">
        <v>5841</v>
      </c>
      <c r="E10" s="10">
        <v>7429</v>
      </c>
      <c r="F10" s="10">
        <v>3698</v>
      </c>
      <c r="G10" s="10">
        <v>1694</v>
      </c>
      <c r="H10" t="s" s="5">
        <v>258</v>
      </c>
      <c r="I10" t="s" s="5">
        <v>259</v>
      </c>
      <c r="J10" t="s" s="5">
        <v>260</v>
      </c>
      <c r="K10" t="s" s="5">
        <v>261</v>
      </c>
    </row>
    <row r="11">
      <c r="A11" t="s" s="5">
        <v>45</v>
      </c>
      <c r="B11" s="10">
        <v>695</v>
      </c>
      <c r="C11" s="10">
        <v>758</v>
      </c>
      <c r="D11" s="10">
        <v>969</v>
      </c>
      <c r="E11" s="10">
        <v>812</v>
      </c>
      <c r="F11" s="10">
        <v>430</v>
      </c>
      <c r="G11" s="10">
        <v>646</v>
      </c>
      <c r="H11" t="s" s="5">
        <v>262</v>
      </c>
      <c r="I11" t="s" s="5">
        <v>259</v>
      </c>
      <c r="J11" t="s" s="5">
        <v>260</v>
      </c>
      <c r="K11" t="s" s="5">
        <v>263</v>
      </c>
    </row>
    <row r="12">
      <c r="A12" t="s" s="5">
        <v>80</v>
      </c>
      <c r="B12" s="10">
        <v>5962</v>
      </c>
      <c r="C12" s="10">
        <v>4430</v>
      </c>
      <c r="D12" s="10">
        <v>4872</v>
      </c>
      <c r="E12" s="10">
        <v>6617</v>
      </c>
      <c r="F12" s="10">
        <v>3268</v>
      </c>
      <c r="G12" s="10">
        <v>1048</v>
      </c>
      <c r="H12" t="s" s="5">
        <v>264</v>
      </c>
      <c r="I12" t="s" s="5">
        <v>265</v>
      </c>
      <c r="J12" t="s" s="5">
        <v>266</v>
      </c>
      <c r="K12" t="s" s="5">
        <v>267</v>
      </c>
    </row>
    <row r="13">
      <c r="A13" t="s" s="5">
        <v>54</v>
      </c>
      <c r="B13" s="10">
        <v>611</v>
      </c>
      <c r="C13" s="10">
        <v>638</v>
      </c>
      <c r="D13" s="10">
        <v>755</v>
      </c>
      <c r="E13" s="10">
        <v>804</v>
      </c>
      <c r="F13" s="10">
        <v>709</v>
      </c>
      <c r="G13" s="10">
        <v>720</v>
      </c>
      <c r="H13" t="s" s="5">
        <v>268</v>
      </c>
      <c r="I13" t="s" s="5">
        <v>259</v>
      </c>
      <c r="J13" t="s" s="5">
        <v>269</v>
      </c>
      <c r="K13" t="s" s="5">
        <v>270</v>
      </c>
    </row>
    <row r="14">
      <c r="A14" t="s" s="5">
        <v>55</v>
      </c>
      <c r="B14" s="7">
        <v>1609.4</v>
      </c>
      <c r="C14" s="7">
        <v>1610.8</v>
      </c>
      <c r="D14" s="7">
        <v>1569.8</v>
      </c>
      <c r="E14" s="7">
        <v>1529.7</v>
      </c>
      <c r="F14" s="7">
        <v>1487.6</v>
      </c>
      <c r="G14" s="7">
        <v>1480.4</v>
      </c>
      <c r="H14" t="s" s="5">
        <v>271</v>
      </c>
      <c r="I14" t="s" s="5">
        <v>238</v>
      </c>
      <c r="J14" t="s" s="5">
        <v>272</v>
      </c>
      <c r="K14" t="s" s="5">
        <v>273</v>
      </c>
    </row>
    <row r="15">
      <c r="A15" t="s" s="5">
        <v>57</v>
      </c>
      <c r="B15" s="10">
        <v>3.56</v>
      </c>
      <c r="C15" s="10">
        <v>3.75</v>
      </c>
      <c r="D15" s="10">
        <v>3.23</v>
      </c>
      <c r="E15" s="10">
        <v>3.73</v>
      </c>
      <c r="F15" s="10">
        <v>2.16</v>
      </c>
      <c r="G15" s="10">
        <v>1.52</v>
      </c>
      <c r="H15" t="s" s="5">
        <v>274</v>
      </c>
      <c r="I15" t="s" s="5">
        <v>238</v>
      </c>
      <c r="J15" t="s" s="5">
        <v>275</v>
      </c>
      <c r="K15" t="s" s="5">
        <v>276</v>
      </c>
    </row>
    <row r="16">
      <c r="A16" t="s" s="5">
        <v>58</v>
      </c>
      <c r="B16" s="10">
        <v>9889</v>
      </c>
      <c r="C16" s="10">
        <v>8574</v>
      </c>
      <c r="D16" s="10">
        <v>7441</v>
      </c>
      <c r="E16" s="10">
        <v>9860</v>
      </c>
      <c r="F16" s="10">
        <v>7464</v>
      </c>
      <c r="G16" s="10">
        <v>6660</v>
      </c>
      <c r="H16" t="s" s="5">
        <v>277</v>
      </c>
      <c r="I16" t="s" s="5">
        <v>278</v>
      </c>
      <c r="J16" t="s" s="5">
        <v>279</v>
      </c>
      <c r="K16" t="s" s="5">
        <v>280</v>
      </c>
    </row>
    <row r="17">
      <c r="A17" t="s" s="5">
        <v>60</v>
      </c>
      <c r="B17" s="10">
        <v>3587</v>
      </c>
      <c r="C17" s="10">
        <v>4423</v>
      </c>
      <c r="D17" s="10">
        <v>3234</v>
      </c>
      <c r="E17" s="10">
        <v>1722</v>
      </c>
      <c r="F17" s="10">
        <v>1687</v>
      </c>
      <c r="G17" s="10">
        <v>1397</v>
      </c>
      <c r="H17" t="s" s="5">
        <v>281</v>
      </c>
      <c r="I17" t="s" s="5">
        <v>278</v>
      </c>
      <c r="J17" t="s" s="5">
        <v>282</v>
      </c>
      <c r="K17" t="s" s="5">
        <v>283</v>
      </c>
    </row>
    <row r="18">
      <c r="A18" t="s" s="5">
        <v>89</v>
      </c>
      <c r="B18" s="10">
        <v>9415</v>
      </c>
      <c r="C18" s="10">
        <v>9430</v>
      </c>
      <c r="D18" s="10">
        <v>8933</v>
      </c>
      <c r="E18" s="10">
        <v>8909</v>
      </c>
      <c r="F18" s="10">
        <v>7966</v>
      </c>
      <c r="G18" s="10">
        <v>8029</v>
      </c>
      <c r="H18" t="s" s="5">
        <v>284</v>
      </c>
      <c r="I18" t="s" s="5">
        <v>278</v>
      </c>
      <c r="J18" t="s" s="5">
        <v>279</v>
      </c>
      <c r="K18" t="s" s="5">
        <v>285</v>
      </c>
    </row>
    <row r="19">
      <c r="A19" t="s" s="5">
        <v>194</v>
      </c>
      <c r="B19" s="10">
        <v>3305</v>
      </c>
      <c r="C19" s="10">
        <v>3227</v>
      </c>
      <c r="D19" s="10">
        <v>3214</v>
      </c>
      <c r="E19" s="10">
        <v>3219</v>
      </c>
      <c r="F19" s="10">
        <v>3052</v>
      </c>
      <c r="G19" s="10">
        <v>3149</v>
      </c>
      <c r="H19" t="s" s="5">
        <v>286</v>
      </c>
      <c r="I19" t="s" s="5">
        <v>278</v>
      </c>
      <c r="J19" t="s" s="5">
        <v>287</v>
      </c>
      <c r="K19" t="s" s="5">
        <v>288</v>
      </c>
    </row>
    <row r="20">
      <c r="A20" t="s" s="5">
        <v>70</v>
      </c>
      <c r="B20" s="10">
        <v>6854</v>
      </c>
      <c r="C20" s="10">
        <v>8420</v>
      </c>
      <c r="D20" s="10">
        <v>8454</v>
      </c>
      <c r="E20" s="10">
        <v>7519</v>
      </c>
      <c r="F20" s="10">
        <v>7489</v>
      </c>
      <c r="G20" s="10">
        <v>7487</v>
      </c>
      <c r="H20" t="s" s="5">
        <v>289</v>
      </c>
      <c r="I20" t="s" s="5">
        <v>278</v>
      </c>
      <c r="J20" t="s" s="5">
        <v>290</v>
      </c>
      <c r="K20" t="s" s="5">
        <v>291</v>
      </c>
    </row>
    <row r="21">
      <c r="A21" t="s" s="5">
        <v>68</v>
      </c>
      <c r="B21" s="10">
        <v>1638</v>
      </c>
      <c r="C21" s="10">
        <v>1837</v>
      </c>
      <c r="D21" s="10">
        <v>2012</v>
      </c>
      <c r="E21" s="10">
        <v>2169</v>
      </c>
      <c r="F21" s="10">
        <v>2300</v>
      </c>
      <c r="G21" t="s" s="7">
        <v>217</v>
      </c>
      <c r="H21" t="s" s="5">
        <v>292</v>
      </c>
      <c r="I21" t="s" s="5">
        <v>293</v>
      </c>
      <c r="J21" t="s" s="5">
        <v>294</v>
      </c>
      <c r="K21" t="s" s="5">
        <v>295</v>
      </c>
    </row>
    <row r="22">
      <c r="A22" t="s" s="5">
        <v>69</v>
      </c>
      <c r="B22" s="10">
        <v>608</v>
      </c>
      <c r="C22" s="10">
        <v>4014</v>
      </c>
      <c r="D22" s="10">
        <v>5480</v>
      </c>
      <c r="E22" s="10">
        <v>4250</v>
      </c>
      <c r="F22" s="10">
        <v>2985</v>
      </c>
      <c r="G22" t="s" s="7">
        <v>217</v>
      </c>
      <c r="H22" t="s" s="5">
        <v>296</v>
      </c>
      <c r="I22" t="s" s="5">
        <v>297</v>
      </c>
      <c r="J22" t="s" s="5">
        <v>298</v>
      </c>
      <c r="K22" t="s" s="5">
        <v>299</v>
      </c>
    </row>
    <row r="23">
      <c r="A23" t="s" s="5">
        <v>300</v>
      </c>
      <c r="B23" t="s" s="7">
        <v>217</v>
      </c>
      <c r="C23" t="s" s="7">
        <v>217</v>
      </c>
      <c r="D23" t="s" s="7">
        <v>217</v>
      </c>
      <c r="E23" s="10">
        <v>1282</v>
      </c>
      <c r="F23" s="10">
        <v>1834</v>
      </c>
      <c r="G23" t="s" s="7">
        <v>217</v>
      </c>
      <c r="H23" t="s" s="5">
        <v>217</v>
      </c>
      <c r="I23" t="s" s="5">
        <v>301</v>
      </c>
      <c r="J23" t="s" s="5">
        <v>302</v>
      </c>
      <c r="K23" t="s" s="5">
        <v>303</v>
      </c>
    </row>
    <row r="24">
      <c r="A24" t="s" s="5">
        <v>304</v>
      </c>
      <c r="B24" t="s" s="7">
        <v>217</v>
      </c>
      <c r="C24" t="s" s="7">
        <v>217</v>
      </c>
      <c r="D24" t="s" s="7">
        <v>217</v>
      </c>
      <c r="E24" s="10">
        <v>799</v>
      </c>
      <c r="F24" s="10">
        <v>1277</v>
      </c>
      <c r="G24" t="s" s="7">
        <v>217</v>
      </c>
      <c r="H24" t="s" s="5">
        <v>217</v>
      </c>
      <c r="I24" t="s" s="5">
        <v>301</v>
      </c>
      <c r="J24" t="s" s="5">
        <v>302</v>
      </c>
      <c r="K24" t="s" s="5">
        <v>305</v>
      </c>
    </row>
    <row r="25">
      <c r="A25" t="s" s="5">
        <v>306</v>
      </c>
      <c r="B25" t="s" s="7">
        <v>217</v>
      </c>
      <c r="C25" t="s" s="7">
        <v>217</v>
      </c>
      <c r="D25" t="s" s="7">
        <v>217</v>
      </c>
      <c r="E25" s="10">
        <v>155</v>
      </c>
      <c r="F25" s="10">
        <v>233</v>
      </c>
      <c r="G25" t="s" s="7">
        <v>217</v>
      </c>
      <c r="H25" t="s" s="5">
        <v>217</v>
      </c>
      <c r="I25" t="s" s="5">
        <v>301</v>
      </c>
      <c r="J25" t="s" s="5">
        <v>302</v>
      </c>
      <c r="K25" t="s" s="5">
        <v>307</v>
      </c>
    </row>
  </sheetData>
  <pageMargins left="0.5" right="0.5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xSplit="1" ySplit="4" topLeftCell="B5" activePane="bottomRight" state="frozen"/>
      <selection pane="bottomRight"/>
    </sheetView>
  </sheetViews>
  <cols>
    <col min="1" max="1" width="24" customWidth="1"/>
    <col min="2" max="2" width="68" customWidth="1"/>
    <col min="3" max="3" width="34" customWidth="1"/>
    <col min="4" max="4" width="36" customWidth="1"/>
    <col min="5" max="5" width="30" customWidth="1"/>
  </cols>
  <sheetData>
    <row r="1">
      <c r="A1" t="s" s="1">
        <v>308</v>
      </c>
    </row>
    <row r="2">
      <c r="A2" t="s" s="2">
        <v>309</v>
      </c>
    </row>
    <row r="4">
      <c r="A4" t="s" s="4">
        <v>310</v>
      </c>
      <c r="B4" t="s" s="4">
        <v>311</v>
      </c>
      <c r="C4" t="s" s="4">
        <v>312</v>
      </c>
      <c r="D4" t="s" s="4">
        <v>313</v>
      </c>
      <c r="E4" t="s" s="4">
        <v>314</v>
      </c>
    </row>
    <row r="5">
      <c r="A5" t="s" s="5">
        <v>315</v>
      </c>
      <c r="B5" t="s" s="6">
        <v>316</v>
      </c>
      <c r="C5" t="s" s="5">
        <v>317</v>
      </c>
      <c r="D5" t="s" s="5">
        <v>318</v>
      </c>
      <c r="E5" t="s" s="5">
        <v>319</v>
      </c>
    </row>
    <row r="6">
      <c r="A6" t="s" s="5">
        <v>320</v>
      </c>
      <c r="B6" t="s" s="6">
        <v>321</v>
      </c>
      <c r="C6" t="s" s="5">
        <v>322</v>
      </c>
      <c r="D6" t="s" s="5">
        <v>323</v>
      </c>
      <c r="E6" t="s" s="5">
        <v>324</v>
      </c>
    </row>
    <row r="7">
      <c r="A7" t="s" s="5">
        <v>32</v>
      </c>
      <c r="B7" t="s" s="6">
        <v>325</v>
      </c>
      <c r="C7" t="s" s="5">
        <v>326</v>
      </c>
      <c r="D7" t="s" s="5">
        <v>327</v>
      </c>
      <c r="E7" t="s" s="5">
        <v>328</v>
      </c>
    </row>
    <row r="8">
      <c r="A8" t="s" s="5">
        <v>329</v>
      </c>
      <c r="B8" t="s" s="6">
        <v>330</v>
      </c>
      <c r="C8" t="s" s="5">
        <v>331</v>
      </c>
      <c r="D8" t="s" s="5">
        <v>332</v>
      </c>
      <c r="E8" t="s" s="5">
        <v>333</v>
      </c>
    </row>
    <row r="9">
      <c r="A9" t="s" s="5">
        <v>334</v>
      </c>
      <c r="B9" t="s" s="6">
        <v>335</v>
      </c>
      <c r="C9" t="s" s="5">
        <v>336</v>
      </c>
      <c r="D9" t="s" s="5">
        <v>337</v>
      </c>
      <c r="E9" t="s" s="5">
        <v>338</v>
      </c>
    </row>
    <row r="10">
      <c r="A10" t="s" s="5">
        <v>339</v>
      </c>
      <c r="B10" t="s" s="6">
        <v>340</v>
      </c>
      <c r="C10" t="s" s="5">
        <v>341</v>
      </c>
      <c r="D10" t="s" s="5">
        <v>342</v>
      </c>
      <c r="E10" t="s" s="5">
        <v>343</v>
      </c>
    </row>
    <row r="11">
      <c r="A11" t="s" s="5">
        <v>344</v>
      </c>
      <c r="B11" t="s" s="6">
        <v>345</v>
      </c>
      <c r="C11" t="s" s="5">
        <v>346</v>
      </c>
      <c r="D11" t="s" s="5">
        <v>347</v>
      </c>
      <c r="E11" t="s" s="5">
        <v>348</v>
      </c>
    </row>
    <row r="12">
      <c r="A12" t="s" s="5">
        <v>349</v>
      </c>
      <c r="B12" t="s" s="6">
        <v>350</v>
      </c>
      <c r="C12" t="s" s="5">
        <v>351</v>
      </c>
      <c r="D12" t="s" s="5">
        <v>352</v>
      </c>
      <c r="E12" t="s" s="5">
        <v>353</v>
      </c>
    </row>
    <row r="13">
      <c r="A13" t="s" s="5">
        <v>354</v>
      </c>
      <c r="B13" t="s" s="6">
        <v>355</v>
      </c>
      <c r="C13" t="s" s="5">
        <v>356</v>
      </c>
      <c r="D13" t="s" s="5">
        <v>357</v>
      </c>
      <c r="E13" t="s" s="5">
        <v>358</v>
      </c>
    </row>
    <row r="14">
      <c r="A14" t="s" s="5">
        <v>359</v>
      </c>
      <c r="B14" t="s" s="6">
        <v>360</v>
      </c>
      <c r="C14" t="s" s="5">
        <v>361</v>
      </c>
      <c r="D14" t="s" s="5">
        <v>362</v>
      </c>
      <c r="E14" t="s" s="5">
        <v>363</v>
      </c>
    </row>
    <row r="15">
      <c r="A15" t="s" s="5">
        <v>364</v>
      </c>
      <c r="B15" t="s" s="6">
        <v>365</v>
      </c>
      <c r="C15" t="s" s="5">
        <v>366</v>
      </c>
      <c r="D15" t="s" s="5">
        <v>367</v>
      </c>
      <c r="E15" t="s" s="5">
        <v>368</v>
      </c>
    </row>
    <row r="16">
      <c r="A16" t="s" s="5">
        <v>369</v>
      </c>
      <c r="B16" t="s" s="6">
        <v>370</v>
      </c>
      <c r="C16" t="s" s="5">
        <v>371</v>
      </c>
      <c r="D16" t="s" s="5">
        <v>372</v>
      </c>
      <c r="E16" t="s" s="5">
        <v>373</v>
      </c>
    </row>
  </sheetData>
  <pageMargins left="0.5" right="0.5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xSplit="1" ySplit="4" topLeftCell="B5" activePane="bottomRight" state="frozen"/>
      <selection pane="bottomRight"/>
    </sheetView>
  </sheetViews>
  <cols>
    <col min="1" max="1" width="34" customWidth="1"/>
    <col min="2" max="2" width="96" customWidth="1"/>
    <col min="3" max="3" width="42" customWidth="1"/>
    <col min="4" max="4" width="18" customWidth="1"/>
    <col min="5" max="5" width="60" customWidth="1"/>
  </cols>
  <sheetData>
    <row r="1">
      <c r="A1" t="s" s="1">
        <v>374</v>
      </c>
    </row>
    <row r="2">
      <c r="A2" t="s" s="2">
        <v>375</v>
      </c>
    </row>
    <row r="4">
      <c r="A4" t="s" s="4">
        <v>314</v>
      </c>
      <c r="B4" t="s" s="4">
        <v>376</v>
      </c>
      <c r="C4" t="s" s="4">
        <v>377</v>
      </c>
      <c r="D4" t="s" s="4">
        <v>378</v>
      </c>
      <c r="E4" t="s" s="4">
        <v>141</v>
      </c>
    </row>
    <row r="5">
      <c r="A5" t="s" s="5">
        <v>379</v>
      </c>
      <c r="B5" t="s" s="6">
        <v>380</v>
      </c>
      <c r="C5" t="s" s="5">
        <v>381</v>
      </c>
      <c r="D5" t="s" s="5">
        <v>7</v>
      </c>
      <c r="E5" t="s" s="5">
        <v>382</v>
      </c>
    </row>
    <row r="6">
      <c r="A6" t="s" s="5">
        <v>383</v>
      </c>
      <c r="B6" t="s" s="6">
        <v>384</v>
      </c>
      <c r="C6" t="s" s="5">
        <v>385</v>
      </c>
      <c r="D6" t="s" s="5">
        <v>7</v>
      </c>
      <c r="E6" t="s" s="5">
        <v>386</v>
      </c>
    </row>
    <row r="7">
      <c r="A7" t="s" s="5">
        <v>387</v>
      </c>
      <c r="B7" t="s" s="6">
        <v>388</v>
      </c>
      <c r="C7" t="s" s="5">
        <v>389</v>
      </c>
      <c r="D7" t="s" s="5">
        <v>7</v>
      </c>
      <c r="E7" t="s" s="5">
        <v>390</v>
      </c>
    </row>
    <row r="8">
      <c r="A8" t="s" s="5">
        <v>391</v>
      </c>
      <c r="B8" t="s" s="6">
        <v>392</v>
      </c>
      <c r="C8" t="s" s="5">
        <v>393</v>
      </c>
      <c r="D8" t="s" s="5">
        <v>7</v>
      </c>
      <c r="E8" t="s" s="5">
        <v>394</v>
      </c>
    </row>
    <row r="9">
      <c r="A9" t="s" s="5">
        <v>395</v>
      </c>
      <c r="B9" t="s" s="6">
        <v>396</v>
      </c>
      <c r="C9" t="s" s="5">
        <v>397</v>
      </c>
      <c r="D9" t="s" s="5">
        <v>398</v>
      </c>
      <c r="E9" t="s" s="5">
        <v>399</v>
      </c>
    </row>
    <row r="10">
      <c r="A10" t="s" s="5">
        <v>400</v>
      </c>
      <c r="B10" t="s" s="6">
        <v>401</v>
      </c>
      <c r="C10" t="s" s="5">
        <v>402</v>
      </c>
      <c r="D10" t="s" s="5">
        <v>7</v>
      </c>
      <c r="E10" t="s" s="5">
        <v>403</v>
      </c>
    </row>
    <row r="11">
      <c r="A11" t="s" s="5">
        <v>404</v>
      </c>
      <c r="B11" t="s" s="6">
        <v>405</v>
      </c>
      <c r="C11" t="s" s="5">
        <v>406</v>
      </c>
      <c r="D11" t="s" s="5">
        <v>7</v>
      </c>
      <c r="E11" t="s" s="5">
        <v>407</v>
      </c>
    </row>
    <row r="12">
      <c r="A12" t="s" s="5">
        <v>408</v>
      </c>
      <c r="B12" t="s" s="6">
        <v>409</v>
      </c>
      <c r="C12" t="s" s="5">
        <v>410</v>
      </c>
      <c r="D12" t="s" s="5">
        <v>411</v>
      </c>
      <c r="E12" t="s" s="5">
        <v>412</v>
      </c>
    </row>
    <row r="13">
      <c r="A13" t="s" s="5">
        <v>413</v>
      </c>
      <c r="B13" t="s" s="6">
        <v>414</v>
      </c>
      <c r="C13" t="s" s="5">
        <v>415</v>
      </c>
      <c r="D13" t="s" s="5">
        <v>7</v>
      </c>
      <c r="E13" t="s" s="5">
        <v>416</v>
      </c>
    </row>
    <row r="14">
      <c r="A14" t="s" s="5">
        <v>417</v>
      </c>
      <c r="B14" t="s" s="6">
        <v>418</v>
      </c>
      <c r="C14" t="s" s="5">
        <v>419</v>
      </c>
      <c r="D14" t="s" s="5">
        <v>7</v>
      </c>
      <c r="E14" t="s" s="5">
        <v>420</v>
      </c>
    </row>
  </sheetData>
  <pageMargins left="0.5" right="0.5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 OOXML Builder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Valuation</vt:lpstr>
      <vt:lpstr>WACC</vt:lpstr>
      <vt:lpstr>Scenarios</vt:lpstr>
      <vt:lpstr>Actuals Source Audit</vt:lpstr>
      <vt:lpstr>Questions</vt:lpstr>
      <vt:lpstr>Sources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NIKE, Inc. DCF Model</dc:title>
  <dc:creator>Codex</dc:creator>
  <cp:lastModifiedBy>Codex</cp:lastModifiedBy>
  <dcterms:created xsi:type="dcterms:W3CDTF">2026-06-01T15:26:15Z</dcterms:created>
  <dcterms:modified xsi:type="dcterms:W3CDTF">2026-06-01T15:26:15Z</dcterms:modified>
</cp:coreProperties>
</file>