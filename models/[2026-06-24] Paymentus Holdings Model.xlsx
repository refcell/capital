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/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65" customWidth="1" min="3" max="3"/>
  </cols>
  <sheetData>
    <row r="1">
      <c r="A1" s="1" t="inlineStr">
        <is>
          <t>Paymentus Holdings, Inc. (PAY) — Valuation Model</t>
        </is>
      </c>
    </row>
    <row r="2">
      <c r="A2" s="2" t="inlineStr">
        <is>
          <t>Company:</t>
        </is>
      </c>
      <c r="B2" t="inlineStr">
        <is>
          <t>Paymentus Holdings, Inc.</t>
        </is>
      </c>
    </row>
    <row r="3">
      <c r="A3" s="2" t="inlineStr">
        <is>
          <t>Ticker:</t>
        </is>
      </c>
      <c r="B3" t="inlineStr">
        <is>
          <t>NYSE: PAY</t>
        </is>
      </c>
    </row>
    <row r="4">
      <c r="A4" s="2" t="inlineStr">
        <is>
          <t>Sector:</t>
        </is>
      </c>
      <c r="B4" t="inlineStr">
        <is>
          <t>Technology — Fintech / Payments Infrastructure</t>
        </is>
      </c>
    </row>
    <row r="5">
      <c r="A5" s="2" t="inlineStr">
        <is>
          <t>Date:</t>
        </is>
      </c>
      <c r="B5" t="inlineStr">
        <is>
          <t>2026-06-24</t>
        </is>
      </c>
    </row>
    <row r="6">
      <c r="A6" s="2" t="inlineStr">
        <is>
          <t>Source Date:</t>
        </is>
      </c>
      <c r="B6" t="inlineStr">
        <is>
          <t>2026-06-23 close / pre-market 2026-06-24</t>
        </is>
      </c>
    </row>
    <row r="7">
      <c r="A7" s="2" t="inlineStr">
        <is>
          <t>Price:</t>
        </is>
      </c>
      <c r="B7" t="inlineStr">
        <is>
          <t>$20.56</t>
        </is>
      </c>
    </row>
    <row r="8">
      <c r="A8" s="2" t="inlineStr">
        <is>
          <t>Shares Outstanding:</t>
        </is>
      </c>
      <c r="B8" t="inlineStr">
        <is>
          <t>125.79M (implied, per Yahoo Finance Statistics)</t>
        </is>
      </c>
    </row>
    <row r="9">
      <c r="A9" s="2" t="inlineStr">
        <is>
          <t>Market Cap:</t>
        </is>
      </c>
      <c r="B9" t="inlineStr">
        <is>
          <t>$2.59B</t>
        </is>
      </c>
    </row>
    <row r="10">
      <c r="A10" s="2" t="inlineStr">
        <is>
          <t>Enterprise Value:</t>
        </is>
      </c>
      <c r="B10" t="inlineStr">
        <is>
          <t>$2.25B (MC $2.59B - Cash $324.5M + Debt $6.9M)</t>
        </is>
      </c>
    </row>
    <row r="11">
      <c r="A11" s="2" t="inlineStr">
        <is>
          <t>Primary Lens:</t>
        </is>
      </c>
      <c r="B11" t="inlineStr">
        <is>
          <t>Forward P/E + EV/EBITDA; DCF scenarios with WACC</t>
        </is>
      </c>
    </row>
    <row r="12">
      <c r="A12" s="2" t="inlineStr">
        <is>
          <t>Stance:</t>
        </is>
      </c>
      <c r="B12" t="inlineStr">
        <is>
          <t>Watch — strong cash flow, clean balance sheet, but valuation at a premium to near-term earnings growth</t>
        </is>
      </c>
    </row>
    <row r="14">
      <c r="A14" s="2" t="inlineStr">
        <is>
          <t>Valuation Metric</t>
        </is>
      </c>
      <c r="B14" s="2" t="inlineStr">
        <is>
          <t>Value</t>
        </is>
      </c>
      <c r="C14" s="2" t="inlineStr">
        <is>
          <t>Comment</t>
        </is>
      </c>
    </row>
    <row r="15">
      <c r="A15" t="inlineStr">
        <is>
          <t>Trailing P/E</t>
        </is>
      </c>
      <c r="B15" t="inlineStr">
        <is>
          <t>36.1x</t>
        </is>
      </c>
      <c r="C15" t="inlineStr">
        <is>
          <t>TTM EPS $0.57; stock declined 40% from 52W high of $39.38</t>
        </is>
      </c>
    </row>
    <row r="16">
      <c r="A16" t="inlineStr">
        <is>
          <t>Forward P/E (est.)</t>
        </is>
      </c>
      <c r="B16" t="inlineStr">
        <is>
          <t>24.8x</t>
        </is>
      </c>
      <c r="C16" t="inlineStr">
        <is>
          <t>Based on FY2026 EPS consensus $0.83 (non-GAAP/normalized)</t>
        </is>
      </c>
    </row>
    <row r="17">
      <c r="A17" t="inlineStr">
        <is>
          <t>P/S (TTM)</t>
        </is>
      </c>
      <c r="B17" t="inlineStr">
        <is>
          <t>2.0x</t>
        </is>
      </c>
      <c r="C17" t="inlineStr">
        <is>
          <t>Revenue $1.28B TTM, declining from peak ~4.4x</t>
        </is>
      </c>
    </row>
    <row r="18">
      <c r="A18" t="inlineStr">
        <is>
          <t>P/FCF (TTM)</t>
        </is>
      </c>
      <c r="B18" t="inlineStr">
        <is>
          <t>2.5x</t>
        </is>
      </c>
      <c r="C18" t="inlineStr">
        <is>
          <t>FCF $104.8M TTM on strong OCF $142M minus capex $37.3M</t>
        </is>
      </c>
    </row>
    <row r="19">
      <c r="A19" t="inlineStr">
        <is>
          <t>EV/EBITDA (TTM)</t>
        </is>
      </c>
      <c r="B19" t="inlineStr">
        <is>
          <t>17.8x</t>
        </is>
      </c>
      <c r="C19" t="inlineStr">
        <is>
          <t>Enterprise value $2.25B; EBITDA ~$92.8M TTM (Yahoo Finance)</t>
        </is>
      </c>
    </row>
    <row r="20">
      <c r="A20" t="inlineStr">
        <is>
          <t>P/B</t>
        </is>
      </c>
      <c r="B20" t="inlineStr">
        <is>
          <t>4.4x</t>
        </is>
      </c>
      <c r="C20" t="inlineStr">
        <is>
          <t>Book value $345.7M tangible; total equity $560.4M</t>
        </is>
      </c>
    </row>
    <row r="21">
      <c r="A21" t="inlineStr">
        <is>
          <t>EV/Sales</t>
        </is>
      </c>
      <c r="B21" t="inlineStr">
        <is>
          <t>1.8x</t>
        </is>
      </c>
      <c r="C21" t="inlineStr">
        <is>
          <t>EV $2.25B / TTM revenue $1.28B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</cols>
  <sheetData>
    <row r="1">
      <c r="A1" s="3" t="inlineStr">
        <is>
          <t>WACC Calculation — CAPM Method</t>
        </is>
      </c>
    </row>
    <row r="2">
      <c r="A2" s="4" t="inlineStr">
        <is>
          <t>Component</t>
        </is>
      </c>
      <c r="B2" s="4" t="inlineStr">
        <is>
          <t>Value</t>
        </is>
      </c>
      <c r="C2" s="4" t="inlineStr">
        <is>
          <t>Source / Notes</t>
        </is>
      </c>
    </row>
    <row r="3">
      <c r="A3" s="5" t="inlineStr">
        <is>
          <t>Risk-Free Rate (10Y US)</t>
        </is>
      </c>
      <c r="B3" s="5" t="inlineStr">
        <is>
          <t>4.48%</t>
        </is>
      </c>
      <c r="C3" s="5" t="inlineStr">
        <is>
          <t>CNBC US10Y, 2026-06-23, yield 4.479%</t>
        </is>
      </c>
    </row>
    <row r="4">
      <c r="A4" s="5" t="inlineStr">
        <is>
          <t>Beta (5Y Monthly)</t>
        </is>
      </c>
      <c r="B4" s="5" t="inlineStr">
        <is>
          <t>1.31</t>
        </is>
      </c>
      <c r="C4" s="5" t="inlineStr">
        <is>
          <t>Yahoo Finance Statistics</t>
        </is>
      </c>
    </row>
    <row r="5">
      <c r="A5" s="5" t="inlineStr">
        <is>
          <t>Equity Risk Premium</t>
        </is>
      </c>
      <c r="B5" s="5" t="inlineStr">
        <is>
          <t>5.00%</t>
        </is>
      </c>
      <c r="C5" s="5" t="inlineStr">
        <is>
          <t>Standard assumption</t>
        </is>
      </c>
    </row>
    <row r="6">
      <c r="A6" s="5" t="inlineStr">
        <is>
          <t>Cost of Equity (Rf + Beta*ERP)</t>
        </is>
      </c>
      <c r="B6" s="5" t="inlineStr">
        <is>
          <t>11.02%</t>
        </is>
      </c>
      <c r="C6" s="5">
        <f> 4.48% + 1.31 * 5.00%</f>
        <v/>
      </c>
    </row>
    <row r="7">
      <c r="A7" s="5" t="inlineStr">
        <is>
          <t>Market Cap</t>
        </is>
      </c>
      <c r="B7" s="5" t="inlineStr">
        <is>
          <t>$2,586M</t>
        </is>
      </c>
      <c r="C7" s="5" t="inlineStr">
        <is>
          <t>Yahoo Finance, 2026-06-23</t>
        </is>
      </c>
    </row>
    <row r="8">
      <c r="A8" s="5" t="inlineStr">
        <is>
          <t>Total Debt (capital leases)</t>
        </is>
      </c>
      <c r="B8" s="5" t="inlineStr">
        <is>
          <t>$6.9M</t>
        </is>
      </c>
      <c r="C8" s="5" t="inlineStr">
        <is>
          <t>Yahoo Finance Balance Sheet, FY2025</t>
        </is>
      </c>
    </row>
    <row r="9">
      <c r="A9" s="5" t="inlineStr">
        <is>
          <t>Total Capitalization (E+D)</t>
        </is>
      </c>
      <c r="B9" s="5" t="inlineStr">
        <is>
          <t>$2,593M</t>
        </is>
      </c>
      <c r="C9" s="5" t="inlineStr">
        <is>
          <t>MC + Debt</t>
        </is>
      </c>
    </row>
    <row r="10">
      <c r="A10" s="5" t="inlineStr">
        <is>
          <t>Equity Weight</t>
        </is>
      </c>
      <c r="B10" s="5" t="inlineStr">
        <is>
          <t>99.74%</t>
        </is>
      </c>
      <c r="C10" s="5">
        <f> 2586 / 2593</f>
        <v/>
      </c>
    </row>
    <row r="11">
      <c r="A11" s="5" t="inlineStr">
        <is>
          <t>Debt Weight</t>
        </is>
      </c>
      <c r="B11" s="5" t="inlineStr">
        <is>
          <t>0.26%</t>
        </is>
      </c>
      <c r="C11" s="5">
        <f> 6.9 / 2593</f>
        <v/>
      </c>
    </row>
    <row r="12">
      <c r="A12" s="5" t="inlineStr">
        <is>
          <t>Cost of Debt (pre-tax)</t>
        </is>
      </c>
      <c r="B12" s="5" t="inlineStr">
        <is>
          <t>5.00%</t>
        </is>
      </c>
      <c r="C12" s="5" t="inlineStr">
        <is>
          <t>Estimated; minimal debt, near-risk-free for lease obligations</t>
        </is>
      </c>
    </row>
    <row r="13">
      <c r="A13" s="5" t="inlineStr">
        <is>
          <t>Effective Tax Rate</t>
        </is>
      </c>
      <c r="B13" s="5" t="inlineStr">
        <is>
          <t>22.17%</t>
        </is>
      </c>
      <c r="C13" s="5" t="inlineStr">
        <is>
          <t>TTM tax provision $22.6M / pretax income $96.6M</t>
        </is>
      </c>
    </row>
    <row r="14">
      <c r="A14" s="5" t="inlineStr">
        <is>
          <t>After-Tax Cost of Debt</t>
        </is>
      </c>
      <c r="B14" s="5" t="inlineStr">
        <is>
          <t>3.89%</t>
        </is>
      </c>
      <c r="C14" s="5">
        <f> 5.00% * (1 - 22.17%)</f>
        <v/>
      </c>
    </row>
    <row r="15">
      <c r="A15" s="6" t="inlineStr"/>
      <c r="B15" s="6" t="inlineStr"/>
      <c r="C15" s="6" t="inlineStr"/>
    </row>
    <row r="16">
      <c r="A16" t="inlineStr">
        <is>
          <t>WACC</t>
        </is>
      </c>
      <c r="B16" t="inlineStr">
        <is>
          <t>11.01%</t>
        </is>
      </c>
      <c r="C16">
        <f> 0.9974 * 11.02% + 0.0026 * 3.89% (debt weight negligible)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Bear / Base / Bull Scenario Analysis — 5-Year Projections (WACC: 11.01%)</t>
        </is>
      </c>
    </row>
    <row r="2">
      <c r="A2" s="4" t="inlineStr">
        <is>
          <t>Scenario</t>
        </is>
      </c>
      <c r="B2" s="4" t="inlineStr">
        <is>
          <t>Revenue CAGR (5Y)</t>
        </is>
      </c>
      <c r="C2" s="4" t="inlineStr">
        <is>
          <t>Terminal Revenue ($M)</t>
        </is>
      </c>
      <c r="D2" s="4" t="inlineStr">
        <is>
          <t>Adjusted FCF Margin</t>
        </is>
      </c>
      <c r="E2" s="4" t="inlineStr">
        <is>
          <t>Terminal FCF ($M)</t>
        </is>
      </c>
      <c r="F2" s="4" t="inlineStr">
        <is>
          <t>Exit FCF Multiple</t>
        </is>
      </c>
      <c r="G2" s="4" t="inlineStr">
        <is>
          <t>Implied EV ($M)</t>
        </is>
      </c>
      <c r="H2" s="4" t="inlineStr">
        <is>
          <t>Less Net Debt Adj.</t>
        </is>
      </c>
      <c r="I2" s="4" t="inlineStr">
        <is>
          <t>Shares (M)</t>
        </is>
      </c>
      <c r="J2" s="4" t="inlineStr">
        <is>
          <t>Target Price</t>
        </is>
      </c>
      <c r="K2" s="4" t="inlineStr">
        <is>
          <t>Upside (%)</t>
        </is>
      </c>
      <c r="L2" s="4" t="inlineStr">
        <is>
          <t>Weight</t>
        </is>
      </c>
      <c r="M2" s="4" t="inlineStr">
        <is>
          <t>Weighted Value/Share</t>
        </is>
      </c>
    </row>
    <row r="3">
      <c r="A3" s="7" t="inlineStr">
        <is>
          <t>Bear</t>
        </is>
      </c>
      <c r="B3" s="7" t="n">
        <v>0.1</v>
      </c>
      <c r="C3" s="7" t="n">
        <v>1795</v>
      </c>
      <c r="D3" s="7" t="n">
        <v>0.1</v>
      </c>
      <c r="E3" s="7" t="n">
        <v>116.7</v>
      </c>
      <c r="F3" s="7" t="n">
        <v>10</v>
      </c>
      <c r="G3" s="7" t="n">
        <v>1167</v>
      </c>
      <c r="H3" s="7" t="n">
        <v>-332.2</v>
      </c>
      <c r="I3" s="7" t="n">
        <v>125.79</v>
      </c>
      <c r="J3" s="7" t="n">
        <v>11.92</v>
      </c>
      <c r="K3" s="7" t="n">
        <v>-42.2</v>
      </c>
      <c r="L3" s="7" t="n">
        <v>0.2</v>
      </c>
      <c r="M3" s="7" t="n">
        <v>2.38</v>
      </c>
    </row>
    <row r="4">
      <c r="A4" s="8" t="inlineStr">
        <is>
          <t>Base</t>
        </is>
      </c>
      <c r="B4" s="8" t="n">
        <v>0.1</v>
      </c>
      <c r="C4" s="8" t="n">
        <v>1971</v>
      </c>
      <c r="D4" s="8" t="n">
        <v>0.1</v>
      </c>
      <c r="E4" s="8" t="n">
        <v>147.8</v>
      </c>
      <c r="F4" s="8" t="n">
        <v>12</v>
      </c>
      <c r="G4" s="8" t="n">
        <v>1774</v>
      </c>
      <c r="H4" s="8" t="n">
        <v>-332.2</v>
      </c>
      <c r="I4" s="8" t="n">
        <v>125.79</v>
      </c>
      <c r="J4" s="8" t="n">
        <v>16.74</v>
      </c>
      <c r="K4" s="8" t="n">
        <v>-18.6</v>
      </c>
      <c r="L4" s="8" t="n">
        <v>0.5</v>
      </c>
      <c r="M4" s="8" t="n">
        <v>8.369999999999999</v>
      </c>
    </row>
    <row r="5">
      <c r="A5" s="9" t="inlineStr">
        <is>
          <t>Bull</t>
        </is>
      </c>
      <c r="B5" s="9" t="n">
        <v>0.1</v>
      </c>
      <c r="C5" s="9" t="n">
        <v>2476</v>
      </c>
      <c r="D5" s="9" t="n">
        <v>0.1</v>
      </c>
      <c r="E5" s="9" t="n">
        <v>210.5</v>
      </c>
      <c r="F5" s="9" t="n">
        <v>15</v>
      </c>
      <c r="G5" s="9" t="n">
        <v>3157</v>
      </c>
      <c r="H5" s="9" t="n">
        <v>-332.2</v>
      </c>
      <c r="I5" s="9" t="n">
        <v>125.79</v>
      </c>
      <c r="J5" s="9" t="n">
        <v>27.74</v>
      </c>
      <c r="K5" s="9" t="n">
        <v>35</v>
      </c>
      <c r="L5" s="9" t="n">
        <v>0.3</v>
      </c>
      <c r="M5" s="9" t="n">
        <v>8.32</v>
      </c>
    </row>
    <row r="7">
      <c r="A7" s="2" t="inlineStr">
        <is>
          <t>Probability-Weighted Fair Value</t>
        </is>
      </c>
      <c r="M7" s="2" t="inlineStr">
        <is>
          <t>$19.08</t>
        </is>
      </c>
    </row>
    <row r="8">
      <c r="A8" s="2" t="inlineStr">
        <is>
          <t>Weighted Upside from $20.56</t>
        </is>
      </c>
      <c r="M8" s="2" t="inlineStr">
        <is>
          <t>-7.2%</t>
        </is>
      </c>
    </row>
    <row r="9">
      <c r="A9" s="2" t="inlineStr">
        <is>
          <t>Current Price</t>
        </is>
      </c>
      <c r="M9" s="2" t="inlineStr">
        <is>
          <t>$20.56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  <col width="15" customWidth="1" min="4" max="4"/>
    <col width="50" customWidth="1" min="5" max="5"/>
  </cols>
  <sheetData>
    <row r="1">
      <c r="A1" s="3" t="inlineStr">
        <is>
          <t>Data Source Audit — Every Data Point Traced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Source URL</t>
        </is>
      </c>
      <c r="D2" s="4" t="inlineStr">
        <is>
          <t>Date Accessed</t>
        </is>
      </c>
      <c r="E2" s="4" t="inlineStr">
        <is>
          <t>Notes</t>
        </is>
      </c>
    </row>
    <row r="3">
      <c r="A3" s="5" t="inlineStr">
        <is>
          <t>Stock Price</t>
        </is>
      </c>
      <c r="B3" s="5" t="inlineStr">
        <is>
          <t>$20.56</t>
        </is>
      </c>
      <c r="C3" s="5" t="inlineStr">
        <is>
          <t>finance.yahoo.com/quote/PAY/</t>
        </is>
      </c>
      <c r="D3" s="5" t="inlineStr">
        <is>
          <t>2026-06-23</t>
        </is>
      </c>
      <c r="E3" s="5" t="inlineStr">
        <is>
          <t>Close at 4:00 PM EDT; pre-market $20.72</t>
        </is>
      </c>
    </row>
    <row r="4">
      <c r="A4" s="5" t="inlineStr">
        <is>
          <t>Market Cap</t>
        </is>
      </c>
      <c r="B4" s="5" t="inlineStr">
        <is>
          <t>$2.59B</t>
        </is>
      </c>
      <c r="C4" s="5" t="inlineStr">
        <is>
          <t>Yahoo Finance Statistics</t>
        </is>
      </c>
      <c r="D4" s="5" t="inlineStr">
        <is>
          <t>2026-06-23</t>
        </is>
      </c>
      <c r="E4" s="5" t="inlineStr">
        <is>
          <t>As reported; shares 125.79M implied</t>
        </is>
      </c>
    </row>
    <row r="5">
      <c r="A5" s="5" t="inlineStr">
        <is>
          <t>Enterprise Value</t>
        </is>
      </c>
      <c r="B5" s="5" t="inlineStr">
        <is>
          <t>$2.25B</t>
        </is>
      </c>
      <c r="C5" s="5" t="inlineStr">
        <is>
          <t>Yahoo Finance Statistics</t>
        </is>
      </c>
      <c r="D5" s="5" t="inlineStr">
        <is>
          <t>2026-06-23</t>
        </is>
      </c>
      <c r="E5" s="5" t="inlineStr">
        <is>
          <t>MC $2.59B less net cash ~$332M</t>
        </is>
      </c>
    </row>
    <row r="6">
      <c r="A6" s="5" t="inlineStr">
        <is>
          <t>Shares Outstanding</t>
        </is>
      </c>
      <c r="B6" s="5" t="inlineStr">
        <is>
          <t>125.79M</t>
        </is>
      </c>
      <c r="C6" s="5" t="inlineStr">
        <is>
          <t>Yahoo Finance Statistics</t>
        </is>
      </c>
      <c r="D6" s="5" t="inlineStr">
        <is>
          <t>2026-06-23</t>
        </is>
      </c>
      <c r="E6" s="5" t="inlineStr">
        <is>
          <t>Implied shares outstanding (incl. convertible subsidiary equity)</t>
        </is>
      </c>
    </row>
    <row r="7">
      <c r="A7" s="5" t="inlineStr">
        <is>
          <t>Revenue TTM</t>
        </is>
      </c>
      <c r="B7" s="5" t="inlineStr">
        <is>
          <t>$1,279.7M</t>
        </is>
      </c>
      <c r="C7" s="5" t="inlineStr">
        <is>
          <t>Yahoo Finance /PAY/financials/</t>
        </is>
      </c>
      <c r="D7" s="5" t="inlineStr">
        <is>
          <t>2026-06-24</t>
        </is>
      </c>
      <c r="E7" s="5" t="inlineStr">
        <is>
          <t>TTM annual income statement</t>
        </is>
      </c>
    </row>
    <row r="8">
      <c r="A8" s="5" t="inlineStr">
        <is>
          <t>Revenue FY2025</t>
        </is>
      </c>
      <c r="B8" s="5" t="inlineStr">
        <is>
          <t>$1,196.5M</t>
        </is>
      </c>
      <c r="C8" s="5" t="inlineStr">
        <is>
          <t>Yahoo Finance /PAY/financials/</t>
        </is>
      </c>
      <c r="D8" s="5" t="inlineStr">
        <is>
          <t>2026-06-24</t>
        </is>
      </c>
      <c r="E8" s="5" t="inlineStr">
        <is>
          <t>FY2025 annual</t>
        </is>
      </c>
    </row>
    <row r="9">
      <c r="A9" s="5" t="inlineStr">
        <is>
          <t>Revenue FY2024</t>
        </is>
      </c>
      <c r="B9" s="5" t="inlineStr">
        <is>
          <t>$871.7M</t>
        </is>
      </c>
      <c r="C9" s="5" t="inlineStr">
        <is>
          <t>Yahoo Finance /PAY/financials/</t>
        </is>
      </c>
      <c r="D9" s="5" t="inlineStr">
        <is>
          <t>2026-06-24</t>
        </is>
      </c>
      <c r="E9" s="5" t="inlineStr">
        <is>
          <t>FY2024 annual</t>
        </is>
      </c>
    </row>
    <row r="10">
      <c r="A10" s="5" t="inlineStr">
        <is>
          <t>Gross Profit FY2025</t>
        </is>
      </c>
      <c r="B10" s="5" t="inlineStr">
        <is>
          <t>$296.3M</t>
        </is>
      </c>
      <c r="C10" s="5" t="inlineStr">
        <is>
          <t>Yahoo Finance /PAY/financials/</t>
        </is>
      </c>
      <c r="D10" s="5" t="inlineStr">
        <is>
          <t>2026-06-24</t>
        </is>
      </c>
      <c r="E10" s="5" t="inlineStr">
        <is>
          <t>Gross margin ~24.8%</t>
        </is>
      </c>
    </row>
    <row r="11">
      <c r="A11" s="5" t="inlineStr">
        <is>
          <t>Op Income FY2025</t>
        </is>
      </c>
      <c r="B11" s="5" t="inlineStr">
        <is>
          <t>$75.5M</t>
        </is>
      </c>
      <c r="C11" s="5" t="inlineStr">
        <is>
          <t>Yahoo Finance /PAY/financials/</t>
        </is>
      </c>
      <c r="D11" s="5" t="inlineStr">
        <is>
          <t>2026-06-24</t>
        </is>
      </c>
      <c r="E11" s="5" t="inlineStr">
        <is>
          <t>Operating margin ~6.3%</t>
        </is>
      </c>
    </row>
    <row r="12">
      <c r="A12" s="5" t="inlineStr">
        <is>
          <t>Net Income FY2025</t>
        </is>
      </c>
      <c r="B12" s="5" t="inlineStr">
        <is>
          <t>$66.9M</t>
        </is>
      </c>
      <c r="C12" s="5" t="inlineStr">
        <is>
          <t>Yahoo Finance /PAY/financials/</t>
        </is>
      </c>
      <c r="D12" s="5" t="inlineStr">
        <is>
          <t>2026-06-24</t>
        </is>
      </c>
      <c r="E12" s="5" t="inlineStr">
        <is>
          <t>Diluted EPS $0.52</t>
        </is>
      </c>
    </row>
    <row r="13">
      <c r="A13" s="5" t="inlineStr">
        <is>
          <t>EBITDA FY2025</t>
        </is>
      </c>
      <c r="B13" s="5" t="inlineStr">
        <is>
          <t>$116.6M</t>
        </is>
      </c>
      <c r="C13" s="5" t="inlineStr">
        <is>
          <t>Yahoo Finance /PAY/financials/</t>
        </is>
      </c>
      <c r="D13" s="5" t="inlineStr">
        <is>
          <t>2026-06-24</t>
        </is>
      </c>
      <c r="E13" s="5" t="inlineStr">
        <is>
          <t>From income statement</t>
        </is>
      </c>
    </row>
    <row r="14">
      <c r="A14" s="5" t="inlineStr">
        <is>
          <t>Cash Flow TTM</t>
        </is>
      </c>
      <c r="B14" s="5" t="inlineStr">
        <is>
          <t>$142.1M OCF</t>
        </is>
      </c>
      <c r="C14" s="5" t="inlineStr">
        <is>
          <t>Yahoo Finance /PAY/cash-flow/</t>
        </is>
      </c>
      <c r="D14" s="5" t="inlineStr">
        <is>
          <t>2026-06-24</t>
        </is>
      </c>
      <c r="E14" s="5" t="inlineStr">
        <is>
          <t>Operating cash flow TTM</t>
        </is>
      </c>
    </row>
    <row r="15">
      <c r="A15" s="5" t="inlineStr">
        <is>
          <t>Capex TTM</t>
        </is>
      </c>
      <c r="B15" s="5" t="inlineStr">
        <is>
          <t>$37.3M</t>
        </is>
      </c>
      <c r="C15" s="5" t="inlineStr">
        <is>
          <t>Yahoo Finance /PAY/cash-flow/</t>
        </is>
      </c>
      <c r="D15" s="5" t="inlineStr">
        <is>
          <t>2026-06-24</t>
        </is>
      </c>
      <c r="E15" s="5" t="inlineStr">
        <is>
          <t>Capital expenditure TTM</t>
        </is>
      </c>
    </row>
    <row r="16">
      <c r="A16" s="5" t="inlineStr">
        <is>
          <t>FCF TTM</t>
        </is>
      </c>
      <c r="B16" s="5" t="inlineStr">
        <is>
          <t>$104.8M</t>
        </is>
      </c>
      <c r="C16" s="5" t="inlineStr">
        <is>
          <t>Yahoo Finance /PAY/cash-flow/</t>
        </is>
      </c>
      <c r="D16" s="5" t="inlineStr">
        <is>
          <t>2026-06-24</t>
        </is>
      </c>
      <c r="E16" s="5" t="inlineStr">
        <is>
          <t>Operating CF $142.1M less Capex $37.3M</t>
        </is>
      </c>
    </row>
    <row r="17">
      <c r="A17" s="5" t="inlineStr">
        <is>
          <t>Total Assets FY2025</t>
        </is>
      </c>
      <c r="B17" s="5" t="inlineStr">
        <is>
          <t>$576.2M</t>
        </is>
      </c>
      <c r="C17" s="5" t="inlineStr">
        <is>
          <t>Yahoo Finance /PAY/balance-sheet/</t>
        </is>
      </c>
      <c r="D17" s="5" t="inlineStr">
        <is>
          <t>2026-06-24</t>
        </is>
      </c>
      <c r="E17" s="5" t="inlineStr">
        <is>
          <t>Balance sheet annual</t>
        </is>
      </c>
    </row>
    <row r="18">
      <c r="A18" s="5" t="inlineStr">
        <is>
          <t>Total Debt FY2025</t>
        </is>
      </c>
      <c r="B18" s="5" t="inlineStr">
        <is>
          <t>$6.9M</t>
        </is>
      </c>
      <c r="C18" s="5" t="inlineStr">
        <is>
          <t>Yahoo Finance /PAY/balance-sheet/</t>
        </is>
      </c>
      <c r="D18" s="5" t="inlineStr">
        <is>
          <t>2026-06-24</t>
        </is>
      </c>
      <c r="E18" s="5" t="inlineStr">
        <is>
          <t>Capital lease obligations, declining</t>
        </is>
      </c>
    </row>
    <row r="19">
      <c r="A19" s="5" t="inlineStr">
        <is>
          <t>Total Equity FY2025</t>
        </is>
      </c>
      <c r="B19" s="5" t="inlineStr">
        <is>
          <t>$560.4M</t>
        </is>
      </c>
      <c r="C19" s="5" t="inlineStr">
        <is>
          <t>Yahoo Finance /PAY/balance-sheet/</t>
        </is>
      </c>
      <c r="D19" s="5" t="inlineStr">
        <is>
          <t>2026-06-24</t>
        </is>
      </c>
      <c r="E19" s="5" t="inlineStr">
        <is>
          <t>Book value per share $4.64</t>
        </is>
      </c>
    </row>
    <row r="20">
      <c r="A20" s="5" t="inlineStr">
        <is>
          <t>Beta (5Y)</t>
        </is>
      </c>
      <c r="B20" s="5" t="inlineStr">
        <is>
          <t>1.31</t>
        </is>
      </c>
      <c r="C20" s="5" t="inlineStr">
        <is>
          <t>Yahoo Finance Statistics</t>
        </is>
      </c>
      <c r="D20" s="5" t="inlineStr">
        <is>
          <t>2026-06-23</t>
        </is>
      </c>
      <c r="E20" s="5" t="inlineStr">
        <is>
          <t>5-year monthly beta</t>
        </is>
      </c>
    </row>
    <row r="21">
      <c r="A21" s="5" t="inlineStr">
        <is>
          <t>52W High/Low</t>
        </is>
      </c>
      <c r="B21" s="5" t="inlineStr">
        <is>
          <t>$39.38 / $20.11</t>
        </is>
      </c>
      <c r="C21" s="5" t="inlineStr">
        <is>
          <t>Yahoo Finance Statistics</t>
        </is>
      </c>
      <c r="D21" s="5" t="inlineStr">
        <is>
          <t>2026-06-23</t>
        </is>
      </c>
      <c r="E21" s="5" t="inlineStr">
        <is>
          <t>Near 52W low on current day</t>
        </is>
      </c>
    </row>
    <row r="22">
      <c r="A22" s="5" t="inlineStr">
        <is>
          <t>Trailing P/E</t>
        </is>
      </c>
      <c r="B22" s="5" t="inlineStr">
        <is>
          <t>36.1x</t>
        </is>
      </c>
      <c r="C22" s="5" t="inlineStr">
        <is>
          <t>Yahoo Finance Statistics</t>
        </is>
      </c>
      <c r="D22" s="5" t="inlineStr">
        <is>
          <t>2026-06-23</t>
        </is>
      </c>
      <c r="E22" s="5" t="inlineStr">
        <is>
          <t>TTM EPS $0.57</t>
        </is>
      </c>
    </row>
    <row r="23">
      <c r="A23" s="5" t="inlineStr">
        <is>
          <t>P/B Ratio</t>
        </is>
      </c>
      <c r="B23" s="5" t="inlineStr">
        <is>
          <t>4.4x</t>
        </is>
      </c>
      <c r="C23" s="5" t="inlineStr">
        <is>
          <t>Yahoo Finance Statistics</t>
        </is>
      </c>
      <c r="D23" s="5" t="inlineStr">
        <is>
          <t>2026-06-23</t>
        </is>
      </c>
      <c r="E23" s="5" t="inlineStr">
        <is>
          <t>Per share basis</t>
        </is>
      </c>
    </row>
    <row r="24">
      <c r="A24" s="5" t="inlineStr">
        <is>
          <t>FY2026 Rev Estimate</t>
        </is>
      </c>
      <c r="B24" s="5" t="inlineStr">
        <is>
          <t>$1.43B</t>
        </is>
      </c>
      <c r="C24" s="5" t="inlineStr">
        <is>
          <t>Yahoo Finance /PAY/analysis/</t>
        </is>
      </c>
      <c r="D24" s="5" t="inlineStr">
        <is>
          <t>2026-06-24</t>
        </is>
      </c>
      <c r="E24" s="5" t="inlineStr">
        <is>
          <t>7 analyst avg; low $1.43B, high $1.44B</t>
        </is>
      </c>
    </row>
    <row r="25">
      <c r="A25" s="5" t="inlineStr">
        <is>
          <t>FY2026 EPS Estimate</t>
        </is>
      </c>
      <c r="B25" s="5" t="inlineStr">
        <is>
          <t>$0.83</t>
        </is>
      </c>
      <c r="C25" s="5" t="inlineStr">
        <is>
          <t>Yahoo Finance /PAY/analysis/</t>
        </is>
      </c>
      <c r="D25" s="5" t="inlineStr">
        <is>
          <t>2026-06-24</t>
        </is>
      </c>
      <c r="E25" s="5" t="inlineStr">
        <is>
          <t>7 analyst avg; low $0.69, high $0.89; non-GAAP/normalized</t>
        </is>
      </c>
    </row>
    <row r="26">
      <c r="A26" s="5" t="inlineStr">
        <is>
          <t>FY2027 Rev Estimate</t>
        </is>
      </c>
      <c r="B26" s="5" t="inlineStr">
        <is>
          <t>$1.69B</t>
        </is>
      </c>
      <c r="C26" s="5" t="inlineStr">
        <is>
          <t>Yahoo Finance /PAY/analysis/</t>
        </is>
      </c>
      <c r="D26" s="5" t="inlineStr">
        <is>
          <t>2026-06-24</t>
        </is>
      </c>
      <c r="E26" s="5" t="inlineStr">
        <is>
          <t>Year/est growth 18.1%</t>
        </is>
      </c>
    </row>
    <row r="27">
      <c r="A27" s="5" t="inlineStr">
        <is>
          <t>FY2027 EPS Estimate</t>
        </is>
      </c>
      <c r="B27" s="5" t="inlineStr">
        <is>
          <t>$1.02</t>
        </is>
      </c>
      <c r="C27" s="5" t="inlineStr">
        <is>
          <t>Yahoo Finance /PAY/analysis/</t>
        </is>
      </c>
      <c r="D27" s="5" t="inlineStr">
        <is>
          <t>2026-06-24</t>
        </is>
      </c>
      <c r="E27" s="5" t="inlineStr">
        <is>
          <t>Year/est growth 23.2%</t>
        </is>
      </c>
    </row>
    <row r="28">
      <c r="A28" s="5" t="inlineStr">
        <is>
          <t>10Y Treasury Rate</t>
        </is>
      </c>
      <c r="B28" s="5" t="inlineStr">
        <is>
          <t>4.48%</t>
        </is>
      </c>
      <c r="C28" s="5" t="inlineStr">
        <is>
          <t>CNBC US10Y</t>
        </is>
      </c>
      <c r="D28" s="5" t="inlineStr">
        <is>
          <t>2026-06-23</t>
        </is>
      </c>
      <c r="E28" s="5" t="inlineStr">
        <is>
          <t>Yield 4.479% at 4:23 AM EDT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0" customWidth="1" min="3" max="3"/>
  </cols>
  <sheetData>
    <row r="1">
      <c r="A1" s="3" t="inlineStr">
        <is>
          <t>Open Questions And Due Diligence Items</t>
        </is>
      </c>
    </row>
    <row r="2">
      <c r="A2" s="2" t="inlineStr">
        <is>
          <t>1.</t>
        </is>
      </c>
      <c r="B2" s="2" t="inlineStr">
        <is>
          <t>Revenue Recognition Model</t>
        </is>
      </c>
      <c r="C2" t="inlineStr">
        <is>
          <t>PAY processes payments for other companies (not a card network). Understand the pass-through nature — how much of the $1.28B revenue is billings vs net revenue. If most is passed through to merchants/banks, the gross margin of 24.8% may include significant third-party clearing costs.</t>
        </is>
      </c>
    </row>
    <row r="3">
      <c r="A3" s="2" t="inlineStr">
        <is>
          <t>2.</t>
        </is>
      </c>
      <c r="B3" s="2" t="inlineStr">
        <is>
          <t>Customer Concentration</t>
        </is>
      </c>
      <c r="C3" t="inlineStr">
        <is>
          <t>PAY works with processors, banks, and fintechs. What is the concentration risk if one or two major clients left? Revenue grew 30% YoY TTM — is this organic or acquisition-driven?</t>
        </is>
      </c>
    </row>
    <row r="4">
      <c r="A4" s="2" t="inlineStr">
        <is>
          <t>3.</t>
        </is>
      </c>
      <c r="B4" s="2" t="inlineStr">
        <is>
          <t>Share Count Dilution</t>
        </is>
      </c>
      <c r="C4" t="inlineStr">
        <is>
          <t>Shares grew from 123.5M (FY2023) to 125.6M (Q1 FY2026) — modest dilution via stock-based compensation. No buybacks or significant share repurchases observed. Is SBC diluting owners at a meaningful rate?</t>
        </is>
      </c>
    </row>
    <row r="5">
      <c r="A5" s="2" t="inlineStr">
        <is>
          <t>4.</t>
        </is>
      </c>
      <c r="B5" s="2" t="inlineStr">
        <is>
          <t>Operating Leverage Sustainability</t>
        </is>
      </c>
      <c r="C5" t="inlineStr">
        <is>
          <t>Operating income surged from $18.1M (FY2023) to $75.5M (FY2025) — a 4x improvement on ~37% revenue growth. Much of this is real operating leverage in the processing network, but how much is one-time (SBC write-offs, restructuring)?</t>
        </is>
      </c>
    </row>
    <row r="6">
      <c r="A6" s="2" t="inlineStr">
        <is>
          <t>5.</t>
        </is>
      </c>
      <c r="B6" s="2" t="inlineStr">
        <is>
          <t>Valuation Premium</t>
        </is>
      </c>
      <c r="C6" t="inlineStr">
        <is>
          <t>At 36x trailing and 25x forward P/E, PAY trades at a premium to the market. The stock fell 40% from the 52-week high — has the multiple already compressed to fair value, or is there more downside?</t>
        </is>
      </c>
    </row>
    <row r="7">
      <c r="A7" s="2" t="inlineStr">
        <is>
          <t>6.</t>
        </is>
      </c>
      <c r="B7" s="2" t="inlineStr">
        <is>
          <t>Competitive Position</t>
        </is>
      </c>
      <c r="C7" t="inlineStr">
        <is>
          <t>PAY operates in B2B payment processing infrastructure (ISO/processor enablement). Does it face threat from Stripe, Adyen, or larger processors moving downstream? What is the switching cost for its clients?</t>
        </is>
      </c>
    </row>
    <row r="8">
      <c r="A8" s="2" t="inlineStr">
        <is>
          <t>7.</t>
        </is>
      </c>
      <c r="B8" s="2" t="inlineStr">
        <is>
          <t>Cash Position and Capital Allocation</t>
        </is>
      </c>
      <c r="C8" t="inlineStr">
        <is>
          <t>Cash grew from $149.7M (FY2022) to $324.5M (FY2025) — a strong accumulation with minimal debt. Management has not been returning capital. Will they buy back shares, pay dividends, or pursue acquisitions?</t>
        </is>
      </c>
    </row>
    <row r="9">
      <c r="A9" s="2" t="inlineStr">
        <is>
          <t>8.</t>
        </is>
      </c>
      <c r="B9" s="2" t="inlineStr">
        <is>
          <t>Q1 2026 EPS Beat</t>
        </is>
      </c>
      <c r="C9" t="inlineStr">
        <is>
          <t>EPS actual $0.21 vs estimate $0.18, a 19.8% beat. This is the 4th consecutive quarter of beating estimates. Is the market fully repricing in continued beats, or are estimates still too conservative?</t>
        </is>
      </c>
    </row>
    <row r="10">
      <c r="A10" s="2" t="inlineStr">
        <is>
          <t>9.</t>
        </is>
      </c>
      <c r="B10" s="2" t="inlineStr">
        <is>
          <t>Guidance Reliability</t>
        </is>
      </c>
      <c r="C10" t="inlineStr">
        <is>
          <t>PAY has not issued formal public guidance in visible sources. Analysts are deriving estimates independently. This creates a revision risk if management's internal projections differ materially.</t>
        </is>
      </c>
    </row>
    <row r="11">
      <c r="A11" s="2" t="inlineStr">
        <is>
          <t>10.</t>
        </is>
      </c>
      <c r="B11" s="2" t="inlineStr">
        <is>
          <t>EBITDA vs Operating Income Gap</t>
        </is>
      </c>
      <c r="C11" t="inlineStr">
        <is>
          <t>EBITDA $116.6M vs Op Income $75.5M in FY2025 implies $41.1M in D&amp;A on $1.2B revenue. Verify the capitalization policy for software/technology investments — is the company capitalizing development costs that drive higher operating income?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5" customWidth="1" min="3" max="3"/>
  </cols>
  <sheetData>
    <row r="1">
      <c r="A1" s="3" t="inlineStr">
        <is>
          <t>Data Sources</t>
        </is>
      </c>
    </row>
    <row r="2">
      <c r="A2" t="inlineStr">
        <is>
          <t>1.</t>
        </is>
      </c>
      <c r="B2" t="inlineStr">
        <is>
          <t>Yahoo Finance — PAY Quote and Statistics</t>
        </is>
      </c>
      <c r="C2" t="inlineStr">
        <is>
          <t>https://finance.yahoo.com/quote/PAY/</t>
        </is>
      </c>
    </row>
    <row r="3">
      <c r="A3" t="inlineStr">
        <is>
          <t>2.</t>
        </is>
      </c>
      <c r="B3" t="inlineStr">
        <is>
          <t>Yahoo Finance — PAY Income Statement</t>
        </is>
      </c>
      <c r="C3" t="inlineStr">
        <is>
          <t>https://finance.yahoo.com/quote/PAY/financials/</t>
        </is>
      </c>
    </row>
    <row r="4">
      <c r="A4" t="inlineStr">
        <is>
          <t>3.</t>
        </is>
      </c>
      <c r="B4" t="inlineStr">
        <is>
          <t>Yahoo Finance — PAY Balance Sheet</t>
        </is>
      </c>
      <c r="C4" t="inlineStr">
        <is>
          <t>https://finance.yahoo.com/quote/PAY/balance-sheet/</t>
        </is>
      </c>
    </row>
    <row r="5">
      <c r="A5" t="inlineStr">
        <is>
          <t>4.</t>
        </is>
      </c>
      <c r="B5" t="inlineStr">
        <is>
          <t>Yahoo Finance — PAY Cash Flow Statement</t>
        </is>
      </c>
      <c r="C5" t="inlineStr">
        <is>
          <t>https://finance.yahoo.com/quote/PAY/cash-flow/</t>
        </is>
      </c>
    </row>
    <row r="6">
      <c r="A6" t="inlineStr">
        <is>
          <t>5.</t>
        </is>
      </c>
      <c r="B6" t="inlineStr">
        <is>
          <t>Yahoo Finance — PAY Analyst Estimates</t>
        </is>
      </c>
      <c r="C6" t="inlineStr">
        <is>
          <t>https://finance.yahoo.com/quote/PAY/analysis/</t>
        </is>
      </c>
    </row>
    <row r="7">
      <c r="A7" t="inlineStr">
        <is>
          <t>6.</t>
        </is>
      </c>
      <c r="B7" t="inlineStr">
        <is>
          <t>CNBC — US10Y Treasury Yield</t>
        </is>
      </c>
      <c r="C7" t="inlineStr">
        <is>
          <t>https://www.cnbc.com/quotes/US10Y</t>
        </is>
      </c>
    </row>
    <row r="8">
      <c r="A8" t="inlineStr">
        <is>
          <t>7.</t>
        </is>
      </c>
      <c r="B8" t="inlineStr">
        <is>
          <t>StockAnalysis — PAY (404 — unavailable)</t>
        </is>
      </c>
      <c r="C8" t="inlineStr">
        <is>
          <t>https://stockanalysis.com/quotes/PAY/</t>
        </is>
      </c>
    </row>
    <row r="9">
      <c r="A9" t="inlineStr">
        <is>
          <t>8.</t>
        </is>
      </c>
      <c r="B9" t="inlineStr">
        <is>
          <t>Yahoo Finance — PAY Q1 FY2026 Earnings Beat</t>
        </is>
      </c>
      <c r="C9" t="inlineStr">
        <is>
          <t>https://finance.yahoo.com/quote/PAY/analysis/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2026-06-24T08:58:03Z</dcterms:created>
  <dcterms:modified xsi:type="dcterms:W3CDTF">2026-06-24T08:58:03Z</dcterms:modified>
</cp:coreProperties>
</file>