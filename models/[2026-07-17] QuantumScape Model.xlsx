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2"/>
    </font>
    <font>
      <name val="Calibri"/>
      <i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wrapText="1"/>
    </xf>
    <xf numFmtId="0" fontId="4" fillId="2" borderId="1" applyAlignment="1" pivotButton="0" quotePrefix="0" xfId="0">
      <alignment horizontal="center" wrapText="1"/>
    </xf>
    <xf numFmtId="0" fontId="3" fillId="0" borderId="1" pivotButton="0" quotePrefix="0" xfId="0"/>
    <xf numFmtId="0" fontId="5" fillId="0" borderId="0" pivotButton="0" quotePrefix="0" xfId="0"/>
    <xf numFmtId="0" fontId="2" fillId="0" borderId="1" pivotButton="0" quotePrefix="0" xfId="0"/>
    <xf numFmtId="0" fontId="6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55" customWidth="1" min="3" max="3"/>
  </cols>
  <sheetData>
    <row r="1">
      <c r="A1" s="1" t="inlineStr">
        <is>
          <t>QuantumScape Corporation (QS) — Valuation Summary</t>
        </is>
      </c>
    </row>
    <row r="3">
      <c r="A3" s="2" t="inlineStr">
        <is>
          <t>Company</t>
        </is>
      </c>
      <c r="B3" s="3" t="inlineStr">
        <is>
          <t>QuantumScape Corporation</t>
        </is>
      </c>
    </row>
    <row r="4">
      <c r="A4" s="2" t="inlineStr">
        <is>
          <t>Ticker</t>
        </is>
      </c>
      <c r="B4" s="3" t="inlineStr">
        <is>
          <t>NASDAQ: QS</t>
        </is>
      </c>
    </row>
    <row r="5">
      <c r="A5" s="2" t="inlineStr">
        <is>
          <t>Date</t>
        </is>
      </c>
      <c r="B5" s="3" t="inlineStr">
        <is>
          <t>2026-07-17</t>
        </is>
      </c>
    </row>
    <row r="6">
      <c r="A6" s="2" t="inlineStr">
        <is>
          <t>Price</t>
        </is>
      </c>
      <c r="B6" s="3" t="inlineStr">
        <is>
          <t>$5.86</t>
        </is>
      </c>
    </row>
    <row r="7">
      <c r="A7" s="2" t="inlineStr">
        <is>
          <t>Shares Outstanding</t>
        </is>
      </c>
      <c r="B7" s="3" t="inlineStr">
        <is>
          <t>578.34M</t>
        </is>
      </c>
    </row>
    <row r="8">
      <c r="A8" s="2" t="inlineStr">
        <is>
          <t>Implied Shares Outstanding</t>
        </is>
      </c>
      <c r="B8" s="3" t="inlineStr">
        <is>
          <t>615.15M</t>
        </is>
      </c>
    </row>
    <row r="9">
      <c r="A9" s="2" t="inlineStr">
        <is>
          <t>Market Cap</t>
        </is>
      </c>
      <c r="B9" s="3" t="inlineStr">
        <is>
          <t>$3.63B</t>
        </is>
      </c>
    </row>
    <row r="10">
      <c r="A10" s="2" t="inlineStr">
        <is>
          <t>Enterprise Value</t>
        </is>
      </c>
      <c r="B10" s="3" t="inlineStr">
        <is>
          <t>$2.80B</t>
        </is>
      </c>
    </row>
    <row r="11">
      <c r="A11" s="2" t="inlineStr">
        <is>
          <t>Total Cash (Q1 FY26)</t>
        </is>
      </c>
      <c r="B11" s="3" t="inlineStr">
        <is>
          <t>$904.7M</t>
        </is>
      </c>
    </row>
    <row r="12">
      <c r="A12" s="2" t="inlineStr">
        <is>
          <t>Total Debt</t>
        </is>
      </c>
      <c r="B12" s="3" t="inlineStr">
        <is>
          <t>$69.18M</t>
        </is>
      </c>
    </row>
    <row r="13">
      <c r="A13" s="2" t="inlineStr">
        <is>
          <t>Net Cash</t>
        </is>
      </c>
      <c r="B13" s="3" t="inlineStr">
        <is>
          <t>$835.5M</t>
        </is>
      </c>
    </row>
    <row r="14">
      <c r="A14" s="2" t="inlineStr">
        <is>
          <t>Primary Lens</t>
        </is>
      </c>
      <c r="B14" s="3" t="inlineStr">
        <is>
          <t>Cash NAV Floor + Pipeline Optionality; P/B + ROE</t>
        </is>
      </c>
    </row>
    <row r="15">
      <c r="A15" s="2" t="inlineStr">
        <is>
          <t>Stance</t>
        </is>
      </c>
      <c r="B15" s="3" t="inlineStr">
        <is>
          <t>Watch</t>
        </is>
      </c>
    </row>
    <row r="16">
      <c r="A16" s="2" t="inlineStr">
        <is>
          <t>Comment</t>
        </is>
      </c>
      <c r="B16" s="3" t="inlineStr">
        <is>
          <t>Pre-commercial solid-state battery developer. Standard DCF/FCF frameworks inapplicable.
Valuation driven by cash runway, VW pilot program, and optionality of
commercial deployment. See Scenarios sheet for NAV + Pipeline NPV framework.</t>
        </is>
      </c>
    </row>
    <row r="22">
      <c r="A22" s="4" t="inlineStr">
        <is>
          <t>Metric</t>
        </is>
      </c>
      <c r="B22" s="4" t="inlineStr">
        <is>
          <t>Value</t>
        </is>
      </c>
      <c r="C22" s="4" t="inlineStr">
        <is>
          <t>Comment</t>
        </is>
      </c>
    </row>
    <row r="23">
      <c r="A23" s="5" t="inlineStr">
        <is>
          <t>P/E (Trailing)</t>
        </is>
      </c>
      <c r="B23" s="5" t="inlineStr">
        <is>
          <t>N/A</t>
        </is>
      </c>
      <c r="C23" s="3" t="inlineStr">
        <is>
          <t>Negative earnings; TTM net income -$421.4M; no revenue</t>
        </is>
      </c>
    </row>
    <row r="24">
      <c r="A24" s="5" t="inlineStr">
        <is>
          <t>P/E (Forward)</t>
        </is>
      </c>
      <c r="B24" s="5" t="inlineStr">
        <is>
          <t>N/A</t>
        </is>
      </c>
      <c r="C24" s="3" t="inlineStr">
        <is>
          <t>Consensus EPS FY27: -$0.68; still negative</t>
        </is>
      </c>
    </row>
    <row r="25">
      <c r="A25" s="5" t="inlineStr">
        <is>
          <t>P/S (TTM)</t>
        </is>
      </c>
      <c r="B25" s="5" t="inlineStr">
        <is>
          <t>N/A</t>
        </is>
      </c>
      <c r="C25" s="3" t="inlineStr">
        <is>
          <t>Zero revenue — no sales figure denominator</t>
        </is>
      </c>
    </row>
    <row r="26">
      <c r="A26" s="5" t="inlineStr">
        <is>
          <t>P/FCF</t>
        </is>
      </c>
      <c r="B26" s="5" t="inlineStr">
        <is>
          <t>N/A</t>
        </is>
      </c>
      <c r="C26" s="3" t="inlineStr">
        <is>
          <t>FCF -$281.7M TTM; structurally negative for development stage</t>
        </is>
      </c>
    </row>
    <row r="27">
      <c r="A27" s="5" t="inlineStr">
        <is>
          <t>EV/FCF</t>
        </is>
      </c>
      <c r="B27" s="5" t="inlineStr">
        <is>
          <t>N/A</t>
        </is>
      </c>
      <c r="C27" s="3" t="inlineStr">
        <is>
          <t>Not meaningful for pre-commercial developer</t>
        </is>
      </c>
    </row>
    <row r="28">
      <c r="A28" s="5" t="inlineStr">
        <is>
          <t>EV/Sales</t>
        </is>
      </c>
      <c r="B28" s="5" t="inlineStr">
        <is>
          <t>N/A</t>
        </is>
      </c>
      <c r="C28" s="3" t="inlineStr">
        <is>
          <t>No sales figure</t>
        </is>
      </c>
    </row>
    <row r="29">
      <c r="A29" s="5" t="inlineStr">
        <is>
          <t>EV/EBITDA</t>
        </is>
      </c>
      <c r="B29" s="5" t="inlineStr">
        <is>
          <t>-7.22x (quarterly)</t>
        </is>
      </c>
      <c r="C29" s="3" t="inlineStr">
        <is>
          <t>From Yahoo Finance; negative EBITDA; sign only</t>
        </is>
      </c>
    </row>
    <row r="30">
      <c r="A30" s="5" t="inlineStr">
        <is>
          <t>P/B</t>
        </is>
      </c>
      <c r="B30" s="5" t="inlineStr">
        <is>
          <t>3.27x</t>
        </is>
      </c>
      <c r="C30" s="3" t="inlineStr">
        <is>
          <t>FY25 book value/share = $1.80; total equity $1.169B</t>
        </is>
      </c>
    </row>
    <row r="31">
      <c r="A31" s="5" t="inlineStr">
        <is>
          <t>Cash/Share NAV</t>
        </is>
      </c>
      <c r="B31" s="5" t="inlineStr">
        <is>
          <t>$1.56</t>
        </is>
      </c>
      <c r="C31" s="3" t="inlineStr">
        <is>
          <t>Total cash $904.7M / 578.34M shares</t>
        </is>
      </c>
    </row>
    <row r="32">
      <c r="A32" s="5" t="inlineStr">
        <is>
          <t>Optionality Premium/Share</t>
        </is>
      </c>
      <c r="B32" s="5" t="inlineStr">
        <is>
          <t>$4.30</t>
        </is>
      </c>
      <c r="C32" s="3" t="inlineStr">
        <is>
          <t>Current price $5.86 less $1.56 NAV floor</t>
        </is>
      </c>
    </row>
    <row r="33">
      <c r="A33" s="5" t="inlineStr">
        <is>
          <t>EV/MC ratio</t>
        </is>
      </c>
      <c r="B33" s="5" t="inlineStr">
        <is>
          <t>0.77</t>
        </is>
      </c>
      <c r="C33" s="3" t="inlineStr">
        <is>
          <t>EV $2.80B / MC $3.63B; net cash company</t>
        </is>
      </c>
    </row>
    <row r="34">
      <c r="A34" s="5" t="inlineStr">
        <is>
          <t>Beta (5Y Monthly)</t>
        </is>
      </c>
      <c r="B34" s="5" t="inlineStr">
        <is>
          <t>2.62</t>
        </is>
      </c>
      <c r="C34" s="3" t="inlineStr">
        <is>
          <t>High volatility; pre-commercial development risk premium</t>
        </is>
      </c>
    </row>
    <row r="35">
      <c r="A35" s="5" t="inlineStr">
        <is>
          <t>52W High/Low</t>
        </is>
      </c>
      <c r="B35" s="5" t="inlineStr">
        <is>
          <t>$19.07 / $5.64</t>
        </is>
      </c>
      <c r="C35" s="3" t="inlineStr">
        <is>
          <t>-60% from 52W high; near 52W low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</cols>
  <sheetData>
    <row r="1">
      <c r="A1" s="1" t="inlineStr">
        <is>
          <t>WACC Calculation — QuantumScape (QS)</t>
        </is>
      </c>
    </row>
    <row r="2">
      <c r="A2" s="6" t="inlineStr">
        <is>
          <t>CAPM Components:</t>
        </is>
      </c>
    </row>
    <row r="3">
      <c r="A3" s="5" t="inlineStr">
        <is>
          <t>Component</t>
        </is>
      </c>
      <c r="B3" s="5" t="inlineStr">
        <is>
          <t>Value</t>
        </is>
      </c>
      <c r="C3" s="3" t="inlineStr">
        <is>
          <t>Source / Rationale</t>
        </is>
      </c>
    </row>
    <row r="4">
      <c r="A4" s="5" t="inlineStr"/>
      <c r="B4" s="5" t="inlineStr"/>
      <c r="C4" s="3" t="inlineStr"/>
    </row>
    <row r="5">
      <c r="A5" s="7" t="inlineStr">
        <is>
          <t>Risk-Free Rate (10Y US Treasury)</t>
        </is>
      </c>
      <c r="B5" s="7" t="inlineStr">
        <is>
          <t>4.55%</t>
        </is>
      </c>
      <c r="C5" s="3" t="inlineStr">
        <is>
          <t>CNBC US10Y as of 2026-07-17</t>
        </is>
      </c>
    </row>
    <row r="6">
      <c r="A6" s="5" t="inlineStr">
        <is>
          <t>Equity Risk Premium</t>
        </is>
      </c>
      <c r="B6" s="5" t="inlineStr">
        <is>
          <t>5.00%</t>
        </is>
      </c>
      <c r="C6" s="3" t="inlineStr">
        <is>
          <t>Standard assumption</t>
        </is>
      </c>
    </row>
    <row r="7">
      <c r="A7" s="7" t="inlineStr">
        <is>
          <t>Beta (5Y Monthly)</t>
        </is>
      </c>
      <c r="B7" s="7" t="inlineStr">
        <is>
          <t>2.62</t>
        </is>
      </c>
      <c r="C7" s="3" t="inlineStr">
        <is>
          <t>Yahoo Finance key statistics</t>
        </is>
      </c>
    </row>
    <row r="8">
      <c r="A8" s="7" t="inlineStr"/>
      <c r="B8" s="7" t="inlineStr"/>
      <c r="C8" s="3" t="inlineStr"/>
    </row>
    <row r="9">
      <c r="A9" s="7" t="inlineStr">
        <is>
          <t>Cost of Equity (Ke = Rf + Beta × ERP)</t>
        </is>
      </c>
      <c r="B9" s="7" t="inlineStr">
        <is>
          <t>17.65%</t>
        </is>
      </c>
      <c r="C9" s="3">
        <f> 4.55% + 2.62 × 5.00%</f>
        <v/>
      </c>
    </row>
    <row r="10">
      <c r="A10" s="5" t="inlineStr"/>
      <c r="B10" s="5" t="inlineStr"/>
      <c r="C10" s="3" t="inlineStr"/>
    </row>
    <row r="11">
      <c r="A11" s="7" t="inlineStr">
        <is>
          <t>Cost of Debt (Kd)</t>
        </is>
      </c>
      <c r="B11" s="7" t="inlineStr">
        <is>
          <t>3.00%</t>
        </is>
      </c>
      <c r="C11" s="3" t="inlineStr">
        <is>
          <t>Interest expense ~$2M; small debt base ($69M)</t>
        </is>
      </c>
    </row>
    <row r="12">
      <c r="A12" s="7" t="inlineStr">
        <is>
          <t>Tax Rate</t>
        </is>
      </c>
      <c r="B12" s="7" t="inlineStr">
        <is>
          <t>21.00%</t>
        </is>
      </c>
      <c r="C12" s="3" t="inlineStr">
        <is>
          <t>US statutory; minimal actual tax on losses</t>
        </is>
      </c>
    </row>
    <row r="13">
      <c r="A13" s="7" t="inlineStr">
        <is>
          <t>After-Tax Cost of Debt</t>
        </is>
      </c>
      <c r="B13" s="7" t="inlineStr">
        <is>
          <t>2.37%</t>
        </is>
      </c>
      <c r="C13" s="3">
        <f> 3.00% × (1 - 0.21)</f>
        <v/>
      </c>
    </row>
    <row r="14">
      <c r="A14" s="7" t="inlineStr"/>
      <c r="B14" s="7" t="inlineStr"/>
      <c r="C14" s="3" t="inlineStr"/>
    </row>
    <row r="15">
      <c r="A15" s="7" t="inlineStr">
        <is>
          <t>Market Capitalization</t>
        </is>
      </c>
      <c r="B15" s="7" t="inlineStr">
        <is>
          <t>$3,630M</t>
        </is>
      </c>
      <c r="C15" s="3" t="inlineStr">
        <is>
          <t>Yahoo Finance; $5.86 × 578.34M</t>
        </is>
      </c>
    </row>
    <row r="16">
      <c r="A16" s="5" t="inlineStr">
        <is>
          <t>Total Debt</t>
        </is>
      </c>
      <c r="B16" s="5" t="inlineStr">
        <is>
          <t>$69M</t>
        </is>
      </c>
      <c r="C16" s="3" t="inlineStr">
        <is>
          <t>Yahoo Finance MRQ</t>
        </is>
      </c>
    </row>
    <row r="17">
      <c r="A17" s="5" t="inlineStr">
        <is>
          <t>Total Capitalization</t>
        </is>
      </c>
      <c r="B17" s="5" t="inlineStr">
        <is>
          <t>$3,699M</t>
        </is>
      </c>
      <c r="C17" s="3">
        <f> MC + Debt</f>
        <v/>
      </c>
    </row>
    <row r="18">
      <c r="A18" s="7" t="inlineStr">
        <is>
          <t>Equity Weight (We)</t>
        </is>
      </c>
      <c r="B18" s="7" t="inlineStr">
        <is>
          <t>98.14%</t>
        </is>
      </c>
      <c r="C18" s="3">
        <f> MC / (MC + Debt)</f>
        <v/>
      </c>
    </row>
    <row r="19">
      <c r="A19" s="5" t="inlineStr">
        <is>
          <t>Debt Weight (Wd)</t>
        </is>
      </c>
      <c r="B19" s="5" t="inlineStr">
        <is>
          <t>1.86%</t>
        </is>
      </c>
      <c r="C19" s="3">
        <f> Debt / (MC + Debt)</f>
        <v/>
      </c>
    </row>
    <row r="20">
      <c r="A20" s="5" t="inlineStr"/>
      <c r="B20" s="5" t="inlineStr"/>
      <c r="C20" s="3" t="inlineStr"/>
    </row>
    <row r="21">
      <c r="A21" s="5" t="inlineStr">
        <is>
          <t>WACC</t>
        </is>
      </c>
      <c r="B21" s="5" t="inlineStr">
        <is>
          <t>17.53%</t>
        </is>
      </c>
      <c r="C21" s="3">
        <f> We × Ke + Wd × Kd × (1-T)</f>
        <v/>
      </c>
    </row>
    <row r="22">
      <c r="A22" s="6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50" customWidth="1" min="5" max="5"/>
  </cols>
  <sheetData>
    <row r="1">
      <c r="A1" s="1" t="inlineStr">
        <is>
          <t>Scenario Analysis — Cash NAV Floor + Pipeline Optionality (Pre-Commercial Battery Developer)</t>
        </is>
      </c>
    </row>
    <row r="3">
      <c r="A3" s="8" t="inlineStr">
        <is>
          <t>Framework note: Standard FCF multiple framework is structurally inapplicable for a pre-revenue developer.</t>
        </is>
      </c>
    </row>
    <row r="4">
      <c r="A4" s="8" t="inlineStr">
        <is>
          <t>Scenarios use cash runway, dilution from future financing, NAV floor per share, and pipeline NPV.</t>
        </is>
      </c>
    </row>
    <row r="5">
      <c r="A5" s="7" t="inlineStr">
        <is>
          <t>--- Cash &amp; Financing Assumptions ---</t>
        </is>
      </c>
      <c r="B5" s="9" t="inlineStr"/>
      <c r="C5" s="9" t="inlineStr"/>
      <c r="D5" s="9" t="inlineStr"/>
      <c r="E5" s="10" t="inlineStr"/>
    </row>
    <row r="6">
      <c r="A6" s="5" t="inlineStr">
        <is>
          <t>Current Cash ($M)</t>
        </is>
      </c>
      <c r="B6" s="11" t="inlineStr">
        <is>
          <t>$904.7</t>
        </is>
      </c>
      <c r="C6" s="11" t="inlineStr">
        <is>
          <t>$904.7</t>
        </is>
      </c>
      <c r="D6" s="11" t="inlineStr">
        <is>
          <t>$904.7</t>
        </is>
      </c>
      <c r="E6" s="12" t="inlineStr">
        <is>
          <t>Q1 FY26 per Yahoo Finance Statistics</t>
        </is>
      </c>
    </row>
    <row r="7">
      <c r="A7" s="5" t="inlineStr">
        <is>
          <t>Annual Burn Rate ($M/yr)</t>
        </is>
      </c>
      <c r="B7" s="11" t="inlineStr">
        <is>
          <t>$280</t>
        </is>
      </c>
      <c r="C7" s="11" t="inlineStr">
        <is>
          <t>$260</t>
        </is>
      </c>
      <c r="D7" s="11" t="inlineStr">
        <is>
          <t>$260</t>
        </is>
      </c>
      <c r="E7" s="12" t="inlineStr">
        <is>
          <t>TTM OCF -$241M + Capex -$40M = -$281M; annualized burn</t>
        </is>
      </c>
    </row>
    <row r="8">
      <c r="A8" s="5" t="inlineStr">
        <is>
          <t>Cash Runway (years)</t>
        </is>
      </c>
      <c r="B8" s="11" t="inlineStr">
        <is>
          <t>3.2</t>
        </is>
      </c>
      <c r="C8" s="11" t="inlineStr">
        <is>
          <t>3.5</t>
        </is>
      </c>
      <c r="D8" s="11" t="inlineStr">
        <is>
          <t>3.5</t>
        </is>
      </c>
      <c r="E8" s="12">
        <f> Cash / Burn Rate</f>
        <v/>
      </c>
    </row>
    <row r="9">
      <c r="A9" s="5" t="inlineStr"/>
      <c r="B9" s="11" t="inlineStr"/>
      <c r="C9" s="11" t="inlineStr"/>
      <c r="D9" s="11" t="inlineStr"/>
      <c r="E9" s="12" t="inlineStr"/>
    </row>
    <row r="10">
      <c r="A10" s="5" t="inlineStr">
        <is>
          <t>Dilutive Raise #1: Amount ($M)</t>
        </is>
      </c>
      <c r="B10" s="11" t="inlineStr">
        <is>
          <t>$500</t>
        </is>
      </c>
      <c r="C10" s="11" t="inlineStr">
        <is>
          <t>$400</t>
        </is>
      </c>
      <c r="D10" s="11" t="inlineStr">
        <is>
          <t>$300</t>
        </is>
      </c>
      <c r="E10" s="12" t="inlineStr">
        <is>
          <t>Required to extend runway through commercialization</t>
        </is>
      </c>
    </row>
    <row r="11">
      <c r="A11" s="5" t="inlineStr">
        <is>
          <t>Dilutive Raise #1: Timing (yr)</t>
        </is>
      </c>
      <c r="B11" s="11" t="inlineStr">
        <is>
          <t>Yr 1.5</t>
        </is>
      </c>
      <c r="C11" s="11" t="inlineStr">
        <is>
          <t>Yr 2</t>
        </is>
      </c>
      <c r="D11" s="11" t="inlineStr">
        <is>
          <t>Yr 2</t>
        </is>
      </c>
      <c r="E11" s="12" t="inlineStr">
        <is>
          <t>Funding runway to Q2 or H2 2028</t>
        </is>
      </c>
    </row>
    <row r="12">
      <c r="A12" s="5" t="inlineStr">
        <is>
          <t>Dilutive Raise #1: Price ($/shr)</t>
        </is>
      </c>
      <c r="B12" s="11" t="inlineStr">
        <is>
          <t>$2.50</t>
        </is>
      </c>
      <c r="C12" s="11" t="inlineStr">
        <is>
          <t>$4.00</t>
        </is>
      </c>
      <c r="D12" s="11" t="inlineStr">
        <is>
          <t>$6.00</t>
        </is>
      </c>
      <c r="E12" s="12" t="inlineStr">
        <is>
          <t>Deep discount (bear), partial re-rate (base/bull)</t>
        </is>
      </c>
    </row>
    <row r="13">
      <c r="A13" s="5" t="inlineStr">
        <is>
          <t>Dilutive Raise #1: New Shares (M)</t>
        </is>
      </c>
      <c r="B13" s="11" t="inlineStr">
        <is>
          <t>200</t>
        </is>
      </c>
      <c r="C13" s="11" t="inlineStr">
        <is>
          <t>100</t>
        </is>
      </c>
      <c r="D13" s="11" t="inlineStr">
        <is>
          <t>50</t>
        </is>
      </c>
      <c r="E13" s="12">
        <f> Amount / Price</f>
        <v/>
      </c>
    </row>
    <row r="14">
      <c r="A14" s="5" t="inlineStr"/>
      <c r="B14" s="11" t="inlineStr"/>
      <c r="C14" s="11" t="inlineStr"/>
      <c r="D14" s="11" t="inlineStr"/>
      <c r="E14" s="12" t="inlineStr"/>
    </row>
    <row r="15">
      <c r="A15" s="5" t="inlineStr">
        <is>
          <t>Dilutive Raise #2: Amount ($M)</t>
        </is>
      </c>
      <c r="B15" s="11" t="inlineStr">
        <is>
          <t>$600</t>
        </is>
      </c>
      <c r="C15" s="11" t="inlineStr">
        <is>
          <t>$500</t>
        </is>
      </c>
      <c r="D15" s="11" t="inlineStr">
        <is>
          <t>$400</t>
        </is>
      </c>
      <c r="E15" s="12" t="inlineStr">
        <is>
          <t>Second round for pilot → production bridge</t>
        </is>
      </c>
    </row>
    <row r="16">
      <c r="A16" s="5" t="inlineStr">
        <is>
          <t>Dilutive Raise #2: Timing (yr)</t>
        </is>
      </c>
      <c r="B16" s="11" t="inlineStr">
        <is>
          <t>Yr 3.5</t>
        </is>
      </c>
      <c r="C16" s="11" t="inlineStr">
        <is>
          <t>Yr 4</t>
        </is>
      </c>
      <c r="D16" s="11" t="inlineStr">
        <is>
          <t>Yr 5</t>
        </is>
      </c>
      <c r="E16" s="12" t="inlineStr">
        <is>
          <t>Post-raised runway through 2030-2031</t>
        </is>
      </c>
    </row>
    <row r="17">
      <c r="A17" s="5" t="inlineStr">
        <is>
          <t>Dilutive Raise #2: Price ($/shr)</t>
        </is>
      </c>
      <c r="B17" s="11" t="inlineStr">
        <is>
          <t>$1.50</t>
        </is>
      </c>
      <c r="C17" s="11" t="inlineStr">
        <is>
          <t>$3.00</t>
        </is>
      </c>
      <c r="D17" s="11" t="inlineStr">
        <is>
          <t>$5.00</t>
        </is>
      </c>
      <c r="E17" s="12" t="inlineStr">
        <is>
          <t>Discount compounds in bear</t>
        </is>
      </c>
    </row>
    <row r="18">
      <c r="A18" s="5" t="inlineStr">
        <is>
          <t>Dilutive Raise #2: New Shares (M)</t>
        </is>
      </c>
      <c r="B18" s="11" t="inlineStr">
        <is>
          <t>400</t>
        </is>
      </c>
      <c r="C18" s="11" t="inlineStr">
        <is>
          <t>167</t>
        </is>
      </c>
      <c r="D18" s="11" t="inlineStr">
        <is>
          <t>80</t>
        </is>
      </c>
      <c r="E18" s="12">
        <f> Amount / Price</f>
        <v/>
      </c>
    </row>
    <row r="19">
      <c r="A19" s="5" t="inlineStr"/>
      <c r="B19" s="11" t="inlineStr"/>
      <c r="C19" s="11" t="inlineStr"/>
      <c r="D19" s="11" t="inlineStr"/>
      <c r="E19" s="12" t="inlineStr"/>
    </row>
    <row r="20">
      <c r="A20" s="5" t="inlineStr">
        <is>
          <t>Post-Dilution Shares Bear (M)</t>
        </is>
      </c>
      <c r="B20" s="11" t="inlineStr">
        <is>
          <t>1,178</t>
        </is>
      </c>
      <c r="C20" s="11" t="inlineStr"/>
      <c r="D20" s="11" t="inlineStr"/>
      <c r="E20" s="12">
        <f> 578 + 200 + 400; 2.04x dilution</f>
        <v/>
      </c>
    </row>
    <row r="21">
      <c r="A21" s="5" t="inlineStr">
        <is>
          <t>Post-Dilution Shares Base (M)</t>
        </is>
      </c>
      <c r="B21" s="11" t="inlineStr"/>
      <c r="C21" s="11" t="inlineStr">
        <is>
          <t>845</t>
        </is>
      </c>
      <c r="D21" s="11" t="inlineStr"/>
      <c r="E21" s="12">
        <f> 578 + 100 + 167; 1.46x dilution</f>
        <v/>
      </c>
    </row>
    <row r="22">
      <c r="A22" s="5" t="inlineStr">
        <is>
          <t>Post-Dilution Shares Bull (M)</t>
        </is>
      </c>
      <c r="B22" s="11" t="inlineStr"/>
      <c r="C22" s="11" t="inlineStr"/>
      <c r="D22" s="11" t="inlineStr">
        <is>
          <t>708</t>
        </is>
      </c>
      <c r="E22" s="12">
        <f> 578 + 50 + 80; 1.22x dilution</f>
        <v/>
      </c>
    </row>
    <row r="23">
      <c r="A23" s="5" t="inlineStr"/>
      <c r="B23" s="11" t="inlineStr"/>
      <c r="C23" s="11" t="inlineStr"/>
      <c r="D23" s="11" t="inlineStr"/>
      <c r="E23" s="12" t="inlineStr"/>
    </row>
    <row r="24">
      <c r="A24" s="7" t="inlineStr">
        <is>
          <t>--- Terminal Year (Year 10 / FY2036) ---</t>
        </is>
      </c>
      <c r="B24" s="9" t="inlineStr"/>
      <c r="C24" s="9" t="inlineStr"/>
      <c r="D24" s="9" t="inlineStr"/>
      <c r="E24" s="10" t="inlineStr"/>
    </row>
    <row r="25">
      <c r="A25" s="5" t="inlineStr">
        <is>
          <t>Revenue ($M)</t>
        </is>
      </c>
      <c r="B25" s="11" t="inlineStr">
        <is>
          <t>$25</t>
        </is>
      </c>
      <c r="C25" s="11" t="inlineStr">
        <is>
          <t>$350</t>
        </is>
      </c>
      <c r="D25" s="11" t="inlineStr">
        <is>
          <t>$2,500</t>
        </is>
      </c>
      <c r="E25" s="12" t="inlineStr">
        <is>
          <t>Bear: consulting/license residuals; Base: VW pilot volumes; Bull: commercial deployment</t>
        </is>
      </c>
    </row>
    <row r="26">
      <c r="A26" s="5" t="inlineStr">
        <is>
          <t>Operating Income ($M)</t>
        </is>
      </c>
      <c r="B26" s="11" t="inlineStr">
        <is>
          <t>-$300</t>
        </is>
      </c>
      <c r="C26" s="11" t="inlineStr">
        <is>
          <t>-$150</t>
        </is>
      </c>
      <c r="D26" s="11" t="inlineStr">
        <is>
          <t>+$200</t>
        </is>
      </c>
      <c r="E26" s="12" t="inlineStr">
        <is>
          <t>Bear: extended burn; Base: near break-even; Bull: marginally profitable</t>
        </is>
      </c>
    </row>
    <row r="27">
      <c r="A27" s="5" t="inlineStr">
        <is>
          <t>Net Income ($M)</t>
        </is>
      </c>
      <c r="B27" s="11" t="inlineStr">
        <is>
          <t>-$290</t>
        </is>
      </c>
      <c r="C27" s="11" t="inlineStr">
        <is>
          <t>-$140</t>
        </is>
      </c>
      <c r="D27" s="11" t="inlineStr">
        <is>
          <t>+$160</t>
        </is>
      </c>
      <c r="E27" s="12" t="inlineStr">
        <is>
          <t>Net of tax; minimal tax in bear/base due to losses</t>
        </is>
      </c>
    </row>
    <row r="28">
      <c r="A28" s="5" t="inlineStr"/>
      <c r="B28" s="11" t="inlineStr"/>
      <c r="C28" s="11" t="inlineStr"/>
      <c r="D28" s="11" t="inlineStr"/>
      <c r="E28" s="12" t="inlineStr"/>
    </row>
    <row r="29">
      <c r="A29" s="5" t="inlineStr">
        <is>
          <t>Cash Remaining ($M)</t>
        </is>
      </c>
      <c r="B29" s="11" t="inlineStr">
        <is>
          <t>$0</t>
        </is>
      </c>
      <c r="C29" s="11" t="inlineStr">
        <is>
          <t>$50</t>
        </is>
      </c>
      <c r="D29" s="11" t="inlineStr">
        <is>
          <t>$800</t>
        </is>
      </c>
      <c r="E29" s="12" t="inlineStr">
        <is>
          <t>Bear: cash exhausted; Base: modest residual; Bull: self-funding</t>
        </is>
      </c>
    </row>
    <row r="30">
      <c r="A30" s="5" t="inlineStr">
        <is>
          <t>NAV Floor / Share ($)</t>
        </is>
      </c>
      <c r="B30" s="11" t="inlineStr">
        <is>
          <t>$0.00</t>
        </is>
      </c>
      <c r="C30" s="11" t="inlineStr">
        <is>
          <t>$0.06</t>
        </is>
      </c>
      <c r="D30" s="11" t="inlineStr">
        <is>
          <t>$1.13</t>
        </is>
      </c>
      <c r="E30" s="12">
        <f> Cash Remaining / Post-Dilution Shares</f>
        <v/>
      </c>
    </row>
    <row r="31">
      <c r="A31" s="5" t="inlineStr"/>
      <c r="B31" s="11" t="inlineStr"/>
      <c r="C31" s="11" t="inlineStr"/>
      <c r="D31" s="11" t="inlineStr"/>
      <c r="E31" s="12" t="inlineStr"/>
    </row>
    <row r="32">
      <c r="A32" s="5" t="inlineStr"/>
      <c r="B32" s="11" t="inlineStr"/>
      <c r="C32" s="11" t="inlineStr"/>
      <c r="D32" s="11" t="inlineStr"/>
      <c r="E32" s="12" t="inlineStr"/>
    </row>
    <row r="33">
      <c r="A33" s="7" t="inlineStr">
        <is>
          <t>--- Pipeline NPV &amp; Pricing ---</t>
        </is>
      </c>
      <c r="B33" s="9" t="inlineStr"/>
      <c r="C33" s="9" t="inlineStr"/>
      <c r="D33" s="9" t="inlineStr"/>
      <c r="E33" s="10" t="inlineStr"/>
    </row>
    <row r="34">
      <c r="A34" s="5" t="inlineStr">
        <is>
          <t>Pipeline NPV per Share ($)</t>
        </is>
      </c>
      <c r="B34" s="11" t="inlineStr">
        <is>
          <t>$0</t>
        </is>
      </c>
      <c r="C34" s="11" t="inlineStr">
        <is>
          <t>$3.00</t>
        </is>
      </c>
      <c r="D34" s="11" t="inlineStr">
        <is>
          <t>$15.00</t>
        </is>
      </c>
      <c r="E34" s="12" t="inlineStr">
        <is>
          <t>Bear: option expired; Base: modest VW licensing; Bull: multi-OEM deployment</t>
        </is>
      </c>
    </row>
    <row r="35">
      <c r="A35" s="5" t="inlineStr">
        <is>
          <t>Implied NAV + NPV / Share ($)</t>
        </is>
      </c>
      <c r="B35" s="11" t="inlineStr">
        <is>
          <t>$0.00</t>
        </is>
      </c>
      <c r="C35" s="11" t="inlineStr">
        <is>
          <t>$3.06</t>
        </is>
      </c>
      <c r="D35" s="11" t="inlineStr">
        <is>
          <t>$16.13</t>
        </is>
      </c>
      <c r="E35" s="12">
        <f> NAV Floor + Pipeline NPV</f>
        <v/>
      </c>
    </row>
    <row r="36">
      <c r="A36" s="5" t="inlineStr">
        <is>
          <t>Discount for Execution Risk</t>
        </is>
      </c>
      <c r="B36" s="11" t="inlineStr">
        <is>
          <t>100%</t>
        </is>
      </c>
      <c r="C36" s="11" t="inlineStr">
        <is>
          <t>50%</t>
        </is>
      </c>
      <c r="D36" s="11" t="inlineStr">
        <is>
          <t>30%</t>
        </is>
      </c>
      <c r="E36" s="12" t="inlineStr">
        <is>
          <t>Bear: option expired; Base: partial discount; Bull: near-certainty</t>
        </is>
      </c>
    </row>
    <row r="37">
      <c r="A37" s="5" t="inlineStr">
        <is>
          <t>Target Price / Share ($)</t>
        </is>
      </c>
      <c r="B37" s="11" t="inlineStr">
        <is>
          <t>$0.00</t>
        </is>
      </c>
      <c r="C37" s="11" t="inlineStr">
        <is>
          <t>$1.53</t>
        </is>
      </c>
      <c r="D37" s="11" t="inlineStr">
        <is>
          <t>$11.29</t>
        </is>
      </c>
      <c r="E37" s="12">
        <f> (NAV + NPV) × (1 - discount)</f>
        <v/>
      </c>
    </row>
    <row r="38">
      <c r="A38" s="5" t="inlineStr"/>
      <c r="B38" s="11" t="inlineStr"/>
      <c r="C38" s="11" t="inlineStr"/>
      <c r="D38" s="11" t="inlineStr"/>
      <c r="E38" s="12" t="inlineStr"/>
    </row>
    <row r="39">
      <c r="A39" s="5" t="inlineStr">
        <is>
          <t>Implied Upside/Downside (%)</t>
        </is>
      </c>
      <c r="B39" s="11" t="inlineStr">
        <is>
          <t>--%</t>
        </is>
      </c>
      <c r="C39" s="11" t="inlineStr">
        <is>
          <t>-73.9%</t>
        </is>
      </c>
      <c r="D39" s="11" t="inlineStr">
        <is>
          <t>+92.5%</t>
        </is>
      </c>
      <c r="E39" s="12">
        <f> Target / $5.86 - 1</f>
        <v/>
      </c>
    </row>
    <row r="40">
      <c r="A40" s="5" t="inlineStr">
        <is>
          <t>Weight</t>
        </is>
      </c>
      <c r="B40" s="11" t="inlineStr">
        <is>
          <t>25%</t>
        </is>
      </c>
      <c r="C40" s="11" t="inlineStr">
        <is>
          <t>45%</t>
        </is>
      </c>
      <c r="D40" s="11" t="inlineStr">
        <is>
          <t>30%</t>
        </is>
      </c>
      <c r="E40" s="12" t="inlineStr">
        <is>
          <t>Probability weights</t>
        </is>
      </c>
    </row>
    <row r="41">
      <c r="A41" s="5" t="inlineStr"/>
      <c r="B41" s="11" t="inlineStr"/>
      <c r="C41" s="11" t="inlineStr"/>
      <c r="D41" s="11" t="inlineStr"/>
      <c r="E41" s="12" t="inlineStr"/>
    </row>
    <row r="42">
      <c r="A42" s="7" t="inlineStr">
        <is>
          <t>--- Weighted Fair Value ---</t>
        </is>
      </c>
      <c r="B42" s="9" t="inlineStr"/>
      <c r="C42" s="9" t="inlineStr"/>
      <c r="D42" s="9" t="inlineStr"/>
      <c r="E42" s="10" t="inlineStr"/>
    </row>
    <row r="43">
      <c r="A43" s="5" t="inlineStr">
        <is>
          <t>Probability-Weighted FV / Share</t>
        </is>
      </c>
      <c r="B43" s="11" t="inlineStr"/>
      <c r="C43" s="11" t="inlineStr"/>
      <c r="D43" s="11" t="inlineStr">
        <is>
          <t>$3.29</t>
        </is>
      </c>
      <c r="E43" s="12">
        <f> 0.25 × $0 + 0.45 × $1.53 + 0.30 × $11.29</f>
        <v/>
      </c>
    </row>
    <row r="44">
      <c r="A44" s="5" t="inlineStr">
        <is>
          <t>Implied Downside from Current</t>
        </is>
      </c>
      <c r="B44" s="11" t="inlineStr"/>
      <c r="C44" s="11" t="inlineStr"/>
      <c r="D44" s="11" t="inlineStr">
        <is>
          <t>-43.9%</t>
        </is>
      </c>
      <c r="E44" s="12">
        <f> $3.29 / $5.86 - 1</f>
        <v/>
      </c>
    </row>
    <row r="45">
      <c r="A45" s="5" t="inlineStr"/>
      <c r="B45" s="11" t="inlineStr"/>
      <c r="C45" s="11" t="inlineStr"/>
      <c r="D45" s="11" t="inlineStr"/>
      <c r="E45" s="12" t="inlineStr"/>
    </row>
    <row r="46">
      <c r="A46" s="7" t="inlineStr">
        <is>
          <t>--- Reverse Valuation ---</t>
        </is>
      </c>
      <c r="B46" s="9" t="inlineStr"/>
      <c r="C46" s="9" t="inlineStr"/>
      <c r="D46" s="9" t="inlineStr"/>
      <c r="E46" s="10" t="inlineStr"/>
    </row>
    <row r="47">
      <c r="A47" s="5" t="inlineStr">
        <is>
          <t>At $5.86, NAV floor is $1.56/share</t>
        </is>
      </c>
      <c r="B47" s="11" t="inlineStr"/>
      <c r="C47" s="11" t="inlineStr"/>
      <c r="D47" s="11" t="inlineStr"/>
      <c r="E47" s="12" t="inlineStr">
        <is>
          <t>Cash/Share = $904.7M / 578.34M</t>
        </is>
      </c>
    </row>
    <row r="48">
      <c r="A48" s="5" t="inlineStr">
        <is>
          <t>Optionality premium at current price</t>
        </is>
      </c>
      <c r="B48" s="11" t="inlineStr"/>
      <c r="C48" s="11" t="inlineStr"/>
      <c r="D48" s="11" t="inlineStr">
        <is>
          <t>$4.30 / share</t>
        </is>
      </c>
      <c r="E48" s="12" t="inlineStr">
        <is>
          <t>$5.86 - $1.56 = $4.30 premium for pipeline</t>
        </is>
      </c>
    </row>
    <row r="49">
      <c r="A49" s="5" t="inlineStr">
        <is>
          <t>Implied success probability</t>
        </is>
      </c>
      <c r="B49" s="11" t="inlineStr"/>
      <c r="C49" s="11" t="inlineStr"/>
      <c r="D49" s="11" t="inlineStr">
        <is>
          <t>~29%</t>
        </is>
      </c>
      <c r="E49" s="12" t="inlineStr">
        <is>
          <t>$4.30 / $14.86 breakeven price for success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14" customWidth="1" min="4" max="4"/>
    <col width="45" customWidth="1" min="5" max="5"/>
  </cols>
  <sheetData>
    <row r="1">
      <c r="A1" s="1" t="inlineStr">
        <is>
          <t>Actuals Source Audit — QuantumScape (QS)</t>
        </is>
      </c>
    </row>
    <row r="3">
      <c r="A3" s="4" t="inlineStr">
        <is>
          <t>Data Point</t>
        </is>
      </c>
      <c r="B3" s="4" t="inlineStr">
        <is>
          <t>Value</t>
        </is>
      </c>
      <c r="C3" s="4" t="inlineStr">
        <is>
          <t>Source</t>
        </is>
      </c>
      <c r="D3" s="4" t="inlineStr">
        <is>
          <t>Date</t>
        </is>
      </c>
      <c r="E3" s="4" t="inlineStr">
        <is>
          <t>Notes</t>
        </is>
      </c>
    </row>
    <row r="4">
      <c r="A4" s="7" t="inlineStr">
        <is>
          <t>--- Price &amp; Market Data ---</t>
        </is>
      </c>
      <c r="B4" s="5" t="inlineStr"/>
      <c r="C4" s="5" t="inlineStr"/>
      <c r="D4" s="5" t="inlineStr"/>
      <c r="E4" s="3" t="inlineStr"/>
    </row>
    <row r="5">
      <c r="A5" s="5" t="inlineStr">
        <is>
          <t>Stock Price (close)</t>
        </is>
      </c>
      <c r="B5" s="5" t="inlineStr">
        <is>
          <t>$5.86</t>
        </is>
      </c>
      <c r="C5" s="5" t="inlineStr">
        <is>
          <t>Yahoo Finance</t>
        </is>
      </c>
      <c r="D5" s="5" t="inlineStr">
        <is>
          <t>2026-07-17</t>
        </is>
      </c>
      <c r="E5" s="3" t="inlineStr">
        <is>
          <t>NASDAQ; close 4:00 PM EDT</t>
        </is>
      </c>
    </row>
    <row r="6">
      <c r="A6" s="5" t="inlineStr">
        <is>
          <t>Market Cap</t>
        </is>
      </c>
      <c r="B6" s="5" t="inlineStr">
        <is>
          <t>$3.63B</t>
        </is>
      </c>
      <c r="C6" s="5" t="inlineStr">
        <is>
          <t>Yahoo Finance Statistics</t>
        </is>
      </c>
      <c r="D6" s="5" t="inlineStr">
        <is>
          <t>2026-07-17</t>
        </is>
      </c>
      <c r="E6" s="3" t="inlineStr">
        <is>
          <t>Current quarter valuation</t>
        </is>
      </c>
    </row>
    <row r="7">
      <c r="A7" s="5" t="inlineStr">
        <is>
          <t>Enterprise Value</t>
        </is>
      </c>
      <c r="B7" s="5" t="inlineStr">
        <is>
          <t>$2.80B</t>
        </is>
      </c>
      <c r="C7" s="5" t="inlineStr">
        <is>
          <t>Yahoo Finance Statistics</t>
        </is>
      </c>
      <c r="D7" s="5" t="inlineStr">
        <is>
          <t>2026-07-17</t>
        </is>
      </c>
      <c r="E7" s="3" t="inlineStr">
        <is>
          <t>MC + Debt - Cash</t>
        </is>
      </c>
    </row>
    <row r="8">
      <c r="A8" s="5" t="inlineStr">
        <is>
          <t>Shares Outstanding</t>
        </is>
      </c>
      <c r="B8" s="5" t="inlineStr">
        <is>
          <t>578.34M</t>
        </is>
      </c>
      <c r="C8" s="5" t="inlineStr">
        <is>
          <t>Yahoo Finance Statistics</t>
        </is>
      </c>
      <c r="D8" s="5" t="inlineStr">
        <is>
          <t>2026-07-17</t>
        </is>
      </c>
      <c r="E8" s="3" t="inlineStr">
        <is>
          <t>Current; implied 615.15M with converts</t>
        </is>
      </c>
    </row>
    <row r="9">
      <c r="A9" s="5" t="inlineStr">
        <is>
          <t>Beta (5Y Monthly)</t>
        </is>
      </c>
      <c r="B9" s="5" t="inlineStr">
        <is>
          <t>2.62</t>
        </is>
      </c>
      <c r="C9" s="5" t="inlineStr">
        <is>
          <t>Yahoo Finance Statistics</t>
        </is>
      </c>
      <c r="D9" s="5" t="inlineStr">
        <is>
          <t>2026-07-17</t>
        </is>
      </c>
      <c r="E9" s="3" t="inlineStr">
        <is>
          <t>High volatility pre-commercial</t>
        </is>
      </c>
    </row>
    <row r="10">
      <c r="A10" s="5" t="inlineStr">
        <is>
          <t>52W High</t>
        </is>
      </c>
      <c r="B10" s="5" t="inlineStr">
        <is>
          <t>$19.07</t>
        </is>
      </c>
      <c r="C10" s="5" t="inlineStr">
        <is>
          <t>Yahoo Finance</t>
        </is>
      </c>
      <c r="D10" s="5" t="inlineStr">
        <is>
          <t>Trailing</t>
        </is>
      </c>
      <c r="E10" s="3" t="inlineStr">
        <is>
          <t>-60% from peak</t>
        </is>
      </c>
    </row>
    <row r="11">
      <c r="A11" s="5" t="inlineStr">
        <is>
          <t>52W Low</t>
        </is>
      </c>
      <c r="B11" s="5" t="inlineStr">
        <is>
          <t>$5.64</t>
        </is>
      </c>
      <c r="C11" s="5" t="inlineStr">
        <is>
          <t>Yahoo Finance</t>
        </is>
      </c>
      <c r="D11" s="5" t="inlineStr">
        <is>
          <t>Trailing</t>
        </is>
      </c>
      <c r="E11" s="3" t="inlineStr">
        <is>
          <t>Near current price; oversold technically</t>
        </is>
      </c>
    </row>
    <row r="12">
      <c r="A12" s="5" t="inlineStr">
        <is>
          <t>Avg Vol 3M</t>
        </is>
      </c>
      <c r="B12" s="5" t="inlineStr">
        <is>
          <t>26.27M</t>
        </is>
      </c>
      <c r="C12" s="5" t="inlineStr">
        <is>
          <t>Yahoo Finance</t>
        </is>
      </c>
      <c r="D12" s="5" t="inlineStr">
        <is>
          <t>2026-07-17</t>
        </is>
      </c>
      <c r="E12" s="3" t="inlineStr">
        <is>
          <t>High tradability</t>
        </is>
      </c>
    </row>
    <row r="13">
      <c r="A13" s="5" t="inlineStr">
        <is>
          <t>Float</t>
        </is>
      </c>
      <c r="B13" s="5" t="inlineStr">
        <is>
          <t>504.73M</t>
        </is>
      </c>
      <c r="C13" s="5" t="inlineStr">
        <is>
          <t>Yahoo Finance</t>
        </is>
      </c>
      <c r="D13" s="5" t="inlineStr">
        <is>
          <t>2026-07-17</t>
        </is>
      </c>
      <c r="E13" s="3" t="inlineStr"/>
    </row>
    <row r="14">
      <c r="A14" s="5" t="inlineStr">
        <is>
          <t>% Held Insiders</t>
        </is>
      </c>
      <c r="B14" s="5" t="inlineStr">
        <is>
          <t>13.56%</t>
        </is>
      </c>
      <c r="C14" s="5" t="inlineStr">
        <is>
          <t>Yahoo Finance</t>
        </is>
      </c>
      <c r="D14" s="5" t="inlineStr">
        <is>
          <t>2026-07-17</t>
        </is>
      </c>
      <c r="E14" s="3" t="inlineStr">
        <is>
          <t>VW ownership implied</t>
        </is>
      </c>
    </row>
    <row r="15">
      <c r="A15" s="5" t="inlineStr">
        <is>
          <t>% Held Institutions</t>
        </is>
      </c>
      <c r="B15" s="5" t="inlineStr">
        <is>
          <t>41.97%</t>
        </is>
      </c>
      <c r="C15" s="5" t="inlineStr">
        <is>
          <t>Yahoo Finance</t>
        </is>
      </c>
      <c r="D15" s="5" t="inlineStr">
        <is>
          <t>2026-07-17</t>
        </is>
      </c>
      <c r="E15" s="3" t="inlineStr">
        <is>
          <t>Moderate institutional interest</t>
        </is>
      </c>
    </row>
    <row r="16">
      <c r="A16" s="5" t="inlineStr">
        <is>
          <t>Short % of Float</t>
        </is>
      </c>
      <c r="B16" s="5" t="inlineStr">
        <is>
          <t>19.13%</t>
        </is>
      </c>
      <c r="C16" s="5" t="inlineStr">
        <is>
          <t>Yahoo Finance</t>
        </is>
      </c>
      <c r="D16" s="5" t="inlineStr">
        <is>
          <t>2026-06-30</t>
        </is>
      </c>
      <c r="E16" s="3" t="inlineStr">
        <is>
          <t>96.66M shares short; elevated</t>
        </is>
      </c>
    </row>
    <row r="17">
      <c r="A17" s="5" t="inlineStr"/>
      <c r="B17" s="5" t="inlineStr"/>
      <c r="C17" s="5" t="inlineStr"/>
      <c r="D17" s="5" t="inlineStr"/>
      <c r="E17" s="3" t="inlineStr"/>
    </row>
    <row r="18">
      <c r="A18" s="7" t="inlineStr">
        <is>
          <t>--- Balance Sheet (FY End) ---</t>
        </is>
      </c>
      <c r="B18" s="5" t="inlineStr"/>
      <c r="C18" s="5" t="inlineStr"/>
      <c r="D18" s="5" t="inlineStr"/>
      <c r="E18" s="3" t="inlineStr"/>
    </row>
    <row r="19">
      <c r="A19" s="5" t="inlineStr">
        <is>
          <t>Total Assets (FY25)</t>
        </is>
      </c>
      <c r="B19" s="5" t="inlineStr">
        <is>
          <t>$1,308M</t>
        </is>
      </c>
      <c r="C19" s="5" t="inlineStr">
        <is>
          <t>Yahoo Finance Balance Sheet</t>
        </is>
      </c>
      <c r="D19" s="5" t="inlineStr">
        <is>
          <t>2025-12-31</t>
        </is>
      </c>
      <c r="E19" s="3" t="inlineStr">
        <is>
          <t>In thousands: 1,308,156</t>
        </is>
      </c>
    </row>
    <row r="20">
      <c r="A20" s="5" t="inlineStr">
        <is>
          <t>Total Cash (MRQ Q1 FY26)</t>
        </is>
      </c>
      <c r="B20" s="5" t="inlineStr">
        <is>
          <t>$904.7M</t>
        </is>
      </c>
      <c r="C20" s="5" t="inlineStr">
        <is>
          <t>Yahoo Finance Statistics</t>
        </is>
      </c>
      <c r="D20" s="5" t="inlineStr">
        <is>
          <t>2026-03-31</t>
        </is>
      </c>
      <c r="E20" s="3" t="inlineStr">
        <is>
          <t>Per share $1.47/share</t>
        </is>
      </c>
    </row>
    <row r="21">
      <c r="A21" s="5" t="inlineStr">
        <is>
          <t>Total Debt (MRQ)</t>
        </is>
      </c>
      <c r="B21" s="5" t="inlineStr">
        <is>
          <t>$69.18M</t>
        </is>
      </c>
      <c r="C21" s="5" t="inlineStr">
        <is>
          <t>Yahoo Finance Statistics</t>
        </is>
      </c>
      <c r="D21" s="5" t="inlineStr">
        <is>
          <t>2026-03-31</t>
        </is>
      </c>
      <c r="E21" s="3" t="inlineStr">
        <is>
          <t>Debt/Equity 6.24%</t>
        </is>
      </c>
    </row>
    <row r="22">
      <c r="A22" s="5" t="inlineStr">
        <is>
          <t>Total Equity (FY25)</t>
        </is>
      </c>
      <c r="B22" s="5" t="inlineStr">
        <is>
          <t>$1,169M</t>
        </is>
      </c>
      <c r="C22" s="5" t="inlineStr">
        <is>
          <t>Yahoo Finance Balance Sheet</t>
        </is>
      </c>
      <c r="D22" s="5" t="inlineStr">
        <is>
          <t>2025-12-31</t>
        </is>
      </c>
      <c r="E22" s="3" t="inlineStr">
        <is>
          <t>Common stock equity</t>
        </is>
      </c>
    </row>
    <row r="23">
      <c r="A23" s="5" t="inlineStr">
        <is>
          <t>Total Debt (FY25)</t>
        </is>
      </c>
      <c r="B23" s="5" t="inlineStr">
        <is>
          <t>$71.0M</t>
        </is>
      </c>
      <c r="C23" s="5" t="inlineStr">
        <is>
          <t>Yahoo Finance Balance Sheet</t>
        </is>
      </c>
      <c r="D23" s="5" t="inlineStr">
        <is>
          <t>2025-12-31</t>
        </is>
      </c>
      <c r="E23" s="3" t="inlineStr">
        <is>
          <t>Capital lease obligations</t>
        </is>
      </c>
    </row>
    <row r="24">
      <c r="A24" s="5" t="inlineStr">
        <is>
          <t>Working Capital (FY25)</t>
        </is>
      </c>
      <c r="B24" s="5" t="inlineStr">
        <is>
          <t>$920.1M</t>
        </is>
      </c>
      <c r="C24" s="5" t="inlineStr">
        <is>
          <t>Yahoo Finance Balance Sheet</t>
        </is>
      </c>
      <c r="D24" s="5" t="inlineStr">
        <is>
          <t>2025-12-31</t>
        </is>
      </c>
      <c r="E24" s="3" t="inlineStr">
        <is>
          <t>Very high current ratio 20.93</t>
        </is>
      </c>
    </row>
    <row r="25">
      <c r="A25" s="5" t="inlineStr">
        <is>
          <t>P/B Ratio</t>
        </is>
      </c>
      <c r="B25" s="5" t="inlineStr">
        <is>
          <t>3.27x</t>
        </is>
      </c>
      <c r="C25" s="5" t="inlineStr">
        <is>
          <t>Yahoo Finance Statistics</t>
        </is>
      </c>
      <c r="D25" s="5" t="inlineStr">
        <is>
          <t>2026-07-17</t>
        </is>
      </c>
      <c r="E25" s="3" t="inlineStr">
        <is>
          <t>Current quarter; was 5.21x FY25</t>
        </is>
      </c>
    </row>
    <row r="26">
      <c r="A26" s="5" t="inlineStr">
        <is>
          <t>BVPS</t>
        </is>
      </c>
      <c r="B26" s="5" t="inlineStr">
        <is>
          <t>$1.80</t>
        </is>
      </c>
      <c r="C26" s="5" t="inlineStr">
        <is>
          <t>Yahoo Finance Statistics</t>
        </is>
      </c>
      <c r="D26" s="5" t="inlineStr">
        <is>
          <t>2026-03-31</t>
        </is>
      </c>
      <c r="E26" s="3" t="inlineStr">
        <is>
          <t>MRQ</t>
        </is>
      </c>
    </row>
    <row r="27">
      <c r="A27" s="5" t="inlineStr">
        <is>
          <t>Shares Issued FY25</t>
        </is>
      </c>
      <c r="B27" s="5" t="inlineStr">
        <is>
          <t>607.63M</t>
        </is>
      </c>
      <c r="C27" s="5" t="inlineStr">
        <is>
          <t>Yahoo Finance Balance Sheet</t>
        </is>
      </c>
      <c r="D27" s="5" t="inlineStr">
        <is>
          <t>2025-12-31</t>
        </is>
      </c>
      <c r="E27" s="3" t="inlineStr">
        <is>
          <t>In thousands; 39% up from FY22</t>
        </is>
      </c>
    </row>
    <row r="28">
      <c r="A28" s="5" t="inlineStr"/>
      <c r="B28" s="5" t="inlineStr"/>
      <c r="C28" s="5" t="inlineStr"/>
      <c r="D28" s="5" t="inlineStr"/>
      <c r="E28" s="3" t="inlineStr"/>
    </row>
    <row r="29">
      <c r="A29" s="7" t="inlineStr">
        <is>
          <t>--- Income Statement (Annual, $M) ---</t>
        </is>
      </c>
      <c r="B29" s="5" t="inlineStr"/>
      <c r="C29" s="5" t="inlineStr"/>
      <c r="D29" s="5" t="inlineStr"/>
      <c r="E29" s="3" t="inlineStr"/>
    </row>
    <row r="30">
      <c r="A30" s="5" t="inlineStr">
        <is>
          <t>Revenue TTM</t>
        </is>
      </c>
      <c r="B30" s="5" t="inlineStr">
        <is>
          <t>$0</t>
        </is>
      </c>
      <c r="C30" s="5" t="inlineStr">
        <is>
          <t>Yahoo Finance Income Statement</t>
        </is>
      </c>
      <c r="D30" s="5" t="inlineStr">
        <is>
          <t>TTM</t>
        </is>
      </c>
      <c r="E30" s="3" t="inlineStr">
        <is>
          <t>Zero revenue across all periods</t>
        </is>
      </c>
    </row>
    <row r="31">
      <c r="A31" s="5" t="inlineStr">
        <is>
          <t>Revenue FY25</t>
        </is>
      </c>
      <c r="B31" s="5" t="inlineStr">
        <is>
          <t>$0</t>
        </is>
      </c>
      <c r="C31" s="5" t="inlineStr">
        <is>
          <t>Yahoo Finance Income Statement</t>
        </is>
      </c>
      <c r="D31" s="5" t="inlineStr">
        <is>
          <t>2025-12-31</t>
        </is>
      </c>
      <c r="E31" s="3" t="inlineStr"/>
    </row>
    <row r="32">
      <c r="A32" s="5" t="inlineStr">
        <is>
          <t>Revenue FY24</t>
        </is>
      </c>
      <c r="B32" s="5" t="inlineStr">
        <is>
          <t>$0</t>
        </is>
      </c>
      <c r="C32" s="5" t="inlineStr">
        <is>
          <t>Yahoo Finance Income Statement</t>
        </is>
      </c>
      <c r="D32" s="5" t="inlineStr">
        <is>
          <t>2024-12-31</t>
        </is>
      </c>
      <c r="E32" s="3" t="inlineStr"/>
    </row>
    <row r="33">
      <c r="A33" s="5" t="inlineStr">
        <is>
          <t>Operating Expense TTM</t>
        </is>
      </c>
      <c r="B33" s="5" t="inlineStr">
        <is>
          <t>$458.2M</t>
        </is>
      </c>
      <c r="C33" s="5" t="inlineStr">
        <is>
          <t>Yahoo Finance</t>
        </is>
      </c>
      <c r="D33" s="5" t="inlineStr">
        <is>
          <t>TTM</t>
        </is>
      </c>
      <c r="E33" s="3" t="inlineStr">
        <is>
          <t>=</t>
        </is>
      </c>
    </row>
    <row r="34">
      <c r="A34" s="5" t="inlineStr">
        <is>
          <t>Operating Expense FY25</t>
        </is>
      </c>
      <c r="B34" s="5" t="inlineStr">
        <is>
          <t>$472.6M</t>
        </is>
      </c>
      <c r="C34" s="5" t="inlineStr">
        <is>
          <t>Yahoo Finance</t>
        </is>
      </c>
      <c r="D34" s="5" t="inlineStr">
        <is>
          <t>2025-12-31</t>
        </is>
      </c>
      <c r="E34" s="3" t="inlineStr"/>
    </row>
    <row r="35">
      <c r="A35" s="5" t="inlineStr">
        <is>
          <t>Operating Expense FY24</t>
        </is>
      </c>
      <c r="B35" s="5" t="inlineStr">
        <is>
          <t>$525.2M</t>
        </is>
      </c>
      <c r="C35" s="5" t="inlineStr">
        <is>
          <t>Yahoo Finance</t>
        </is>
      </c>
      <c r="D35" s="5" t="inlineStr">
        <is>
          <t>2024-12-31</t>
        </is>
      </c>
      <c r="E35" s="3" t="inlineStr">
        <is>
          <t>Peak; then declining</t>
        </is>
      </c>
    </row>
    <row r="36">
      <c r="A36" s="5" t="inlineStr">
        <is>
          <t>Operating Income TTM</t>
        </is>
      </c>
      <c r="B36" s="5" t="inlineStr">
        <is>
          <t>-$458.2M</t>
        </is>
      </c>
      <c r="C36" s="5" t="inlineStr">
        <is>
          <t>Calculated</t>
        </is>
      </c>
      <c r="D36" s="5" t="inlineStr">
        <is>
          <t>TTM</t>
        </is>
      </c>
      <c r="E36" s="3" t="inlineStr">
        <is>
          <t>=</t>
        </is>
      </c>
    </row>
    <row r="37">
      <c r="A37" s="5" t="inlineStr">
        <is>
          <t>Net Income TTM</t>
        </is>
      </c>
      <c r="B37" s="5" t="inlineStr">
        <is>
          <t>-$421.4M</t>
        </is>
      </c>
      <c r="C37" s="5" t="inlineStr">
        <is>
          <t>Yahoo Finance</t>
        </is>
      </c>
      <c r="D37" s="5" t="inlineStr">
        <is>
          <t>TTM</t>
        </is>
      </c>
      <c r="E37" s="3" t="inlineStr">
        <is>
          <t>After +$35.8M interest income</t>
        </is>
      </c>
    </row>
    <row r="38">
      <c r="A38" s="5" t="inlineStr">
        <is>
          <t>Net Income FY25</t>
        </is>
      </c>
      <c r="B38" s="5" t="inlineStr">
        <is>
          <t>-$435.1M</t>
        </is>
      </c>
      <c r="C38" s="5" t="inlineStr">
        <is>
          <t>Yahoo Finance</t>
        </is>
      </c>
      <c r="D38" s="5" t="inlineStr">
        <is>
          <t>2025-12-31</t>
        </is>
      </c>
      <c r="E38" s="3" t="inlineStr"/>
    </row>
    <row r="39">
      <c r="A39" s="5" t="inlineStr">
        <is>
          <t>EPS Diluted TTM</t>
        </is>
      </c>
      <c r="B39" s="5" t="inlineStr">
        <is>
          <t>-$0.71</t>
        </is>
      </c>
      <c r="C39" s="5" t="inlineStr">
        <is>
          <t>Yahoo Finance</t>
        </is>
      </c>
      <c r="D39" s="5" t="inlineStr">
        <is>
          <t>TTM</t>
        </is>
      </c>
      <c r="E39" s="3" t="inlineStr"/>
    </row>
    <row r="40">
      <c r="A40" s="5" t="inlineStr">
        <is>
          <t>Interest Income TTM</t>
        </is>
      </c>
      <c r="B40" s="5" t="inlineStr">
        <is>
          <t>$37.8M</t>
        </is>
      </c>
      <c r="C40" s="5" t="inlineStr">
        <is>
          <t>Yahoo Finance</t>
        </is>
      </c>
      <c r="D40" s="5" t="inlineStr">
        <is>
          <t>TTM</t>
        </is>
      </c>
      <c r="E40" s="3" t="inlineStr">
        <is>
          <t>Cash yield; significant contributor to net loss</t>
        </is>
      </c>
    </row>
    <row r="41">
      <c r="A41" s="5" t="inlineStr">
        <is>
          <t>Interest Expense TTM</t>
        </is>
      </c>
      <c r="B41" s="5" t="inlineStr">
        <is>
          <t>$2.0M</t>
        </is>
      </c>
      <c r="C41" s="5" t="inlineStr">
        <is>
          <t>Yahoo Finance</t>
        </is>
      </c>
      <c r="D41" s="5" t="inlineStr">
        <is>
          <t>TTM</t>
        </is>
      </c>
      <c r="E41" s="3" t="inlineStr">
        <is>
          <t>Nominal on small debt</t>
        </is>
      </c>
    </row>
    <row r="42">
      <c r="A42" s="5" t="inlineStr">
        <is>
          <t>EBITDA TTM</t>
        </is>
      </c>
      <c r="B42" s="5" t="inlineStr">
        <is>
          <t>-$347.9M</t>
        </is>
      </c>
      <c r="C42" s="5" t="inlineStr">
        <is>
          <t>Yahoo Finance</t>
        </is>
      </c>
      <c r="D42" s="5" t="inlineStr">
        <is>
          <t>TTM</t>
        </is>
      </c>
      <c r="E42" s="3" t="inlineStr">
        <is>
          <t>Includes $70.2M depreciation add-back</t>
        </is>
      </c>
    </row>
    <row r="43">
      <c r="A43" s="5" t="inlineStr">
        <is>
          <t>Dilution: Depreciation TTM</t>
        </is>
      </c>
      <c r="B43" s="5" t="inlineStr">
        <is>
          <t>$70.2M</t>
        </is>
      </c>
      <c r="C43" s="5" t="inlineStr">
        <is>
          <t>Yahoo Finance</t>
        </is>
      </c>
      <c r="D43" s="5" t="inlineStr">
        <is>
          <t>TTM</t>
        </is>
      </c>
      <c r="E43" s="3" t="inlineStr">
        <is>
          <t>Capex-related; pilot line construction</t>
        </is>
      </c>
    </row>
    <row r="44">
      <c r="A44" s="5" t="inlineStr"/>
      <c r="B44" s="5" t="inlineStr"/>
      <c r="C44" s="5" t="inlineStr"/>
      <c r="D44" s="5" t="inlineStr"/>
      <c r="E44" s="3" t="inlineStr"/>
    </row>
    <row r="45">
      <c r="A45" s="7" t="inlineStr">
        <is>
          <t>--- Cash Flow (Annual, $M) ---</t>
        </is>
      </c>
      <c r="B45" s="5" t="inlineStr"/>
      <c r="C45" s="5" t="inlineStr"/>
      <c r="D45" s="5" t="inlineStr"/>
      <c r="E45" s="3" t="inlineStr"/>
    </row>
    <row r="46">
      <c r="A46" s="5" t="inlineStr">
        <is>
          <t>Operating Cash Flow TTM</t>
        </is>
      </c>
      <c r="B46" s="5" t="inlineStr">
        <is>
          <t>-$241.2M</t>
        </is>
      </c>
      <c r="C46" s="5" t="inlineStr">
        <is>
          <t>Yahoo Finance</t>
        </is>
      </c>
      <c r="D46" s="5" t="inlineStr">
        <is>
          <t>TTM</t>
        </is>
      </c>
      <c r="E46" s="3" t="inlineStr">
        <is>
          <t>Annual burn ~$240M</t>
        </is>
      </c>
    </row>
    <row r="47">
      <c r="A47" s="5" t="inlineStr">
        <is>
          <t>Operating Cash Flow FY25</t>
        </is>
      </c>
      <c r="B47" s="5" t="inlineStr">
        <is>
          <t>-$242.5M</t>
        </is>
      </c>
      <c r="C47" s="5" t="inlineStr">
        <is>
          <t>Yahoo Finance</t>
        </is>
      </c>
      <c r="D47" s="5" t="inlineStr">
        <is>
          <t>2025-12-31</t>
        </is>
      </c>
      <c r="E47" s="3" t="inlineStr">
        <is>
          <t>Stable burn</t>
        </is>
      </c>
    </row>
    <row r="48">
      <c r="A48" s="5" t="inlineStr">
        <is>
          <t>Operating Cash Flow FY24</t>
        </is>
      </c>
      <c r="B48" s="5" t="inlineStr">
        <is>
          <t>-$274.6M</t>
        </is>
      </c>
      <c r="C48" s="5" t="inlineStr">
        <is>
          <t>Yahoo Finance</t>
        </is>
      </c>
      <c r="D48" s="5" t="inlineStr">
        <is>
          <t>2024-12-31</t>
        </is>
      </c>
      <c r="E48" s="3" t="inlineStr">
        <is>
          <t>Higher burn year</t>
        </is>
      </c>
    </row>
    <row r="49">
      <c r="A49" s="5" t="inlineStr">
        <is>
          <t>Capex TTM</t>
        </is>
      </c>
      <c r="B49" s="5" t="inlineStr">
        <is>
          <t>-$40.4M</t>
        </is>
      </c>
      <c r="C49" s="5" t="inlineStr">
        <is>
          <t>Yahoo Finance</t>
        </is>
      </c>
      <c r="D49" s="5" t="inlineStr">
        <is>
          <t>TTM</t>
        </is>
      </c>
      <c r="E49" s="3" t="inlineStr">
        <is>
          <t>Pilot line; declining from peak</t>
        </is>
      </c>
    </row>
    <row r="50">
      <c r="A50" s="5" t="inlineStr">
        <is>
          <t>Capex FY25</t>
        </is>
      </c>
      <c r="B50" s="5" t="inlineStr">
        <is>
          <t>-$36.3M</t>
        </is>
      </c>
      <c r="C50" s="5" t="inlineStr">
        <is>
          <t>Yahoo Finance</t>
        </is>
      </c>
      <c r="D50" s="5" t="inlineStr">
        <is>
          <t>2025-12-31</t>
        </is>
      </c>
      <c r="E50" s="3" t="inlineStr"/>
    </row>
    <row r="51">
      <c r="A51" s="5" t="inlineStr">
        <is>
          <t>Free Cash Flow TTM</t>
        </is>
      </c>
      <c r="B51" s="5" t="inlineStr">
        <is>
          <t>-$281.7M</t>
        </is>
      </c>
      <c r="C51" s="5" t="inlineStr">
        <is>
          <t>Yahoo Finance</t>
        </is>
      </c>
      <c r="D51" s="5" t="inlineStr">
        <is>
          <t>TTM</t>
        </is>
      </c>
      <c r="E51" s="3" t="inlineStr">
        <is>
          <t>OCF + Capex</t>
        </is>
      </c>
    </row>
    <row r="52">
      <c r="A52" s="5" t="inlineStr">
        <is>
          <t>Free Cash Flow FY25</t>
        </is>
      </c>
      <c r="B52" s="5" t="inlineStr">
        <is>
          <t>-$278.8M</t>
        </is>
      </c>
      <c r="C52" s="5" t="inlineStr">
        <is>
          <t>Yahoo Finance</t>
        </is>
      </c>
      <c r="D52" s="5" t="inlineStr">
        <is>
          <t>2025-12-31</t>
        </is>
      </c>
      <c r="E52" s="3" t="inlineStr"/>
    </row>
    <row r="53">
      <c r="A53" s="5" t="inlineStr">
        <is>
          <t>Financing Cash Flow TTM</t>
        </is>
      </c>
      <c r="B53" s="5" t="inlineStr">
        <is>
          <t>+$301.1M</t>
        </is>
      </c>
      <c r="C53" s="5" t="inlineStr">
        <is>
          <t>Yahoo Finance</t>
        </is>
      </c>
      <c r="D53" s="5" t="inlineStr">
        <is>
          <t>TTM</t>
        </is>
      </c>
      <c r="E53" s="3" t="inlineStr">
        <is>
          <t>Equity raises; $267.6M stock issuance</t>
        </is>
      </c>
    </row>
    <row r="54">
      <c r="A54" s="5" t="inlineStr">
        <is>
          <t>Financing Cash Flow FY25</t>
        </is>
      </c>
      <c r="B54" s="5" t="inlineStr">
        <is>
          <t>+$312.8M</t>
        </is>
      </c>
      <c r="C54" s="5" t="inlineStr">
        <is>
          <t>Yahoo Finance</t>
        </is>
      </c>
      <c r="D54" s="5" t="inlineStr">
        <is>
          <t>2025-12-31</t>
        </is>
      </c>
      <c r="E54" s="3" t="inlineStr">
        <is>
          <t>Large equity raise; $268.7M stock issuance</t>
        </is>
      </c>
    </row>
    <row r="55">
      <c r="A55" s="5" t="inlineStr">
        <is>
          <t>Financing Cash Flow FY24</t>
        </is>
      </c>
      <c r="B55" s="5" t="inlineStr">
        <is>
          <t>+$144.0M</t>
        </is>
      </c>
      <c r="C55" s="5" t="inlineStr">
        <is>
          <t>Yahoo Finance</t>
        </is>
      </c>
      <c r="D55" s="5" t="inlineStr">
        <is>
          <t>2024-12-31</t>
        </is>
      </c>
      <c r="E55" s="3" t="inlineStr"/>
    </row>
    <row r="56">
      <c r="A56" s="5" t="inlineStr">
        <is>
          <t>End Cash Position TTM</t>
        </is>
      </c>
      <c r="B56" s="5" t="inlineStr">
        <is>
          <t>$158.7M</t>
        </is>
      </c>
      <c r="C56" s="5" t="inlineStr">
        <is>
          <t>Yahoo Finance</t>
        </is>
      </c>
      <c r="D56" s="5" t="inlineStr">
        <is>
          <t>TTM end</t>
        </is>
      </c>
      <c r="E56" s="3" t="inlineStr">
        <is>
          <t>Cash flow statement end; differs from Stats $904.7M</t>
        </is>
      </c>
    </row>
    <row r="57">
      <c r="A57" s="5" t="inlineStr"/>
      <c r="B57" s="5" t="inlineStr"/>
      <c r="C57" s="5" t="inlineStr"/>
      <c r="D57" s="5" t="inlineStr"/>
      <c r="E57" s="3" t="inlineStr"/>
    </row>
    <row r="58">
      <c r="A58" s="7" t="inlineStr">
        <is>
          <t>--- Analyst Estimates (Yahoo Finance) ---</t>
        </is>
      </c>
      <c r="B58" s="5" t="inlineStr"/>
      <c r="C58" s="5" t="inlineStr"/>
      <c r="D58" s="5" t="inlineStr"/>
      <c r="E58" s="3" t="inlineStr"/>
    </row>
    <row r="59">
      <c r="A59" s="5" t="inlineStr">
        <is>
          <t>Current Qtr Revenue Estimate</t>
        </is>
      </c>
      <c r="B59" s="5" t="inlineStr">
        <is>
          <t>--</t>
        </is>
      </c>
      <c r="C59" s="5" t="inlineStr">
        <is>
          <t>Yahoo Finance Analysis</t>
        </is>
      </c>
      <c r="D59" s="5" t="inlineStr">
        <is>
          <t>2026-07-17</t>
        </is>
      </c>
      <c r="E59" s="3" t="inlineStr">
        <is>
          <t>No revenue estimate (Q2 FY26)</t>
        </is>
      </c>
    </row>
    <row r="60">
      <c r="A60" s="5" t="inlineStr">
        <is>
          <t>Next Qtr Revenue Estimate</t>
        </is>
      </c>
      <c r="B60" s="5" t="inlineStr">
        <is>
          <t>--</t>
        </is>
      </c>
      <c r="C60" s="5" t="inlineStr">
        <is>
          <t>Yahoo Finance Analysis</t>
        </is>
      </c>
      <c r="D60" s="5" t="inlineStr">
        <is>
          <t>2026-07-17</t>
        </is>
      </c>
      <c r="E60" s="3" t="inlineStr">
        <is>
          <t>No revenue estimate (Q3 FY26)</t>
        </is>
      </c>
    </row>
    <row r="61">
      <c r="A61" s="5" t="inlineStr">
        <is>
          <t>FY2026 Revenue Estimate</t>
        </is>
      </c>
      <c r="B61" s="5" t="inlineStr">
        <is>
          <t>--</t>
        </is>
      </c>
      <c r="C61" s="5" t="inlineStr">
        <is>
          <t>Yahoo Finance Analysis</t>
        </is>
      </c>
      <c r="D61" s="5" t="inlineStr">
        <is>
          <t>2026-07-17</t>
        </is>
      </c>
      <c r="E61" s="3" t="inlineStr">
        <is>
          <t>No estimate; 3 analysts for FY27 only</t>
        </is>
      </c>
    </row>
    <row r="62">
      <c r="A62" s="5" t="inlineStr">
        <is>
          <t>FY2027 Revenue Estimate (Avg)</t>
        </is>
      </c>
      <c r="B62" s="5" t="inlineStr">
        <is>
          <t>$35.71M</t>
        </is>
      </c>
      <c r="C62" s="5" t="inlineStr">
        <is>
          <t>Yahoo Finance Analysis</t>
        </is>
      </c>
      <c r="D62" s="5" t="inlineStr">
        <is>
          <t>2026-07-17</t>
        </is>
      </c>
      <c r="E62" s="3" t="inlineStr">
        <is>
          <t>3 analysts; range $15M-$57M</t>
        </is>
      </c>
    </row>
    <row r="63">
      <c r="A63" s="5" t="inlineStr">
        <is>
          <t>FY2026 EPS Estimate (Avg)</t>
        </is>
      </c>
      <c r="B63" s="5" t="inlineStr">
        <is>
          <t>-$0.70</t>
        </is>
      </c>
      <c r="C63" s="5" t="inlineStr">
        <is>
          <t>Yahoo Finance Analysis</t>
        </is>
      </c>
      <c r="D63" s="5" t="inlineStr">
        <is>
          <t>2026-07-17</t>
        </is>
      </c>
      <c r="E63" s="3" t="inlineStr">
        <is>
          <t>6 analysts; range -$0.74 to -$0.66</t>
        </is>
      </c>
    </row>
    <row r="64">
      <c r="A64" s="5" t="inlineStr">
        <is>
          <t>FY2027 EPS Estimate (Avg)</t>
        </is>
      </c>
      <c r="B64" s="5" t="inlineStr">
        <is>
          <t>-$0.68</t>
        </is>
      </c>
      <c r="C64" s="5" t="inlineStr">
        <is>
          <t>Yahoo Finance Analysis</t>
        </is>
      </c>
      <c r="D64" s="5" t="inlineStr">
        <is>
          <t>2026-07-17</t>
        </is>
      </c>
      <c r="E64" s="3" t="inlineStr">
        <is>
          <t>6 analysts; range -$0.79 to -$0.50</t>
        </is>
      </c>
    </row>
    <row r="65">
      <c r="A65" s="5" t="inlineStr">
        <is>
          <t>EPS Revision Trend FY26</t>
        </is>
      </c>
      <c r="B65" s="5" t="inlineStr">
        <is>
          <t>Negative</t>
        </is>
      </c>
      <c r="C65" s="5" t="inlineStr">
        <is>
          <t>Yahoo Finance</t>
        </is>
      </c>
      <c r="D65" s="5" t="inlineStr">
        <is>
          <t>2026-07-17</t>
        </is>
      </c>
      <c r="E65" s="3" t="inlineStr">
        <is>
          <t>From -$0.63 (90d ago) to -$0.70 (current)</t>
        </is>
      </c>
    </row>
    <row r="66">
      <c r="A66" s="5" t="inlineStr">
        <is>
          <t>EPS Revision Trend FY27</t>
        </is>
      </c>
      <c r="B66" s="5" t="inlineStr">
        <is>
          <t>Negative</t>
        </is>
      </c>
      <c r="C66" s="5" t="inlineStr">
        <is>
          <t>Yahoo Finance</t>
        </is>
      </c>
      <c r="D66" s="5" t="inlineStr">
        <is>
          <t>2026-07-17</t>
        </is>
      </c>
      <c r="E66" s="3" t="inlineStr">
        <is>
          <t>From -$0.57 (90d ago) to -$0.68 (current)</t>
        </is>
      </c>
    </row>
    <row r="67">
      <c r="A67" s="5" t="inlineStr"/>
      <c r="B67" s="5" t="inlineStr"/>
      <c r="C67" s="5" t="inlineStr"/>
      <c r="D67" s="5" t="inlineStr"/>
      <c r="E67" s="3" t="inlineStr"/>
    </row>
    <row r="68">
      <c r="A68" s="7" t="inlineStr">
        <is>
          <t>--- Key Ratios ---</t>
        </is>
      </c>
      <c r="B68" s="5" t="inlineStr"/>
      <c r="C68" s="5" t="inlineStr"/>
      <c r="D68" s="5" t="inlineStr"/>
      <c r="E68" s="3" t="inlineStr"/>
    </row>
    <row r="69">
      <c r="A69" s="5" t="inlineStr">
        <is>
          <t>Current Ratio (MRQ)</t>
        </is>
      </c>
      <c r="B69" s="5" t="inlineStr">
        <is>
          <t>20.93</t>
        </is>
      </c>
      <c r="C69" s="5" t="inlineStr">
        <is>
          <t>Yahoo Finance Statistics</t>
        </is>
      </c>
      <c r="D69" s="5" t="inlineStr">
        <is>
          <t>2026-03-31</t>
        </is>
      </c>
      <c r="E69" s="3" t="inlineStr">
        <is>
          <t>Extremely high; cash-rich balance sheet</t>
        </is>
      </c>
    </row>
    <row r="70">
      <c r="A70" s="5" t="inlineStr">
        <is>
          <t>Debt/Equity (MRQ)</t>
        </is>
      </c>
      <c r="B70" s="5" t="inlineStr">
        <is>
          <t>6.24%</t>
        </is>
      </c>
      <c r="C70" s="5" t="inlineStr">
        <is>
          <t>Yahoo Finance Statistics</t>
        </is>
      </c>
      <c r="D70" s="5" t="inlineStr">
        <is>
          <t>2026-03-31</t>
        </is>
      </c>
      <c r="E70" s="3" t="inlineStr">
        <is>
          <t>Very low leverage</t>
        </is>
      </c>
    </row>
    <row r="71">
      <c r="A71" s="5" t="inlineStr">
        <is>
          <t>ROA (TTM)</t>
        </is>
      </c>
      <c r="B71" s="5" t="inlineStr">
        <is>
          <t>-23.02%</t>
        </is>
      </c>
      <c r="C71" s="5" t="inlineStr">
        <is>
          <t>Yahoo Finance Statistics</t>
        </is>
      </c>
      <c r="D71" s="5" t="inlineStr">
        <is>
          <t>TTM</t>
        </is>
      </c>
      <c r="E71" s="3" t="inlineStr">
        <is>
          <t>Negative due to operating losses</t>
        </is>
      </c>
    </row>
    <row r="72">
      <c r="A72" s="5" t="inlineStr">
        <is>
          <t>ROE (TTM)</t>
        </is>
      </c>
      <c r="B72" s="5" t="inlineStr">
        <is>
          <t>-38.00%</t>
        </is>
      </c>
      <c r="C72" s="5" t="inlineStr">
        <is>
          <t>Yahoo Finance Statistics</t>
        </is>
      </c>
      <c r="D72" s="5" t="inlineStr">
        <is>
          <t>TTM</t>
        </is>
      </c>
      <c r="E72" s="3" t="inlineStr">
        <is>
          <t>Negative; well below cost of equity (17.65%)</t>
        </is>
      </c>
    </row>
    <row r="73">
      <c r="A73" s="5" t="inlineStr"/>
      <c r="B73" s="5" t="inlineStr"/>
      <c r="C73" s="5" t="inlineStr"/>
      <c r="D73" s="5" t="inlineStr"/>
      <c r="E73" s="3" t="inlineStr"/>
    </row>
    <row r="74">
      <c r="A74" s="5" t="inlineStr">
        <is>
          <t>10Y Treasury Rate</t>
        </is>
      </c>
      <c r="B74" s="5" t="inlineStr">
        <is>
          <t>4.55%</t>
        </is>
      </c>
      <c r="C74" s="5" t="inlineStr">
        <is>
          <t>CNBC US10Y</t>
        </is>
      </c>
      <c r="D74" s="5" t="inlineStr">
        <is>
          <t>2026-07-17</t>
        </is>
      </c>
      <c r="E74" s="3" t="inlineStr">
        <is>
          <t>Used for WACC calculation</t>
        </is>
      </c>
    </row>
    <row r="75">
      <c r="A75" s="5" t="inlineStr">
        <is>
          <t>Fiscal Year End</t>
        </is>
      </c>
      <c r="B75" s="5" t="inlineStr">
        <is>
          <t>12/31</t>
        </is>
      </c>
      <c r="C75" s="5" t="inlineStr">
        <is>
          <t>Yahoo Finance Statistics</t>
        </is>
      </c>
      <c r="D75" s="5" t="inlineStr">
        <is>
          <t>2026-07-17</t>
        </is>
      </c>
      <c r="E75" s="3" t="inlineStr">
        <is>
          <t>Calendar year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45" customWidth="1" min="3" max="3"/>
  </cols>
  <sheetData>
    <row r="1">
      <c r="A1" s="1" t="inlineStr">
        <is>
          <t>Open Questions — QuantumScape (QS)</t>
        </is>
      </c>
    </row>
    <row r="3">
      <c r="A3" s="4" t="inlineStr">
        <is>
          <t>#</t>
        </is>
      </c>
      <c r="B3" s="4" t="inlineStr">
        <is>
          <t>Question</t>
        </is>
      </c>
      <c r="C3" s="4" t="inlineStr">
        <is>
          <t>Why It Matters</t>
        </is>
      </c>
    </row>
    <row r="4">
      <c r="A4" s="5" t="n">
        <v>1</v>
      </c>
      <c r="B4" s="3" t="inlineStr">
        <is>
          <t>Cash Position Discrepancy: Balance sheet shows End Cash of $158.7M (TTM cash flow statement) vs Total Cash of $904.7M (Yahoo Statistics MRQ). Why the $746M delta?</t>
        </is>
      </c>
      <c r="C4" s="3" t="inlineStr">
        <is>
          <t>Determines accurate cash runway. Yahoo Stats likely includes STT/investments; cash flow statement may track only operating cash. Need to verify actual liquid cash vs restricted/STT investments.</t>
        </is>
      </c>
    </row>
    <row r="5">
      <c r="A5" s="5" t="n">
        <v>2</v>
      </c>
      <c r="B5" s="3" t="inlineStr">
        <is>
          <t>Share Count Discrepancy: Balance sheet shows 607.63M shares issued (FY25), but Yahoo Finance shows 578.34M outstanding with 615.15M implied. Which is correct?</t>
        </is>
      </c>
      <c r="C5" s="3" t="inlineStr">
        <is>
          <t>Implied vs actual share count matters for per-share NAV. The 615.15M implied includes convertible subsidiary equity. Need to clarify the economic share count for valuation.</t>
        </is>
      </c>
    </row>
    <row r="6">
      <c r="A6" s="5" t="n">
        <v>3</v>
      </c>
      <c r="B6" s="3" t="inlineStr">
        <is>
          <t>VW Partnership Status: What is the current status of the Volkswagen joint venture and pilot program? Is the 'all-solid-state battery' development on schedule for ~2028?</t>
        </is>
      </c>
      <c r="C6" s="3" t="inlineStr">
        <is>
          <t>VW is QS's primary strategic partner and validation pathway. Any delay, cancellation, or deprioritization would materially impact the optionality premium. VW reportedly owns ~26% stake.</t>
        </is>
      </c>
    </row>
    <row r="7">
      <c r="A7" s="5" t="n">
        <v>4</v>
      </c>
      <c r="B7" s="3" t="inlineStr">
        <is>
          <t>VW Ownership Stake: VW holds ~26% of QS. Is this equity stake dilutive (preferred/share class) or common? What voting rights do they have?</t>
        </is>
      </c>
      <c r="C7" s="3" t="inlineStr">
        <is>
          <t>Capital structure complexity. VW's stake affects effective float, governance, and exit dynamics.</t>
        </is>
      </c>
    </row>
    <row r="8">
      <c r="A8" s="5" t="n">
        <v>5</v>
      </c>
      <c r="B8" s="3" t="inlineStr">
        <is>
          <t>Cash Runway Calculation: With $904.7M cash and ~$60-65M/quarter burn, runway is ~14-15 quarters to June 2030. What are the milestone triggers for each financing round?</t>
        </is>
      </c>
      <c r="C8" s="3" t="inlineStr">
        <is>
          <t>Determines dilution timeline. The critical question is whether VW or other partners co-fund milestones or if QS must raise independently at depressed valuations.</t>
        </is>
      </c>
    </row>
    <row r="9">
      <c r="A9" s="5" t="n">
        <v>6</v>
      </c>
      <c r="B9" s="3" t="inlineStr">
        <is>
          <t>Technology Validation: Has QS demonstrated a full-cell that meets the claimed 3000+ mile range and 15-minute charge specs? What is the production yield at pilot scale?</t>
        </is>
      </c>
      <c r="C9" s="3" t="inlineStr">
        <is>
          <t>The entire thesis rests on the solid-state cell surviving pilot → commercialization transition. Many battery startups have failed at this bridge. Yield rates, cycle life, and thermal stability at scale are unproven.</t>
        </is>
      </c>
    </row>
    <row r="10">
      <c r="A10" s="5" t="n">
        <v>7</v>
      </c>
      <c r="B10" s="3" t="inlineStr">
        <is>
          <t>Pilot Line Status: What is the status and timeline of the pilot production line in San Jose? Has any cell been delivered to VW for testing?</t>
        </is>
      </c>
      <c r="C10" s="3" t="inlineStr">
        <is>
          <t>Pilot line is the de facto proof point for the technology. No physical delivery = all speculative.</t>
        </is>
      </c>
    </row>
    <row r="11">
      <c r="A11" s="5" t="n">
        <v>8</v>
      </c>
      <c r="B11" s="3" t="inlineStr">
        <is>
          <t>Competitive Risk: How does QS's all-solid-state lithium-metal technology compare with Semi-solid approaches (CATL, Nio, Gotion) that are already in volume production?</t>
        </is>
      </c>
      <c r="C11" s="3" t="inlineStr">
        <is>
          <t>Semi-solid batteries are shipping NOW in volume. QS's all-solid-state approach has higher theoretical energy density but longer commercialization timeline. Window of differentiation may be closing.</t>
        </is>
      </c>
    </row>
    <row r="12">
      <c r="A12" s="5" t="n">
        <v>9</v>
      </c>
      <c r="B12" s="3" t="inlineStr">
        <is>
          <t>Toyota's Solid-State Timeline: Toyota has announced 2027-2028 commercialization for solid-state EV batteries. How does this impact QS's first-mover advantage?</t>
        </is>
      </c>
      <c r="C12" s="3" t="inlineStr">
        <is>
          <t>Toyota's resources dwarf QS's. If Toyota achieves comparable performance at lower cost, QS's optionality vanishes. Toyota's track record of delayed deliveries is a counter-argument but not a hedge.</t>
        </is>
      </c>
    </row>
    <row r="13">
      <c r="A13" s="5" t="n">
        <v>10</v>
      </c>
      <c r="B13" s="3" t="inlineStr">
        <is>
          <t>Depreciation Pattern: TTM depreciation of $70.2M is up from $65.8M FY24 and $49.7M FY23. What assets are being depreciated and is the pilot line construction complete?</t>
        </is>
      </c>
      <c r="C13" s="3" t="inlineStr">
        <is>
          <t>Increasing depreciation signals capitalization of pilot/facility costs. If the line is substantially built, future depreciation may increase, widening the income statement gap.</t>
        </is>
      </c>
    </row>
    <row r="14">
      <c r="A14" s="5" t="n">
        <v>11</v>
      </c>
      <c r="B14" s="3" t="inlineStr">
        <is>
          <t>Interest Income Sustainability: $37.8M TTM interest income on $904.7M cash implies ~4.2% yield. Does this change with future cash deployment or lower rates?</t>
        </is>
      </c>
      <c r="C14" s="3" t="inlineStr">
        <is>
          <t>Interest income offsets ~9% of operating burn. A significant component of net loss mitigation. Rate environment matters.</t>
        </is>
      </c>
    </row>
    <row r="15">
      <c r="A15" s="5" t="n">
        <v>12</v>
      </c>
      <c r="B15" s="3" t="inlineStr">
        <is>
          <t>Revenue Recognition Policy: With $0 revenue for 4+ years, what revenue recognition triggers exist for the VW partnership? Are there milestone payments, licensing fees, or government grants not yet recognized?</t>
        </is>
      </c>
      <c r="C15" s="3" t="inlineStr">
        <is>
          <t>Any non-operating revenue source (grants, partnerships, R&amp;D subsidies) would extend runway without dilution. Need to verify if existing contracts contain any revenue-recognition provisions.</t>
        </is>
      </c>
    </row>
    <row r="16">
      <c r="A16" s="5" t="n">
        <v>13</v>
      </c>
      <c r="B16" s="3" t="inlineStr">
        <is>
          <t>Dilution History: Share count grew from 438M (FY22) to 608M (FY25) — +39% in 3 years. What was the implied valuation at each capital raise? Was the VW partnership the catalyst for the last raise?</t>
        </is>
      </c>
      <c r="C16" s="3" t="inlineStr">
        <is>
          <t>Tracks the capital raise history. VW invested $300M+ across multiple rounds. The last raise (FY25) valued the company at ~$5.4B pre — well above current MC. Understanding raise pricing history sets the dilution risk profile.</t>
        </is>
      </c>
    </row>
    <row r="17">
      <c r="A17" s="5" t="n">
        <v>14</v>
      </c>
      <c r="B17" s="3" t="inlineStr">
        <is>
          <t>SBC and Option Grants: What is the annual SBC / option grant expense? For a pre-revenue company with 578M+ shares, dilution from SBC can compound silently.</t>
        </is>
      </c>
      <c r="C17" s="3" t="inlineStr">
        <is>
          <t>SBC is a silent dilution mechanism. For a cash-burning company already raising equity at discounts, option-based compensation can erode per-share value without triggering new financing rounds.</t>
        </is>
      </c>
    </row>
    <row r="18">
      <c r="A18" s="5" t="n">
        <v>15</v>
      </c>
      <c r="B18" s="3" t="inlineStr">
        <is>
          <t>SPAC-era Dilution: QS went public via SPAC merger (June 2020). What is the post-SPAC dilution trajectory? How much value has been destroyed from IPO to current price?</t>
        </is>
      </c>
      <c r="C18" s="3" t="inlineStr">
        <is>
          <t>SPAC IPO was at ~$10/share. Current price ~$5.86. The entire SPAC premium has been destroyed. Understanding the full dilution arc is essential for perspective.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60" customWidth="1" min="3" max="3"/>
  </cols>
  <sheetData>
    <row r="1">
      <c r="A1" s="1" t="inlineStr">
        <is>
          <t>Sources — QuantumScape (QS)</t>
        </is>
      </c>
    </row>
    <row r="3">
      <c r="A3" s="4" t="inlineStr">
        <is>
          <t>#</t>
        </is>
      </c>
      <c r="B3" s="4" t="inlineStr">
        <is>
          <t>Source</t>
        </is>
      </c>
      <c r="C3" s="4" t="inlineStr">
        <is>
          <t>URL / Reference</t>
        </is>
      </c>
    </row>
    <row r="4">
      <c r="A4" s="5" t="n">
        <v>1</v>
      </c>
      <c r="B4" s="5" t="inlineStr">
        <is>
          <t>Yahoo Finance — Price, Statistics, Market Data</t>
        </is>
      </c>
      <c r="C4" s="3" t="inlineStr">
        <is>
          <t>https://finance.yahoo.com/quote/QS/</t>
        </is>
      </c>
    </row>
    <row r="5">
      <c r="A5" s="5" t="n">
        <v>2</v>
      </c>
      <c r="B5" s="5" t="inlineStr">
        <is>
          <t>Yahoo Finance — Key Statistics (Beta, P/B, Shares, Short Interest)</t>
        </is>
      </c>
      <c r="C5" s="3" t="inlineStr">
        <is>
          <t>https://finance.yahoo.com/quote/QS/key-statistics/</t>
        </is>
      </c>
    </row>
    <row r="6">
      <c r="A6" s="5" t="n">
        <v>3</v>
      </c>
      <c r="B6" s="5" t="inlineStr">
        <is>
          <t>Yahoo Finance — Income Statement (Annual)</t>
        </is>
      </c>
      <c r="C6" s="3" t="inlineStr">
        <is>
          <t>https://finance.yahoo.com/quote/QS/financials/</t>
        </is>
      </c>
    </row>
    <row r="7">
      <c r="A7" s="5" t="n">
        <v>4</v>
      </c>
      <c r="B7" s="5" t="inlineStr">
        <is>
          <t>Yahoo Finance — Balance Sheet (Annual)</t>
        </is>
      </c>
      <c r="C7" s="3" t="inlineStr">
        <is>
          <t>https://finance.yahoo.com/quote/QS/balance-sheet/</t>
        </is>
      </c>
    </row>
    <row r="8">
      <c r="A8" s="5" t="n">
        <v>5</v>
      </c>
      <c r="B8" s="5" t="inlineStr">
        <is>
          <t>Yahoo Finance — Cash Flow Statement (Annual)</t>
        </is>
      </c>
      <c r="C8" s="3" t="inlineStr">
        <is>
          <t>https://finance.yahoo.com/quote/QS/cash-flow/</t>
        </is>
      </c>
    </row>
    <row r="9">
      <c r="A9" s="5" t="n">
        <v>6</v>
      </c>
      <c r="B9" s="5" t="inlineStr">
        <is>
          <t>Yahoo Finance — Analyst Estimates</t>
        </is>
      </c>
      <c r="C9" s="3" t="inlineStr">
        <is>
          <t>https://finance.yahoo.com/quote/QS/analysis/</t>
        </is>
      </c>
    </row>
    <row r="10">
      <c r="A10" s="5" t="n">
        <v>7</v>
      </c>
      <c r="B10" s="5" t="inlineStr">
        <is>
          <t>Yahoo Finance — Company Profile</t>
        </is>
      </c>
      <c r="C10" s="3" t="inlineStr">
        <is>
          <t>https://finance.yahoo.com/quote/QS/profile/</t>
        </is>
      </c>
    </row>
    <row r="11">
      <c r="A11" s="5" t="n">
        <v>8</v>
      </c>
      <c r="B11" s="5" t="inlineStr">
        <is>
          <t>Yahoo Finance — Revenue/EPS Estimates Tables</t>
        </is>
      </c>
      <c r="C11" s="3" t="inlineStr">
        <is>
          <t>https://finance.yahoo.com/quote/QS/analysis/</t>
        </is>
      </c>
    </row>
    <row r="12">
      <c r="A12" s="5" t="n">
        <v>9</v>
      </c>
      <c r="B12" s="5" t="inlineStr">
        <is>
          <t>CNBC — 10Y US Treasury Yield</t>
        </is>
      </c>
      <c r="C12" s="3" t="inlineStr">
        <is>
          <t>https://www.cnbc.com/quotes/US10Y</t>
        </is>
      </c>
    </row>
    <row r="13">
      <c r="A13" s="5" t="n">
        <v>10</v>
      </c>
      <c r="B13" s="5" t="inlineStr">
        <is>
          <t>StockAnalysis.com (returned 404 for QS)</t>
        </is>
      </c>
      <c r="C13" s="3" t="inlineStr">
        <is>
          <t>N/A — data unavailable</t>
        </is>
      </c>
    </row>
    <row r="14">
      <c r="A14" s="5" t="n">
        <v>11</v>
      </c>
      <c r="B14" s="5" t="inlineStr">
        <is>
          <t>Related Tickers (Yahoo Finance)</t>
        </is>
      </c>
      <c r="C14" s="3" t="inlineStr">
        <is>
          <t>SLDP (Solid Power), MBLY (Mobileye), MVST (Microvast), SES (SES AI)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2026-07-18T02:58:45Z</dcterms:created>
  <dcterms:modified xsi:type="dcterms:W3CDTF">2026-07-18T02:58:45Z</dcterms:modified>
</cp:coreProperties>
</file>