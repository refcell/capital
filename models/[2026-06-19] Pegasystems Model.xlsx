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</cols>
  <sheetData>
    <row r="1">
      <c r="A1" s="1" t="inlineStr">
        <is>
          <t>Pegasystems Inc. (PEGA) - Valuation Summary</t>
        </is>
      </c>
    </row>
    <row r="2">
      <c r="A2" s="2" t="inlineStr">
        <is>
          <t>Company</t>
        </is>
      </c>
      <c r="B2" s="3" t="inlineStr">
        <is>
          <t>Pegasystems Inc.</t>
        </is>
      </c>
    </row>
    <row r="3">
      <c r="A3" s="2" t="inlineStr">
        <is>
          <t>Ticker</t>
        </is>
      </c>
      <c r="B3" s="3" t="inlineStr">
        <is>
          <t>NASDAQ: PEGA</t>
        </is>
      </c>
    </row>
    <row r="4">
      <c r="A4" s="2" t="inlineStr">
        <is>
          <t>Date</t>
        </is>
      </c>
      <c r="B4" s="3" t="inlineStr">
        <is>
          <t>2026-06-19</t>
        </is>
      </c>
    </row>
    <row r="5">
      <c r="A5" s="2" t="inlineStr">
        <is>
          <t>Price</t>
        </is>
      </c>
      <c r="B5" s="3" t="inlineStr">
        <is>
          <t>30.09</t>
        </is>
      </c>
    </row>
    <row r="6">
      <c r="A6" s="2" t="inlineStr">
        <is>
          <t>Shares Outstanding (M)</t>
        </is>
      </c>
      <c r="B6" s="3" t="inlineStr">
        <is>
          <t>167.12</t>
        </is>
      </c>
    </row>
    <row r="7">
      <c r="A7" s="2" t="inlineStr">
        <is>
          <t>Market Cap ($M)</t>
        </is>
      </c>
      <c r="B7" s="3" t="inlineStr">
        <is>
          <t>5,030</t>
        </is>
      </c>
    </row>
    <row r="8">
      <c r="A8" s="2" t="inlineStr">
        <is>
          <t>Enterprise Value ($M)</t>
        </is>
      </c>
      <c r="B8" s="3" t="inlineStr">
        <is>
          <t>4,620</t>
        </is>
      </c>
    </row>
    <row r="9">
      <c r="A9" s="2" t="inlineStr">
        <is>
          <t>Primary Lens</t>
        </is>
      </c>
      <c r="B9" s="3" t="inlineStr">
        <is>
          <t>Forward P/E, scenario-based FCF multiple</t>
        </is>
      </c>
    </row>
    <row r="10">
      <c r="A10" s="2" t="inlineStr">
        <is>
          <t>Stance</t>
        </is>
      </c>
      <c r="B10" s="3" t="inlineStr">
        <is>
          <t>Watch — compelling FCF but recent earnings miss</t>
        </is>
      </c>
    </row>
    <row r="13">
      <c r="A13" s="4" t="inlineStr">
        <is>
          <t>Valuation Metric</t>
        </is>
      </c>
      <c r="B13" s="4" t="inlineStr">
        <is>
          <t>Value</t>
        </is>
      </c>
      <c r="C13" s="4" t="inlineStr">
        <is>
          <t>Commentary</t>
        </is>
      </c>
    </row>
    <row r="14">
      <c r="A14" s="3" t="inlineStr">
        <is>
          <t>Trailing P/E</t>
        </is>
      </c>
      <c r="B14" s="3" t="inlineStr">
        <is>
          <t>16.25x</t>
        </is>
      </c>
      <c r="C14" s="3" t="inlineStr">
        <is>
          <t>Down from 62.63x at Q1; TTM earnings still depressed by Q4 miss</t>
        </is>
      </c>
    </row>
    <row r="15">
      <c r="A15" s="3" t="inlineStr">
        <is>
          <t>Forward P/E (FY26)</t>
        </is>
      </c>
      <c r="B15" s="3" t="inlineStr">
        <is>
          <t>10.28x</t>
        </is>
      </c>
      <c r="C15" s="3" t="inlineStr">
        <is>
          <t>Very cheap on consensus $2.93 EPS</t>
        </is>
      </c>
    </row>
    <row r="16">
      <c r="A16" s="3" t="inlineStr">
        <is>
          <t>Forward P/E (FY27)</t>
        </is>
      </c>
      <c r="B16" s="3" t="inlineStr">
        <is>
          <t>9.18x</t>
        </is>
      </c>
      <c r="C16" s="3" t="inlineStr">
        <is>
          <t>Extremely cheap on $3.04 EPS consensus</t>
        </is>
      </c>
    </row>
    <row r="17">
      <c r="A17" s="3" t="inlineStr">
        <is>
          <t>P/S</t>
        </is>
      </c>
      <c r="B17" s="3" t="inlineStr">
        <is>
          <t>3.22x</t>
        </is>
      </c>
      <c r="C17" s="3" t="inlineStr">
        <is>
          <t>Halved from 6.57x at year-end 2025</t>
        </is>
      </c>
    </row>
    <row r="18">
      <c r="A18" s="3" t="inlineStr">
        <is>
          <t>P/FCF (TTM)</t>
        </is>
      </c>
      <c r="B18" s="3" t="inlineStr">
        <is>
          <t>10.16x</t>
        </is>
      </c>
      <c r="C18" s="3" t="inlineStr">
        <is>
          <t>$495M FCF on $5.03B price; compelling</t>
        </is>
      </c>
    </row>
    <row r="19">
      <c r="A19" s="3" t="inlineStr">
        <is>
          <t>P/B</t>
        </is>
      </c>
      <c r="B19" s="3" t="inlineStr">
        <is>
          <t>7.12x</t>
        </is>
      </c>
      <c r="C19" s="3" t="inlineStr">
        <is>
          <t>Book value at $705M tangible; elevated but justified by ROE</t>
        </is>
      </c>
    </row>
    <row r="20">
      <c r="A20" s="3" t="inlineStr">
        <is>
          <t>EV/EBITDA</t>
        </is>
      </c>
      <c r="B20" s="3" t="inlineStr">
        <is>
          <t>20.95x</t>
        </is>
      </c>
      <c r="C20" s="3" t="inlineStr">
        <is>
          <t>From 27.53x at FY25; multiple compression real</t>
        </is>
      </c>
    </row>
    <row r="21">
      <c r="A21" s="3" t="inlineStr">
        <is>
          <t>EV/Sales</t>
        </is>
      </c>
      <c r="B21" s="3" t="inlineStr">
        <is>
          <t>2.72x</t>
        </is>
      </c>
      <c r="C21" s="3" t="inlineStr">
        <is>
          <t>From 5.71x; dramatic contraction</t>
        </is>
      </c>
    </row>
    <row r="22">
      <c r="A22" s="3" t="inlineStr">
        <is>
          <t>PEG (5Y)</t>
        </is>
      </c>
      <c r="B22" s="3" t="inlineStr">
        <is>
          <t>3.45x</t>
        </is>
      </c>
      <c r="C22" s="3" t="inlineStr">
        <is>
          <t>Still high — legacy of prior 60x multiple</t>
        </is>
      </c>
    </row>
    <row r="23">
      <c r="A23" s="3" t="inlineStr">
        <is>
          <t>Div Yield</t>
        </is>
      </c>
      <c r="B23" s="3" t="inlineStr">
        <is>
          <t>0.37%</t>
        </is>
      </c>
      <c r="C23" s="3" t="inlineStr">
        <is>
          <t>$0.12/yr; token income; payout ratio 8%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5" customWidth="1" min="3" max="3"/>
  </cols>
  <sheetData>
    <row r="1">
      <c r="A1" s="1" t="inlineStr">
        <is>
          <t>WACC - CAPM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Source/Notes</t>
        </is>
      </c>
    </row>
    <row r="4">
      <c r="A4" s="2" t="inlineStr">
        <is>
          <t>Risk-Free Rate (10Y)</t>
        </is>
      </c>
      <c r="B4" s="3" t="inlineStr">
        <is>
          <t>4.49%</t>
        </is>
      </c>
      <c r="C4" s="3" t="inlineStr">
        <is>
          <t>DGS10 2026-06-17</t>
        </is>
      </c>
    </row>
    <row r="5">
      <c r="A5" s="2" t="inlineStr">
        <is>
          <t>Equity Risk Premium</t>
        </is>
      </c>
      <c r="B5" s="3" t="inlineStr">
        <is>
          <t>5.00%</t>
        </is>
      </c>
      <c r="C5" s="3" t="inlineStr">
        <is>
          <t>Standard</t>
        </is>
      </c>
    </row>
    <row r="6">
      <c r="A6" s="2" t="inlineStr">
        <is>
          <t>Beta (5Y Monthly)</t>
        </is>
      </c>
      <c r="B6" s="3" t="inlineStr">
        <is>
          <t>0.85</t>
        </is>
      </c>
      <c r="C6" s="3" t="inlineStr">
        <is>
          <t>Yahoo; below-market vol</t>
        </is>
      </c>
    </row>
    <row r="7">
      <c r="A7" s="2" t="inlineStr">
        <is>
          <t>Cost of Equity</t>
        </is>
      </c>
      <c r="B7" s="3" t="inlineStr">
        <is>
          <t>8.79%</t>
        </is>
      </c>
      <c r="C7" s="3">
        <f>4.49% + 0.85*5%</f>
        <v/>
      </c>
    </row>
    <row r="8">
      <c r="A8" s="2" t="inlineStr">
        <is>
          <t>After-Tax Cost of Debt</t>
        </is>
      </c>
      <c r="B8" s="3" t="inlineStr">
        <is>
          <t>2.78%</t>
        </is>
      </c>
      <c r="C8" s="3" t="inlineStr">
        <is>
          <t>~3.5% pre-tax * (1-20.4%)</t>
        </is>
      </c>
    </row>
    <row r="9">
      <c r="A9" s="2" t="inlineStr">
        <is>
          <t>Effective Tax Rate</t>
        </is>
      </c>
      <c r="B9" s="3" t="inlineStr">
        <is>
          <t>20.38%</t>
        </is>
      </c>
      <c r="C9" s="3" t="inlineStr">
        <is>
          <t>TTM tax provision / pretax</t>
        </is>
      </c>
    </row>
    <row r="10">
      <c r="A10" s="2" t="inlineStr">
        <is>
          <t>Market Cap ($M)</t>
        </is>
      </c>
      <c r="B10" s="3" t="inlineStr">
        <is>
          <t>5,030</t>
        </is>
      </c>
      <c r="C10" s="3" t="inlineStr">
        <is>
          <t>Yahoo</t>
        </is>
      </c>
    </row>
    <row r="11">
      <c r="A11" s="2" t="inlineStr">
        <is>
          <t>Total Debt ($M)</t>
        </is>
      </c>
      <c r="B11" s="3" t="inlineStr">
        <is>
          <t>76</t>
        </is>
      </c>
      <c r="C11" s="3" t="inlineStr">
        <is>
          <t>Capital lease obligations</t>
        </is>
      </c>
    </row>
    <row r="12">
      <c r="A12" s="2" t="inlineStr">
        <is>
          <t>Total Cash ($M)</t>
        </is>
      </c>
      <c r="B12" s="3" t="inlineStr">
        <is>
          <t>474</t>
        </is>
      </c>
      <c r="C12" s="3" t="inlineStr">
        <is>
          <t>Yahoo MRQ</t>
        </is>
      </c>
    </row>
    <row r="13">
      <c r="A13" s="2" t="inlineStr">
        <is>
          <t>Equity Weight</t>
        </is>
      </c>
      <c r="B13" s="3" t="inlineStr">
        <is>
          <t>98.5%</t>
        </is>
      </c>
      <c r="C13" s="3" t="inlineStr">
        <is>
          <t>MC / (MC + Debt - Cash adj)</t>
        </is>
      </c>
    </row>
    <row r="14">
      <c r="A14" s="2" t="inlineStr">
        <is>
          <t>Debt Weight</t>
        </is>
      </c>
      <c r="B14" s="3" t="inlineStr">
        <is>
          <t>1.5%</t>
        </is>
      </c>
      <c r="C14" s="3" t="inlineStr">
        <is>
          <t>Debt / (MC + Debt)</t>
        </is>
      </c>
    </row>
    <row r="15">
      <c r="A15" s="2" t="inlineStr">
        <is>
          <t>WACC</t>
        </is>
      </c>
      <c r="B15" s="3" t="inlineStr">
        <is>
          <t>8.74%</t>
        </is>
      </c>
      <c r="C15" s="3">
        <f>0.985*8.79% + 0.015*2.78%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>
      <c r="A1" s="1" t="inlineStr">
        <is>
          <t>Scenario Analysis — Bear / Base / Bull</t>
        </is>
      </c>
    </row>
    <row r="3">
      <c r="A3" s="4" t="inlineStr">
        <is>
          <t>Metric</t>
        </is>
      </c>
      <c r="B3" s="4" t="inlineStr">
        <is>
          <t>Bear (20%)</t>
        </is>
      </c>
      <c r="C3" s="4" t="inlineStr">
        <is>
          <t>Base (50%)</t>
        </is>
      </c>
      <c r="D3" s="4" t="inlineStr">
        <is>
          <t>Bull (30%)</t>
        </is>
      </c>
      <c r="E3" s="4" t="inlineStr">
        <is>
          <t>Notes</t>
        </is>
      </c>
    </row>
    <row r="4">
      <c r="A4" s="3" t="inlineStr">
        <is>
          <t>Revenue CAGR (5Y)</t>
        </is>
      </c>
      <c r="B4" s="3" t="inlineStr">
        <is>
          <t>7.0%</t>
        </is>
      </c>
      <c r="C4" s="3" t="inlineStr">
        <is>
          <t>11.0%</t>
        </is>
      </c>
      <c r="D4" s="3" t="inlineStr">
        <is>
          <t>15.0%</t>
        </is>
      </c>
      <c r="E4" s="3" t="inlineStr">
        <is>
          <t>Base aligns with consensus 12-13% growth rate</t>
        </is>
      </c>
    </row>
    <row r="5">
      <c r="A5" s="3" t="inlineStr">
        <is>
          <t>Terminal Revenue (Y5)</t>
        </is>
      </c>
      <c r="B5" s="3" t="inlineStr">
        <is>
          <t>$2,448M</t>
        </is>
      </c>
      <c r="C5" s="3" t="inlineStr">
        <is>
          <t>$2,962M</t>
        </is>
      </c>
      <c r="D5" s="3" t="inlineStr">
        <is>
          <t>$3,550M</t>
        </is>
      </c>
      <c r="E5" s="3" t="inlineStr">
        <is>
          <t>From FY25 $1,746M base</t>
        </is>
      </c>
    </row>
    <row r="6">
      <c r="A6" s="3" t="inlineStr">
        <is>
          <t>Adjusted FCF Margin</t>
        </is>
      </c>
      <c r="B6" s="3" t="inlineStr">
        <is>
          <t>22.0%</t>
        </is>
      </c>
      <c r="C6" s="3" t="inlineStr">
        <is>
          <t>27.0%</t>
        </is>
      </c>
      <c r="D6" s="3" t="inlineStr">
        <is>
          <t>32.0%</t>
        </is>
      </c>
      <c r="E6" s="3" t="inlineStr">
        <is>
          <t>TTM FCF margin 29.1%</t>
        </is>
      </c>
    </row>
    <row r="7">
      <c r="A7" s="3" t="inlineStr">
        <is>
          <t>Terminal FCF</t>
        </is>
      </c>
      <c r="B7" s="3" t="inlineStr">
        <is>
          <t>$539M</t>
        </is>
      </c>
      <c r="C7" s="3" t="inlineStr">
        <is>
          <t>$800M</t>
        </is>
      </c>
      <c r="D7" s="3" t="inlineStr">
        <is>
          <t>$1,136M</t>
        </is>
      </c>
      <c r="E7" s="3" t="inlineStr">
        <is>
          <t>Rev * margin</t>
        </is>
      </c>
    </row>
    <row r="8">
      <c r="A8" s="3" t="inlineStr">
        <is>
          <t>Exit Multiple (EV/FCF)</t>
        </is>
      </c>
      <c r="B8" s="3" t="inlineStr">
        <is>
          <t>14x</t>
        </is>
      </c>
      <c r="C8" s="3" t="inlineStr">
        <is>
          <t>17x</t>
        </is>
      </c>
      <c r="D8" s="3" t="inlineStr">
        <is>
          <t>21x</t>
        </is>
      </c>
      <c r="E8" s="3" t="inlineStr">
        <is>
          <t>SaaS/AI platform comps</t>
        </is>
      </c>
    </row>
    <row r="9">
      <c r="A9" s="3" t="inlineStr">
        <is>
          <t>Implied EV</t>
        </is>
      </c>
      <c r="B9" s="3" t="inlineStr">
        <is>
          <t>$7,539M</t>
        </is>
      </c>
      <c r="C9" s="3" t="inlineStr">
        <is>
          <t>$13,593M</t>
        </is>
      </c>
      <c r="D9" s="3" t="inlineStr">
        <is>
          <t>$23,844M</t>
        </is>
      </c>
      <c r="E9" s="3" t="inlineStr">
        <is>
          <t>FCF * exit multiple</t>
        </is>
      </c>
    </row>
    <row r="10">
      <c r="A10" s="3" t="inlineStr">
        <is>
          <t>Less Net Debt Adj</t>
        </is>
      </c>
      <c r="B10" s="3" t="inlineStr">
        <is>
          <t>-$398M</t>
        </is>
      </c>
      <c r="C10" s="3" t="inlineStr">
        <is>
          <t>-$398M</t>
        </is>
      </c>
      <c r="D10" s="3" t="inlineStr">
        <is>
          <t>-$398M</t>
        </is>
      </c>
      <c r="E10" s="3" t="inlineStr">
        <is>
          <t>Cash $474M - Debt $76M; assumes constant</t>
        </is>
      </c>
    </row>
    <row r="11">
      <c r="A11" s="3" t="inlineStr">
        <is>
          <t>Implied Equity Value</t>
        </is>
      </c>
      <c r="B11" s="3" t="inlineStr">
        <is>
          <t>$7,938M</t>
        </is>
      </c>
      <c r="C11" s="3" t="inlineStr">
        <is>
          <t>$13,991M</t>
        </is>
      </c>
      <c r="D11" s="3" t="inlineStr">
        <is>
          <t>$24,241M</t>
        </is>
      </c>
      <c r="E11" s="3" t="inlineStr">
        <is>
          <t>EV + net cash</t>
        </is>
      </c>
    </row>
    <row r="12">
      <c r="A12" s="3" t="inlineStr">
        <is>
          <t>Shares (M)</t>
        </is>
      </c>
      <c r="B12" s="3" t="inlineStr">
        <is>
          <t>167.1</t>
        </is>
      </c>
      <c r="C12" s="3" t="inlineStr">
        <is>
          <t>160.0</t>
        </is>
      </c>
      <c r="D12" s="3" t="inlineStr">
        <is>
          <t>155.0</t>
        </is>
      </c>
      <c r="E12" s="3" t="inlineStr">
        <is>
          <t>Buybacks reduce count; bullish on share reduction</t>
        </is>
      </c>
    </row>
    <row r="13">
      <c r="A13" s="3" t="inlineStr">
        <is>
          <t>Target Price / Share</t>
        </is>
      </c>
      <c r="B13" s="3" t="inlineStr">
        <is>
          <t>$47.49</t>
        </is>
      </c>
      <c r="C13" s="3" t="inlineStr">
        <is>
          <t>$87.44</t>
        </is>
      </c>
      <c r="D13" s="3" t="inlineStr">
        <is>
          <t>$156.40</t>
        </is>
      </c>
      <c r="E13" s="3" t="inlineStr">
        <is>
          <t>Equity value / shares</t>
        </is>
      </c>
    </row>
    <row r="14">
      <c r="A14" s="3" t="inlineStr">
        <is>
          <t>Upside from $30.09</t>
        </is>
      </c>
      <c r="B14" s="3" t="inlineStr">
        <is>
          <t>+57.8%</t>
        </is>
      </c>
      <c r="C14" s="3" t="inlineStr">
        <is>
          <t>+190.9%</t>
        </is>
      </c>
      <c r="D14" s="3" t="inlineStr">
        <is>
          <t>+420.7%</t>
        </is>
      </c>
      <c r="E14" s="3" t="inlineStr">
        <is>
          <t>Target vs current</t>
        </is>
      </c>
    </row>
    <row r="15">
      <c r="A15" s="3" t="inlineStr">
        <is>
          <t>Weight</t>
        </is>
      </c>
      <c r="B15" s="3" t="inlineStr">
        <is>
          <t>20%</t>
        </is>
      </c>
      <c r="C15" s="3" t="inlineStr">
        <is>
          <t>50%</t>
        </is>
      </c>
      <c r="D15" s="3" t="inlineStr">
        <is>
          <t>30%</t>
        </is>
      </c>
      <c r="E15" s="3" t="inlineStr">
        <is>
          <t>Probability weights</t>
        </is>
      </c>
    </row>
    <row r="16">
      <c r="A16" s="3" t="inlineStr">
        <is>
          <t>Weighted Value / Share</t>
        </is>
      </c>
      <c r="B16" s="3" t="inlineStr">
        <is>
          <t>$9.50</t>
        </is>
      </c>
      <c r="C16" s="3" t="inlineStr">
        <is>
          <t>$43.72</t>
        </is>
      </c>
      <c r="D16" s="3" t="inlineStr">
        <is>
          <t>$46.92</t>
        </is>
      </c>
      <c r="E16" s="3" t="inlineStr">
        <is>
          <t>Target * weight</t>
        </is>
      </c>
    </row>
    <row r="17">
      <c r="A17" s="2" t="inlineStr">
        <is>
          <t>Total Probability-Weighted FV</t>
        </is>
      </c>
      <c r="B17" s="3" t="inlineStr"/>
      <c r="C17" s="3" t="inlineStr"/>
      <c r="D17" s="3" t="inlineStr">
        <is>
          <t>$100.14</t>
        </is>
      </c>
      <c r="E17" s="3" t="inlineStr">
        <is>
          <t>Sum of weighted values</t>
        </is>
      </c>
    </row>
    <row r="18">
      <c r="A18" s="2" t="inlineStr">
        <is>
          <t>Upside from Current</t>
        </is>
      </c>
      <c r="B18" s="3" t="inlineStr"/>
      <c r="C18" s="3" t="inlineStr"/>
      <c r="D18" s="3" t="inlineStr">
        <is>
          <t>+233%</t>
        </is>
      </c>
      <c r="E18" s="3" t="inlineStr">
        <is>
          <t>$100.14 vs $30.09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16" customWidth="1" min="4" max="4"/>
    <col width="40" customWidth="1" min="5" max="5"/>
  </cols>
  <sheetData>
    <row r="1">
      <c r="A1" s="1" t="inlineStr">
        <is>
          <t>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</t>
        </is>
      </c>
      <c r="E3" s="4" t="inlineStr">
        <is>
          <t>Notes</t>
        </is>
      </c>
    </row>
    <row r="4">
      <c r="A4" s="2" t="inlineStr">
        <is>
          <t>Stock Price</t>
        </is>
      </c>
      <c r="B4" s="3" t="inlineStr">
        <is>
          <t>$30.09</t>
        </is>
      </c>
      <c r="C4" s="3" t="inlineStr">
        <is>
          <t>Yahoo Finance /finance.yahoo.com/quote/PEGA</t>
        </is>
      </c>
      <c r="D4" s="3" t="inlineStr">
        <is>
          <t>2026-06-18</t>
        </is>
      </c>
      <c r="E4" s="3" t="inlineStr">
        <is>
          <t>NasdaqGS close</t>
        </is>
      </c>
    </row>
    <row r="5">
      <c r="A5" s="2" t="inlineStr">
        <is>
          <t>After Hours</t>
        </is>
      </c>
      <c r="B5" s="3" t="inlineStr">
        <is>
          <t>$30.00</t>
        </is>
      </c>
      <c r="C5" s="3" t="inlineStr">
        <is>
          <t>Yahoo Finance</t>
        </is>
      </c>
      <c r="D5" s="3" t="inlineStr">
        <is>
          <t>2026-06-18 19:58 EDT</t>
        </is>
      </c>
      <c r="E5" s="3" t="inlineStr">
        <is>
          <t>Min -0.09</t>
        </is>
      </c>
    </row>
    <row r="6">
      <c r="A6" s="2" t="inlineStr">
        <is>
          <t>Market Cap</t>
        </is>
      </c>
      <c r="B6" s="3" t="inlineStr">
        <is>
          <t>$5.03B</t>
        </is>
      </c>
      <c r="C6" s="3" t="inlineStr">
        <is>
          <t>Yahoo Statistics</t>
        </is>
      </c>
      <c r="D6" s="3" t="inlineStr">
        <is>
          <t>2026-06-18</t>
        </is>
      </c>
      <c r="E6" s="3" t="inlineStr">
        <is>
          <t>Current</t>
        </is>
      </c>
    </row>
    <row r="7">
      <c r="A7" s="2" t="inlineStr">
        <is>
          <t>Enterprise Value</t>
        </is>
      </c>
      <c r="B7" s="3" t="inlineStr">
        <is>
          <t>$4.62B</t>
        </is>
      </c>
      <c r="C7" s="3" t="inlineStr">
        <is>
          <t>Yahoo Statistics</t>
        </is>
      </c>
      <c r="D7" s="3" t="inlineStr">
        <is>
          <t>2026-06-18</t>
        </is>
      </c>
      <c r="E7" s="3" t="inlineStr">
        <is>
          <t>Current</t>
        </is>
      </c>
    </row>
    <row r="8">
      <c r="A8" s="2" t="inlineStr">
        <is>
          <t>Shares Outstanding</t>
        </is>
      </c>
      <c r="B8" s="3" t="inlineStr">
        <is>
          <t>167.12M</t>
        </is>
      </c>
      <c r="C8" s="3" t="inlineStr">
        <is>
          <t>Yahoo Statistics</t>
        </is>
      </c>
      <c r="D8" s="3" t="inlineStr">
        <is>
          <t>2026-06-18</t>
        </is>
      </c>
      <c r="E8" s="3" t="inlineStr">
        <is>
          <t>Basic</t>
        </is>
      </c>
    </row>
    <row r="9">
      <c r="A9" s="2" t="inlineStr">
        <is>
          <t>Beta</t>
        </is>
      </c>
      <c r="B9" s="3" t="inlineStr">
        <is>
          <t>0.85</t>
        </is>
      </c>
      <c r="C9" s="3" t="inlineStr">
        <is>
          <t>Yahoo Statistics</t>
        </is>
      </c>
      <c r="D9" s="3" t="inlineStr">
        <is>
          <t>5Y Monthly</t>
        </is>
      </c>
      <c r="E9" s="3" t="inlineStr">
        <is>
          <t>Below market</t>
        </is>
      </c>
    </row>
    <row r="10">
      <c r="A10" s="2" t="inlineStr">
        <is>
          <t>TTM Revenue</t>
        </is>
      </c>
      <c r="B10" s="3" t="inlineStr">
        <is>
          <t>$1.700B</t>
        </is>
      </c>
      <c r="C10" s="3" t="inlineStr">
        <is>
          <t>Yahoo Income Statement</t>
        </is>
      </c>
      <c r="D10" s="3" t="inlineStr">
        <is>
          <t>TTM 12/31/2025</t>
        </is>
      </c>
      <c r="E10" s="3" t="inlineStr">
        <is>
          <t>Annual + TTM</t>
        </is>
      </c>
    </row>
    <row r="11">
      <c r="A11" s="2" t="inlineStr">
        <is>
          <t>FY25 Revenue</t>
        </is>
      </c>
      <c r="B11" s="3" t="inlineStr">
        <is>
          <t>$1,745.8M</t>
        </is>
      </c>
      <c r="C11" s="3" t="inlineStr">
        <is>
          <t>Yahoo Income Statement</t>
        </is>
      </c>
      <c r="D11" s="3" t="inlineStr">
        <is>
          <t>12/31/2025</t>
        </is>
      </c>
      <c r="E11" s="3" t="inlineStr">
        <is>
          <t>Fiscal year</t>
        </is>
      </c>
    </row>
    <row r="12">
      <c r="A12" s="2" t="inlineStr">
        <is>
          <t>FY24 Revenue</t>
        </is>
      </c>
      <c r="B12" s="3" t="inlineStr">
        <is>
          <t>$1,497.2M</t>
        </is>
      </c>
      <c r="C12" s="3" t="inlineStr">
        <is>
          <t>Yahoo Income Statement</t>
        </is>
      </c>
      <c r="D12" s="3" t="inlineStr">
        <is>
          <t>12/31/2024</t>
        </is>
      </c>
      <c r="E12" s="3" t="inlineStr">
        <is>
          <t>Fiscal year</t>
        </is>
      </c>
    </row>
    <row r="13">
      <c r="A13" s="2" t="inlineStr">
        <is>
          <t>TTM Gross Profit</t>
        </is>
      </c>
      <c r="B13" s="3" t="inlineStr">
        <is>
          <t>$1.274B</t>
        </is>
      </c>
      <c r="C13" s="3" t="inlineStr">
        <is>
          <t>Yahoo Income Statement</t>
        </is>
      </c>
      <c r="D13" s="3" t="inlineStr">
        <is>
          <t>TTM</t>
        </is>
      </c>
      <c r="E13" s="3" t="inlineStr">
        <is>
          <t>Gross margin 75.0%</t>
        </is>
      </c>
    </row>
    <row r="14">
      <c r="A14" s="2" t="inlineStr">
        <is>
          <t>TTM Operating Income</t>
        </is>
      </c>
      <c r="B14" s="3" t="inlineStr">
        <is>
          <t>$194.4M</t>
        </is>
      </c>
      <c r="C14" s="3" t="inlineStr">
        <is>
          <t>Yahoo Income Statement</t>
        </is>
      </c>
      <c r="D14" s="3" t="inlineStr">
        <is>
          <t>TTM</t>
        </is>
      </c>
      <c r="E14" s="3" t="inlineStr">
        <is>
          <t>Op margin 11.4%</t>
        </is>
      </c>
    </row>
    <row r="15">
      <c r="A15" s="2" t="inlineStr">
        <is>
          <t>TTM Net Income</t>
        </is>
      </c>
      <c r="B15" s="3" t="inlineStr">
        <is>
          <t>$340.8M</t>
        </is>
      </c>
      <c r="C15" s="3" t="inlineStr">
        <is>
          <t>Yahoo Income Statement</t>
        </is>
      </c>
      <c r="D15" s="3" t="inlineStr">
        <is>
          <t>TTM</t>
        </is>
      </c>
      <c r="E15" s="3" t="inlineStr">
        <is>
          <t>Profit margin 20.0%</t>
        </is>
      </c>
    </row>
    <row r="16">
      <c r="A16" s="2" t="inlineStr">
        <is>
          <t>TTM Diluted EPS</t>
        </is>
      </c>
      <c r="B16" s="3" t="inlineStr">
        <is>
          <t>$1.85</t>
        </is>
      </c>
      <c r="C16" s="3" t="inlineStr">
        <is>
          <t>Yahoo Income Statement</t>
        </is>
      </c>
      <c r="D16" s="3" t="inlineStr">
        <is>
          <t>TTM</t>
        </is>
      </c>
      <c r="E16" s="3" t="inlineStr">
        <is>
          <t>From $341.5M on 182.3M diluted</t>
        </is>
      </c>
    </row>
    <row r="17">
      <c r="A17" s="2" t="inlineStr">
        <is>
          <t>TTM EBITDA</t>
        </is>
      </c>
      <c r="B17" s="3" t="inlineStr">
        <is>
          <t>$220.6M</t>
        </is>
      </c>
      <c r="C17" s="3" t="inlineStr">
        <is>
          <t>Yahoo Income Statement</t>
        </is>
      </c>
      <c r="D17" s="3" t="inlineStr">
        <is>
          <t>TTM</t>
        </is>
      </c>
      <c r="E17" s="3" t="inlineStr">
        <is>
          <t>Calculated</t>
        </is>
      </c>
    </row>
    <row r="18">
      <c r="A18" s="2" t="inlineStr">
        <is>
          <t>TTM FCF</t>
        </is>
      </c>
      <c r="B18" s="3" t="inlineStr">
        <is>
          <t>$494.9M</t>
        </is>
      </c>
      <c r="C18" s="3" t="inlineStr">
        <is>
          <t>Yahoo Cash Flow</t>
        </is>
      </c>
      <c r="D18" s="3" t="inlineStr">
        <is>
          <t>TTM</t>
        </is>
      </c>
      <c r="E18" s="3" t="inlineStr">
        <is>
          <t>OCF $513.3M - CapEx $18.4M</t>
        </is>
      </c>
    </row>
    <row r="19">
      <c r="A19" s="2" t="inlineStr">
        <is>
          <t>Total Cash</t>
        </is>
      </c>
      <c r="B19" s="3" t="inlineStr">
        <is>
          <t>$473.95M</t>
        </is>
      </c>
      <c r="C19" s="3" t="inlineStr">
        <is>
          <t>Yahoo Statistics MRQ</t>
        </is>
      </c>
      <c r="D19" s="3" t="inlineStr">
        <is>
          <t>Q1 2026</t>
        </is>
      </c>
      <c r="E19" s="3" t="inlineStr">
        <is>
          <t>MRQ per share $2.83</t>
        </is>
      </c>
    </row>
    <row r="20">
      <c r="A20" s="2" t="inlineStr">
        <is>
          <t>Total Debt</t>
        </is>
      </c>
      <c r="B20" s="3" t="inlineStr">
        <is>
          <t>$72.13M</t>
        </is>
      </c>
      <c r="C20" s="3" t="inlineStr">
        <is>
          <t>Yahoo Statistics MRQ</t>
        </is>
      </c>
      <c r="D20" s="3" t="inlineStr">
        <is>
          <t>Q1 2026</t>
        </is>
      </c>
      <c r="E20" s="3" t="inlineStr">
        <is>
          <t>Debt/equity 10.2%</t>
        </is>
      </c>
    </row>
    <row r="21">
      <c r="A21" s="2" t="inlineStr">
        <is>
          <t>Capital Lease Obligations</t>
        </is>
      </c>
      <c r="B21" s="3" t="inlineStr">
        <is>
          <t>$76.0M</t>
        </is>
      </c>
      <c r="C21" s="3" t="inlineStr">
        <is>
          <t>Yahoo Balance Sheet</t>
        </is>
      </c>
      <c r="D21" s="3" t="inlineStr">
        <is>
          <t>FY2025</t>
        </is>
      </c>
      <c r="E21" s="3" t="inlineStr">
        <is>
          <t>Total debt proxy</t>
        </is>
      </c>
    </row>
    <row r="22">
      <c r="A22" s="2" t="inlineStr">
        <is>
          <t>10Y Treasury Rate</t>
        </is>
      </c>
      <c r="B22" s="3" t="inlineStr">
        <is>
          <t>4.49%</t>
        </is>
      </c>
      <c r="C22" s="3" t="inlineStr">
        <is>
          <t>FRED DGS10</t>
        </is>
      </c>
      <c r="D22" s="3" t="inlineStr">
        <is>
          <t>2026-06-17</t>
        </is>
      </c>
      <c r="E22" s="3" t="inlineStr">
        <is>
          <t>Risk-free rate</t>
        </is>
      </c>
    </row>
    <row r="23">
      <c r="A23" s="2" t="inlineStr">
        <is>
          <t>FY26 Revenue Consensus</t>
        </is>
      </c>
      <c r="B23" s="3" t="inlineStr">
        <is>
          <t>$1.98B</t>
        </is>
      </c>
      <c r="C23" s="3" t="inlineStr">
        <is>
          <t>Yahoo Analysis</t>
        </is>
      </c>
      <c r="D23" s="3" t="inlineStr">
        <is>
          <t>2026-06-19</t>
        </is>
      </c>
      <c r="E23" s="3" t="inlineStr">
        <is>
          <t>11 analysts</t>
        </is>
      </c>
    </row>
    <row r="24">
      <c r="A24" s="2" t="inlineStr">
        <is>
          <t>FY27 Revenue Consensus</t>
        </is>
      </c>
      <c r="B24" s="3" t="inlineStr">
        <is>
          <t>$2.22B</t>
        </is>
      </c>
      <c r="C24" s="3" t="inlineStr">
        <is>
          <t>Yahoo Analysis</t>
        </is>
      </c>
      <c r="D24" s="3" t="inlineStr">
        <is>
          <t>2026-06-19</t>
        </is>
      </c>
      <c r="E24" s="3" t="inlineStr">
        <is>
          <t>11 analysts</t>
        </is>
      </c>
    </row>
    <row r="25">
      <c r="A25" s="2" t="inlineStr">
        <is>
          <t>FY26 EPS Consensus</t>
        </is>
      </c>
      <c r="B25" s="3" t="inlineStr">
        <is>
          <t>$2.71</t>
        </is>
      </c>
      <c r="C25" s="3" t="inlineStr">
        <is>
          <t>Yahoo Analysis (non-GAAP)</t>
        </is>
      </c>
      <c r="D25" s="3" t="inlineStr">
        <is>
          <t>2026-06-19</t>
        </is>
      </c>
      <c r="E25" s="3" t="inlineStr">
        <is>
          <t>12 analysts</t>
        </is>
      </c>
    </row>
    <row r="26">
      <c r="A26" s="2" t="inlineStr">
        <is>
          <t>FY27 EPS Consensus</t>
        </is>
      </c>
      <c r="B26" s="3" t="inlineStr">
        <is>
          <t>$3.04</t>
        </is>
      </c>
      <c r="C26" s="3" t="inlineStr">
        <is>
          <t>Yahoo Analysis (non-GAAP)</t>
        </is>
      </c>
      <c r="D26" s="3" t="inlineStr">
        <is>
          <t>2026-06-19</t>
        </is>
      </c>
      <c r="E26" s="3" t="inlineStr">
        <is>
          <t>12 analysts</t>
        </is>
      </c>
    </row>
    <row r="27">
      <c r="A27" s="2" t="inlineStr">
        <is>
          <t>Trailing P/E</t>
        </is>
      </c>
      <c r="B27" s="3" t="inlineStr">
        <is>
          <t>16.25x</t>
        </is>
      </c>
      <c r="C27" s="3" t="inlineStr">
        <is>
          <t>Yahoo Statistics</t>
        </is>
      </c>
      <c r="D27" s="3" t="inlineStr">
        <is>
          <t>Current</t>
        </is>
      </c>
      <c r="E27" s="3" t="inlineStr">
        <is>
          <t>Down from 62.63x Q1</t>
        </is>
      </c>
    </row>
    <row r="28">
      <c r="A28" s="2" t="inlineStr">
        <is>
          <t>Forward P/E</t>
        </is>
      </c>
      <c r="B28" s="3" t="inlineStr">
        <is>
          <t>10.28x</t>
        </is>
      </c>
      <c r="C28" s="3" t="inlineStr">
        <is>
          <t>Yahoo Statistics</t>
        </is>
      </c>
      <c r="D28" s="3" t="inlineStr">
        <is>
          <t>Current</t>
        </is>
      </c>
      <c r="E28" s="3" t="inlineStr">
        <is>
          <t>On FY26 EPS</t>
        </is>
      </c>
    </row>
    <row r="29">
      <c r="A29" s="2" t="inlineStr">
        <is>
          <t>Q4 EPS Miss</t>
        </is>
      </c>
      <c r="B29" s="3" t="inlineStr">
        <is>
          <t>-33.60%</t>
        </is>
      </c>
      <c r="C29" s="3" t="inlineStr">
        <is>
          <t>Yahoo Analysis</t>
        </is>
      </c>
      <c r="D29" s="3" t="inlineStr">
        <is>
          <t>2026-03-31</t>
        </is>
      </c>
      <c r="E29" s="3" t="inlineStr">
        <is>
          <t>Est $0.69, actual $0.46</t>
        </is>
      </c>
    </row>
    <row r="30">
      <c r="A30" s="2" t="inlineStr">
        <is>
          <t>Dividend</t>
        </is>
      </c>
      <c r="B30" s="3" t="inlineStr">
        <is>
          <t>$0.03/qtr</t>
        </is>
      </c>
      <c r="C30" s="3" t="inlineStr">
        <is>
          <t>Yahoo Finance</t>
        </is>
      </c>
      <c r="D30" s="3" t="inlineStr">
        <is>
          <t>2026-06-19</t>
        </is>
      </c>
      <c r="E30" s="3" t="inlineStr">
        <is>
          <t>Ex-date Jul 1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1" t="inlineStr">
        <is>
          <t>Open Questions</t>
        </is>
      </c>
    </row>
    <row r="3">
      <c r="A3" s="4" t="inlineStr">
        <is>
          <t>1.</t>
        </is>
      </c>
      <c r="B3" s="3" t="inlineStr">
        <is>
          <t>Why did Q4 FY26 (Mar 2026) EPS miss by 33.6%? Was this a one-time item or a sign of structural headwinds? What drove the $0.23 miss?</t>
        </is>
      </c>
    </row>
    <row r="4">
      <c r="A4" s="4" t="inlineStr">
        <is>
          <t>2.</t>
        </is>
      </c>
      <c r="B4" s="3" t="inlineStr">
        <is>
          <t>Revenue grew from $1,318M (FY22) to $1,746M (FY25) — 9.6% CAGR. Is post-pandemic normalization at risk? TTM revenue of $1.70B is slightly below FY25 peak of $1.75B.</t>
        </is>
      </c>
    </row>
    <row r="5">
      <c r="A5" s="4" t="inlineStr">
        <is>
          <t>3.</t>
        </is>
      </c>
      <c r="B5" s="3" t="inlineStr">
        <is>
          <t>Net income swung wildly: -$346M (FY22) to $393M (FY25). FY22 losses were driven by negative tax provision of $184M (massive deferred tax asset release?). Check deferred tax treatment.</t>
        </is>
      </c>
    </row>
    <row r="6">
      <c r="A6" s="4" t="inlineStr">
        <is>
          <t>4.</t>
        </is>
      </c>
      <c r="B6" s="3" t="inlineStr">
        <is>
          <t>Huge share buyback acceleration: $567M in TTM buybacks vs. $73M in FY24. Is the company buying back at inflated prices? Shares fell from 170.8M (FY25) to 167.1M (current).</t>
        </is>
      </c>
    </row>
    <row r="7">
      <c r="A7" s="4" t="inlineStr">
        <is>
          <t>5.</t>
        </is>
      </c>
      <c r="B7" s="3" t="inlineStr">
        <is>
          <t>Total debt dropped dramatically from $688M (FY22) to $72M (current). Debt retirement of $468M in TTM. What drove this? Organic paydown or deal-related restructuring?</t>
        </is>
      </c>
    </row>
    <row r="8">
      <c r="A8" s="4" t="inlineStr">
        <is>
          <t>6.</t>
        </is>
      </c>
      <c r="B8" s="3" t="inlineStr">
        <is>
          <t>SBC (stock-based comp) in operating expense of $1.08B — what portion is SBC vs. actual cash opex? This matters for FCF quality assessment.</t>
        </is>
      </c>
    </row>
    <row r="9">
      <c r="A9" s="4" t="inlineStr">
        <is>
          <t>7.</t>
        </is>
      </c>
      <c r="B9" s="3" t="inlineStr">
        <is>
          <t>The company recently announced AI-focused product initiatives. How differentiated is Pegasystems' AI positioning vs. competition (ServiceNow, Salesforce, MuleSoft)?</t>
        </is>
      </c>
    </row>
    <row r="10">
      <c r="A10" s="4" t="inlineStr">
        <is>
          <t>8.</t>
        </is>
      </c>
      <c r="B10" s="3" t="inlineStr">
        <is>
          <t>Customer concentration risk? Largest customers by % of revenue? Contract renewal rates?</t>
        </is>
      </c>
    </row>
    <row r="11">
      <c r="A11" s="4" t="inlineStr">
        <is>
          <t>9.</t>
        </is>
      </c>
      <c r="B11" s="3" t="inlineStr">
        <is>
          <t>Management guidance vs. market expectations? Has the company guided for FY26 revenue of $1.98B? What is the official Q2 guidance?</t>
        </is>
      </c>
    </row>
    <row r="12">
      <c r="A12" s="4" t="inlineStr">
        <is>
          <t>10.</t>
        </is>
      </c>
      <c r="B12" s="3" t="inlineStr">
        <is>
          <t>Next earnings date? Q2 FY26 results should appear in late August / early September 2026. This is a critical data point for the thesis.</t>
        </is>
      </c>
    </row>
    <row r="13">
      <c r="A13" s="4" t="inlineStr">
        <is>
          <t>11.</t>
        </is>
      </c>
      <c r="B13" s="3" t="inlineStr">
        <is>
          <t>Why did StockAnalysis.com return 404 for PEGA? Is this a coverage issue or data-provider exclusion?</t>
        </is>
      </c>
    </row>
    <row r="14">
      <c r="A14" s="4" t="inlineStr">
        <is>
          <t>12.</t>
        </is>
      </c>
      <c r="B14" s="3" t="inlineStr">
        <is>
          <t>Pegasystems' PEG ratio of 3.45x is very high despite declining stock price. Does this reflect stretched multi-year growth expectations?</t>
        </is>
      </c>
    </row>
  </sheetData>
  <mergeCells count="13">
    <mergeCell ref="B4:F4"/>
    <mergeCell ref="B12:F12"/>
    <mergeCell ref="B7:F7"/>
    <mergeCell ref="B6:F6"/>
    <mergeCell ref="B10:F10"/>
    <mergeCell ref="B11:F11"/>
    <mergeCell ref="B3:F3"/>
    <mergeCell ref="B5:F5"/>
    <mergeCell ref="B14:F14"/>
    <mergeCell ref="A1:B1"/>
    <mergeCell ref="B8:F8"/>
    <mergeCell ref="B9:F9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Research Sources</t>
        </is>
      </c>
    </row>
    <row r="3">
      <c r="A3" s="2" t="inlineStr">
        <is>
          <t>1. Yahoo Finance — Financial Statements</t>
        </is>
      </c>
      <c r="B3" s="3" t="inlineStr">
        <is>
          <t>https://finance.yahoo.com/quote/PEGA/financials/ | Income statement, balance sheet, cash flow</t>
        </is>
      </c>
    </row>
    <row r="4">
      <c r="A4" s="2" t="inlineStr">
        <is>
          <t>2. Yahoo Finance — Key Statistics</t>
        </is>
      </c>
      <c r="B4" s="3" t="inlineStr">
        <is>
          <t>https://finance.yahoo.com/quote/PEGA/key-statistics/ | Valuation multiples, beta, share count, short data</t>
        </is>
      </c>
    </row>
    <row r="5">
      <c r="A5" s="2" t="inlineStr">
        <is>
          <t>3. Yahoo Finance — Analyst Estimates</t>
        </is>
      </c>
      <c r="B5" s="3" t="inlineStr">
        <is>
          <t>https://finance.yahoo.com/quote/PEGA/analysis/ | Revenue/EPS consensus, revisions, surprise history</t>
        </is>
      </c>
    </row>
    <row r="6">
      <c r="A6" s="2" t="inlineStr">
        <is>
          <t>4. FRED — DGS10 (10Y Treasury)</t>
        </is>
      </c>
      <c r="B6" s="3" t="inlineStr">
        <is>
          <t>https://fred.stlouisfed.org/series/DGS10 | Risk-free rate: 4.49% as of 2026-06-17</t>
        </is>
      </c>
    </row>
    <row r="7">
      <c r="A7" s="2" t="inlineStr">
        <is>
          <t>5. Yahoo Finance — Summary</t>
        </is>
      </c>
      <c r="B7" s="3" t="inlineStr">
        <is>
          <t>https://finance.yahoo.com/quote/PEGA/ | Price, market cap, enterprise value, dividend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2026-06-20T02:34:24Z</dcterms:created>
  <dcterms:modified xsi:type="dcterms:W3CDTF">2026-06-20T02:34:24Z</dcterms:modified>
</cp:coreProperties>
</file>