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luation" sheetId="1" r:id="rId1"/>
    <sheet name="WACC" sheetId="2" r:id="rId2"/>
    <sheet name="Scenarios" sheetId="3" r:id="rId3"/>
    <sheet name="Actuals Source Audit" sheetId="4" r:id="rId4"/>
    <sheet name="Questions" sheetId="5" r:id="rId5"/>
    <sheet name="Sources" sheetId="6" r:id="rId6"/>
  </sheets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#,##0.0x"/>
    <numFmt numFmtId="166" formatCode="0.0%"/>
    <numFmt numFmtId="167" formatCode="$#,##0.00"/>
    <numFmt numFmtId="168" formatCode="$#,##0.0"/>
    <numFmt numFmtId="169" formatCode="#,##0"/>
    <numFmt numFmtId="170" formatCode="0.0%;[Red]-0.0%"/>
  </numFmts>
  <fonts count="5">
    <font>
      <sz val="10"/>
      <name val="Arial"/>
    </font>
    <font>
      <b/>
      <sz val="10"/>
      <name val="Arial"/>
    </font>
    <font>
      <b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440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5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70" fontId="0" fillId="0" borderId="0" xfId="0" applyNumberFormat="1"/>
    <xf numFmtId="0" fontId="3" fillId="0" borderId="0" xfId="0" applyFont="1"/>
    <xf numFmtId="0" fontId="0" fillId="4" borderId="0" xfId="0" applyFill="1"/>
    <xf numFmtId="16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workbookViewId="0">
      <pane xSplit="1" ySplit="16" topLeftCell="B17" activePane="bottomRight" state="frozen"/>
    </sheetView>
  </sheetViews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A1" t="inlineStr" s="1">
        <is>
          <t>The Trade Desk DCF Model</t>
        </is>
      </c>
    </row>
    <row r="2">
      <c r="A2" t="inlineStr" s="4">
        <is>
          <t>Ticker</t>
        </is>
      </c>
      <c r="B2" t="inlineStr">
        <is>
          <t>TTD</t>
        </is>
      </c>
      <c r="D2" t="inlineStr" s="4">
        <is>
          <t>Current price</t>
        </is>
      </c>
      <c r="E2" s="7">
        <v>22.29</v>
      </c>
    </row>
    <row r="3">
      <c r="A3" t="inlineStr" s="4">
        <is>
          <t>Exchange</t>
        </is>
      </c>
      <c r="B3" t="inlineStr">
        <is>
          <t>Nasdaq</t>
        </is>
      </c>
      <c r="D3" t="inlineStr" s="4">
        <is>
          <t>Shares out</t>
        </is>
      </c>
      <c r="E3" s="5">
        <v>470.11</v>
      </c>
    </row>
    <row r="4">
      <c r="A4" t="inlineStr" s="4">
        <is>
          <t>CIK</t>
        </is>
      </c>
      <c r="B4" t="inlineStr">
        <is>
          <t>0001671933</t>
        </is>
      </c>
      <c r="D4" t="inlineStr" s="4">
        <is>
          <t>Market cap</t>
        </is>
      </c>
      <c r="E4" s="8">
        <f>E2*E3</f>
      </c>
    </row>
    <row r="5">
      <c r="A5" t="inlineStr" s="4">
        <is>
          <t>Model date</t>
        </is>
      </c>
      <c r="B5" t="inlineStr">
        <is>
          <t>2026-05-28</t>
        </is>
      </c>
      <c r="D5" t="inlineStr" s="4">
        <is>
          <t>Cash &amp; ST investments</t>
        </is>
      </c>
      <c r="E5" s="8">
        <v>1405.915</v>
      </c>
    </row>
    <row r="6">
      <c r="A6" t="inlineStr" s="4">
        <is>
          <t>Quote used</t>
        </is>
      </c>
      <c r="B6" t="inlineStr">
        <is>
          <t>2026-05-27 close</t>
        </is>
      </c>
      <c r="D6" t="inlineStr" s="4">
        <is>
          <t>Lease/debt</t>
        </is>
      </c>
      <c r="E6" s="8">
        <v>423.575</v>
      </c>
    </row>
    <row r="7">
      <c r="A7" t="inlineStr" s="4">
        <is>
          <t>Currency / units</t>
        </is>
      </c>
      <c r="B7" t="inlineStr">
        <is>
          <t>USD millions except per-share</t>
        </is>
      </c>
      <c r="D7" t="inlineStr" s="4">
        <is>
          <t>Net cash</t>
        </is>
      </c>
      <c r="E7" s="8">
        <f>E5-E6</f>
      </c>
    </row>
    <row r="8">
      <c r="D8" t="inlineStr" s="4">
        <is>
          <t>Enterprise value</t>
        </is>
      </c>
      <c r="E8" s="8">
        <f>E4+E6-E5</f>
      </c>
    </row>
    <row r="9">
      <c r="D9" t="inlineStr" s="4">
        <is>
          <t>TTM revenue</t>
        </is>
      </c>
      <c r="E9" s="8">
        <v>2969.12</v>
      </c>
    </row>
    <row r="10">
      <c r="D10" t="inlineStr" s="4">
        <is>
          <t>EV / TTM revenue</t>
        </is>
      </c>
      <c r="E10" s="13">
        <f>E8/E9</f>
      </c>
    </row>
    <row r="11">
      <c r="D11" t="inlineStr" s="4">
        <is>
          <t>EV / TTM reported FCF</t>
        </is>
      </c>
      <c r="E11" s="13">
        <f>E8/H37</f>
      </c>
    </row>
    <row r="12">
      <c r="D12" t="inlineStr" s="4">
        <is>
          <t>EV / TTM owner FCF</t>
        </is>
      </c>
      <c r="E12" s="13">
        <f>E8/H40</f>
      </c>
    </row>
    <row r="13">
      <c r="D13" t="inlineStr" s="4">
        <is>
          <t>P/E TTM</t>
        </is>
      </c>
      <c r="E13" s="13">
        <f>E4/H30</f>
      </c>
    </row>
    <row r="14">
      <c r="A14" t="inlineStr" s="2">
        <is>
          <t>Historical Actuals and Base Forecast</t>
        </is>
      </c>
    </row>
    <row r="16">
      <c r="B16" t="inlineStr" s="3">
        <is>
          <t>FY2020</t>
        </is>
      </c>
      <c r="C16" t="inlineStr" s="3">
        <is>
          <t>FY2021</t>
        </is>
      </c>
      <c r="D16" t="inlineStr" s="3">
        <is>
          <t>FY2022</t>
        </is>
      </c>
      <c r="E16" t="inlineStr" s="3">
        <is>
          <t>FY2023</t>
        </is>
      </c>
      <c r="F16" t="inlineStr" s="3">
        <is>
          <t>FY2024</t>
        </is>
      </c>
      <c r="G16" t="inlineStr" s="3">
        <is>
          <t>FY2025</t>
        </is>
      </c>
      <c r="H16" t="inlineStr" s="3">
        <is>
          <t>TTM 3/31/26</t>
        </is>
      </c>
      <c r="I16" t="inlineStr" s="3">
        <is>
          <t>FY2026E</t>
        </is>
      </c>
      <c r="J16" t="inlineStr" s="3">
        <is>
          <t>FY2027E</t>
        </is>
      </c>
      <c r="K16" t="inlineStr" s="3">
        <is>
          <t>FY2028E</t>
        </is>
      </c>
      <c r="L16" t="inlineStr" s="3">
        <is>
          <t>FY2029E</t>
        </is>
      </c>
      <c r="M16" t="inlineStr" s="3">
        <is>
          <t>FY2030E</t>
        </is>
      </c>
      <c r="N16" t="inlineStr" s="3">
        <is>
          <t>FY2031E</t>
        </is>
      </c>
      <c r="O16" t="inlineStr" s="3">
        <is>
          <t>FY2032E</t>
        </is>
      </c>
      <c r="P16" t="inlineStr" s="3">
        <is>
          <t>FY2033E</t>
        </is>
      </c>
      <c r="Q16" t="inlineStr" s="3">
        <is>
          <t>FY2034E</t>
        </is>
      </c>
      <c r="R16" t="inlineStr" s="3">
        <is>
          <t>FY2035E</t>
        </is>
      </c>
    </row>
    <row r="18">
      <c r="A18" t="inlineStr" s="4">
        <is>
          <t>Revenue</t>
        </is>
      </c>
      <c r="B18" s="5">
        <v>836.033</v>
      </c>
      <c r="C18" s="5">
        <v>1196.467</v>
      </c>
      <c r="D18" s="5">
        <v>1577.795</v>
      </c>
      <c r="E18" s="5">
        <v>1946.12</v>
      </c>
      <c r="F18" s="5">
        <v>2444.831</v>
      </c>
      <c r="G18" s="5">
        <v>2896.284</v>
      </c>
      <c r="H18" s="5">
        <v>2969.12</v>
      </c>
      <c r="I18" s="5">
        <f>G18*(1+I49)</f>
      </c>
      <c r="J18" s="5">
        <f>I18*(1+J49)</f>
      </c>
      <c r="K18" s="5">
        <f>J18*(1+K49)</f>
      </c>
      <c r="L18" s="5">
        <f>K18*(1+L49)</f>
      </c>
      <c r="M18" s="5">
        <f>L18*(1+M49)</f>
      </c>
      <c r="N18" s="5">
        <f>M18*(1+N49)</f>
      </c>
      <c r="O18" s="5">
        <f>N18*(1+O49)</f>
      </c>
      <c r="P18" s="5">
        <f>O18*(1+P49)</f>
      </c>
      <c r="Q18" s="5">
        <f>P18*(1+Q49)</f>
      </c>
      <c r="R18" s="5">
        <f>Q18*(1+R49)</f>
      </c>
    </row>
    <row r="19">
      <c r="A19" t="inlineStr">
        <is>
          <t>YoY growth</t>
        </is>
      </c>
      <c r="B19"/>
      <c r="C19" s="6">
        <f>C18/B18-1</f>
      </c>
      <c r="D19" s="6">
        <f>D18/C18-1</f>
      </c>
      <c r="E19" s="6">
        <f>E18/D18-1</f>
      </c>
      <c r="F19" s="6">
        <f>F18/E18-1</f>
      </c>
      <c r="G19" s="6">
        <f>G18/F18-1</f>
      </c>
      <c r="H19" s="6">
        <f>H18/G18-1</f>
      </c>
      <c r="I19" s="6">
        <f>I18/G18-1</f>
      </c>
      <c r="J19" s="6">
        <f>J18/I18-1</f>
      </c>
      <c r="K19" s="6">
        <f>K18/J18-1</f>
      </c>
      <c r="L19" s="6">
        <f>L18/K18-1</f>
      </c>
      <c r="M19" s="6">
        <f>M18/L18-1</f>
      </c>
      <c r="N19" s="6">
        <f>N18/M18-1</f>
      </c>
      <c r="O19" s="6">
        <f>O18/N18-1</f>
      </c>
      <c r="P19" s="6">
        <f>P18/O18-1</f>
      </c>
      <c r="Q19" s="6">
        <f>Q18/P18-1</f>
      </c>
      <c r="R19" s="6">
        <f>R18/Q18-1</f>
      </c>
    </row>
    <row r="20">
      <c r="A20" t="inlineStr">
        <is>
          <t>Cost of revenue</t>
        </is>
      </c>
      <c r="B20" s="5">
        <v>178.812</v>
      </c>
      <c r="C20" s="5">
        <v>221.554</v>
      </c>
      <c r="D20" s="5">
        <v>281.123</v>
      </c>
      <c r="E20" s="5">
        <v>365.598</v>
      </c>
      <c r="F20" s="5">
        <v>472.012</v>
      </c>
      <c r="G20" s="5">
        <v>619.067</v>
      </c>
      <c r="H20" s="5">
        <v>658.198</v>
      </c>
    </row>
    <row r="21">
      <c r="A21" t="inlineStr" s="4">
        <is>
          <t>Gross profit</t>
        </is>
      </c>
      <c r="B21" s="5">
        <f>B18-B20</f>
      </c>
      <c r="C21" s="5">
        <f>C18-C20</f>
      </c>
      <c r="D21" s="5">
        <f>D18-D20</f>
      </c>
      <c r="E21" s="5">
        <f>E18-E20</f>
      </c>
      <c r="F21" s="5">
        <f>F18-F20</f>
      </c>
      <c r="G21" s="5">
        <f>G18-G20</f>
      </c>
      <c r="H21" s="5">
        <f>H18-H20</f>
      </c>
    </row>
    <row r="22">
      <c r="A22" t="inlineStr">
        <is>
          <t>Gross margin</t>
        </is>
      </c>
      <c r="B22" s="6">
        <f>B21/B18</f>
      </c>
      <c r="C22" s="6">
        <f>C21/C18</f>
      </c>
      <c r="D22" s="6">
        <f>D21/D18</f>
      </c>
      <c r="E22" s="6">
        <f>E21/E18</f>
      </c>
      <c r="F22" s="6">
        <f>F21/F18</f>
      </c>
      <c r="G22" s="6">
        <f>G21/G18</f>
      </c>
      <c r="H22" s="6">
        <f>H21/H18</f>
      </c>
    </row>
    <row r="23">
      <c r="A23" t="inlineStr">
        <is>
          <t>R&amp;D</t>
        </is>
      </c>
      <c r="B23" s="5">
        <v>166.654</v>
      </c>
      <c r="C23" s="5">
        <v>226.137</v>
      </c>
      <c r="D23" s="5">
        <v>319.876</v>
      </c>
      <c r="E23" s="5">
        <v>411.794</v>
      </c>
      <c r="F23" s="5">
        <v>463.319</v>
      </c>
      <c r="G23" s="5">
        <v>525.141</v>
      </c>
      <c r="H23" s="5">
        <v>535.459</v>
      </c>
    </row>
    <row r="24">
      <c r="A24" t="inlineStr">
        <is>
          <t>Sales &amp; marketing</t>
        </is>
      </c>
      <c r="B24" s="5">
        <v>174.742</v>
      </c>
      <c r="C24" s="5">
        <v>249.298</v>
      </c>
      <c r="D24" s="5">
        <v>337.975</v>
      </c>
      <c r="E24" s="5">
        <v>447.97</v>
      </c>
      <c r="F24" s="5">
        <v>546.517</v>
      </c>
      <c r="G24" s="5">
        <v>644.3</v>
      </c>
      <c r="H24" s="5">
        <v>663.736</v>
      </c>
    </row>
    <row r="25">
      <c r="A25" t="inlineStr">
        <is>
          <t>G&amp;A</t>
        </is>
      </c>
      <c r="B25" s="5">
        <v>171.617</v>
      </c>
      <c r="C25" s="5">
        <v>374.661</v>
      </c>
      <c r="D25" s="5">
        <v>525.167</v>
      </c>
      <c r="E25" s="5">
        <v>520.278</v>
      </c>
      <c r="F25" s="5">
        <v>535.816</v>
      </c>
      <c r="G25" s="5">
        <v>518.455</v>
      </c>
      <c r="H25" s="5">
        <v>510.211</v>
      </c>
    </row>
    <row r="26">
      <c r="A26" t="inlineStr" s="4">
        <is>
          <t>Operating income</t>
        </is>
      </c>
      <c r="B26" s="5">
        <v>144.208</v>
      </c>
      <c r="C26" s="5">
        <v>124.817</v>
      </c>
      <c r="D26" s="5">
        <v>113.654</v>
      </c>
      <c r="E26" s="5">
        <v>200.48</v>
      </c>
      <c r="F26" s="5">
        <v>427.167</v>
      </c>
      <c r="G26" s="5">
        <v>589.321</v>
      </c>
      <c r="H26" s="5">
        <v>601.516</v>
      </c>
    </row>
    <row r="27">
      <c r="A27" t="inlineStr">
        <is>
          <t>Operating margin</t>
        </is>
      </c>
      <c r="B27" s="6">
        <f>B26/B18</f>
      </c>
      <c r="C27" s="6">
        <f>C26/C18</f>
      </c>
      <c r="D27" s="6">
        <f>D26/D18</f>
      </c>
      <c r="E27" s="6">
        <f>E26/E18</f>
      </c>
      <c r="F27" s="6">
        <f>F26/F18</f>
      </c>
      <c r="G27" s="6">
        <f>G26/G18</f>
      </c>
      <c r="H27" s="6">
        <f>H26/H18</f>
      </c>
    </row>
    <row r="28">
      <c r="A28" t="inlineStr">
        <is>
          <t>Pretax income</t>
        </is>
      </c>
      <c r="B28" s="5">
        <v>143.903</v>
      </c>
      <c r="C28" s="5">
        <v>122.036</v>
      </c>
      <c r="D28" s="5">
        <v>127.37</v>
      </c>
      <c r="E28" s="5">
        <v>267.995</v>
      </c>
      <c r="F28" s="5">
        <v>507.302</v>
      </c>
      <c r="G28" s="5">
        <v>658.755</v>
      </c>
      <c r="H28" s="5">
        <v>661.944</v>
      </c>
    </row>
    <row r="29">
      <c r="A29" t="inlineStr">
        <is>
          <t>Tax expense</t>
        </is>
      </c>
      <c r="B29" s="5">
        <v>-98.414</v>
      </c>
      <c r="C29" s="5">
        <v>-15.726</v>
      </c>
      <c r="D29" s="5">
        <v>73.985</v>
      </c>
      <c r="E29" s="5">
        <v>89.055</v>
      </c>
      <c r="F29" s="5">
        <v>114.226</v>
      </c>
      <c r="G29" s="5">
        <v>215.451</v>
      </c>
      <c r="H29" s="5">
        <v>229.321</v>
      </c>
    </row>
    <row r="30">
      <c r="A30" t="inlineStr" s="4">
        <is>
          <t>Net income</t>
        </is>
      </c>
      <c r="B30" s="5">
        <v>242.317</v>
      </c>
      <c r="C30" s="5">
        <v>137.762</v>
      </c>
      <c r="D30" s="5">
        <v>53.385</v>
      </c>
      <c r="E30" s="5">
        <v>178.94</v>
      </c>
      <c r="F30" s="5">
        <v>393.076</v>
      </c>
      <c r="G30" s="5">
        <v>443.304</v>
      </c>
      <c r="H30" s="5">
        <v>432.623</v>
      </c>
    </row>
    <row r="31">
      <c r="A31" t="inlineStr">
        <is>
          <t>Net margin</t>
        </is>
      </c>
      <c r="B31" s="6">
        <f>B30/B18</f>
      </c>
      <c r="C31" s="6">
        <f>C30/C18</f>
      </c>
      <c r="D31" s="6">
        <f>D30/D18</f>
      </c>
      <c r="E31" s="6">
        <f>E30/E18</f>
      </c>
      <c r="F31" s="6">
        <f>F30/F18</f>
      </c>
      <c r="G31" s="6">
        <f>G30/G18</f>
      </c>
      <c r="H31" s="6">
        <f>H30/H18</f>
      </c>
    </row>
    <row r="32">
      <c r="A32" t="inlineStr">
        <is>
          <t>Diluted EPS</t>
        </is>
      </c>
      <c r="B32" s="7">
        <v>0.49</v>
      </c>
      <c r="C32" s="7">
        <v>0.28</v>
      </c>
      <c r="D32" s="7">
        <v>0.11</v>
      </c>
      <c r="E32" s="7">
        <v>0.36</v>
      </c>
      <c r="F32" s="7">
        <v>0.78</v>
      </c>
      <c r="G32" s="7">
        <v>0.9</v>
      </c>
      <c r="H32" s="7">
        <v>0.88</v>
      </c>
    </row>
    <row r="33">
      <c r="A33" t="inlineStr">
        <is>
          <t>Diluted shares</t>
        </is>
      </c>
      <c r="B33" s="5">
        <v>489.881</v>
      </c>
      <c r="C33" s="5">
        <v>498.54</v>
      </c>
      <c r="D33" s="5">
        <v>499.925</v>
      </c>
      <c r="E33" s="5">
        <v>500.182</v>
      </c>
      <c r="F33" s="5">
        <v>501.924</v>
      </c>
      <c r="G33" s="5">
        <v>493.551</v>
      </c>
      <c r="H33" s="5">
        <v>487.092</v>
      </c>
    </row>
    <row r="35">
      <c r="A35" t="inlineStr">
        <is>
          <t>Operating cash flow</t>
        </is>
      </c>
      <c r="B35" s="5">
        <v>405.069</v>
      </c>
      <c r="C35" s="5">
        <v>378.513</v>
      </c>
      <c r="D35" s="5">
        <v>548.734</v>
      </c>
      <c r="E35" s="5">
        <v>598.322</v>
      </c>
      <c r="F35" s="5">
        <v>739.456</v>
      </c>
      <c r="G35" s="5">
        <v>992.721</v>
      </c>
      <c r="H35" s="5">
        <v>1093.093</v>
      </c>
    </row>
    <row r="36">
      <c r="A36" t="inlineStr">
        <is>
          <t>Capex</t>
        </is>
      </c>
      <c r="B36" s="5">
        <v>74.061</v>
      </c>
      <c r="C36" s="5">
        <v>54.804</v>
      </c>
      <c r="D36" s="5">
        <v>84.16</v>
      </c>
      <c r="E36" s="5">
        <v>46.79</v>
      </c>
      <c r="F36" s="5">
        <v>98.238</v>
      </c>
      <c r="G36" s="5">
        <v>197.011</v>
      </c>
      <c r="H36" s="5">
        <v>250.639</v>
      </c>
    </row>
    <row r="37">
      <c r="A37" t="inlineStr" s="4">
        <is>
          <t>Reported FCF</t>
        </is>
      </c>
      <c r="B37" s="5">
        <v>331.008</v>
      </c>
      <c r="C37" s="5">
        <v>323.709</v>
      </c>
      <c r="D37" s="5">
        <v>464.574</v>
      </c>
      <c r="E37" s="5">
        <v>551.532</v>
      </c>
      <c r="F37" s="5">
        <v>641.218</v>
      </c>
      <c r="G37" s="5">
        <v>795.71</v>
      </c>
      <c r="H37" s="5">
        <v>842.454</v>
      </c>
    </row>
    <row r="38">
      <c r="A38" t="inlineStr">
        <is>
          <t>Reported FCF margin</t>
        </is>
      </c>
      <c r="B38" s="6">
        <f>B37/B18</f>
      </c>
      <c r="C38" s="6">
        <f>C37/C18</f>
      </c>
      <c r="D38" s="6">
        <f>D37/D18</f>
      </c>
      <c r="E38" s="6">
        <f>E37/E18</f>
      </c>
      <c r="F38" s="6">
        <f>F37/F18</f>
      </c>
      <c r="G38" s="6">
        <f>G37/G18</f>
      </c>
      <c r="H38" s="6">
        <f>H37/H18</f>
      </c>
    </row>
    <row r="39">
      <c r="A39" t="inlineStr">
        <is>
          <t>Stock-based comp</t>
        </is>
      </c>
      <c r="B39" s="5">
        <v>111.775</v>
      </c>
      <c r="C39" s="5">
        <v>337.413</v>
      </c>
      <c r="D39" s="5">
        <v>498.642</v>
      </c>
      <c r="E39" s="5">
        <v>491.621</v>
      </c>
      <c r="F39" s="5">
        <v>494.699</v>
      </c>
      <c r="G39" s="5">
        <v>490.627</v>
      </c>
      <c r="H39" s="5">
        <v>471.42</v>
      </c>
    </row>
    <row r="40">
      <c r="A40" t="inlineStr" s="4">
        <is>
          <t>Owner FCF after SBC</t>
        </is>
      </c>
      <c r="B40" s="5">
        <v>219.233</v>
      </c>
      <c r="C40" s="5">
        <v>-13.704</v>
      </c>
      <c r="D40" s="5">
        <v>-34.068</v>
      </c>
      <c r="E40" s="5">
        <v>59.911</v>
      </c>
      <c r="F40" s="5">
        <v>146.519</v>
      </c>
      <c r="G40" s="5">
        <v>305.083</v>
      </c>
      <c r="H40" s="5">
        <v>371.034</v>
      </c>
      <c r="I40" s="5">
        <f>I18*I50</f>
      </c>
      <c r="J40" s="5">
        <f>J18*J50</f>
      </c>
      <c r="K40" s="5">
        <f>K18*K50</f>
      </c>
      <c r="L40" s="5">
        <f>L18*L50</f>
      </c>
      <c r="M40" s="5">
        <f>M18*M50</f>
      </c>
      <c r="N40" s="5">
        <f>N18*N50</f>
      </c>
      <c r="O40" s="5">
        <f>O18*O50</f>
      </c>
      <c r="P40" s="5">
        <f>P18*P50</f>
      </c>
      <c r="Q40" s="5">
        <f>Q18*Q50</f>
      </c>
      <c r="R40" s="5">
        <f>R18*R50</f>
      </c>
    </row>
    <row r="41">
      <c r="A41" t="inlineStr">
        <is>
          <t>Owner FCF margin</t>
        </is>
      </c>
      <c r="B41" s="6">
        <f>B40/B18</f>
      </c>
      <c r="C41" s="6">
        <f>C40/C18</f>
      </c>
      <c r="D41" s="6">
        <f>D40/D18</f>
      </c>
      <c r="E41" s="6">
        <f>E40/E18</f>
      </c>
      <c r="F41" s="6">
        <f>F40/F18</f>
      </c>
      <c r="G41" s="6">
        <f>G40/G18</f>
      </c>
      <c r="H41" s="6">
        <f>H40/H18</f>
      </c>
      <c r="I41" s="6">
        <f>I40/I18</f>
      </c>
      <c r="J41" s="6">
        <f>J40/J18</f>
      </c>
      <c r="K41" s="6">
        <f>K40/K18</f>
      </c>
      <c r="L41" s="6">
        <f>L40/L18</f>
      </c>
      <c r="M41" s="6">
        <f>M40/M18</f>
      </c>
      <c r="N41" s="6">
        <f>N40/N18</f>
      </c>
      <c r="O41" s="6">
        <f>O40/O18</f>
      </c>
      <c r="P41" s="6">
        <f>P40/P18</f>
      </c>
      <c r="Q41" s="6">
        <f>Q40/Q18</f>
      </c>
      <c r="R41" s="6">
        <f>R40/R18</f>
      </c>
    </row>
    <row r="42">
      <c r="A42" t="inlineStr">
        <is>
          <t>D&amp;A</t>
        </is>
      </c>
      <c r="B42" s="5">
        <v>28.632</v>
      </c>
      <c r="C42" s="5">
        <v>42.219</v>
      </c>
      <c r="D42" s="5">
        <v>54.425</v>
      </c>
      <c r="E42" s="5">
        <v>80.418</v>
      </c>
      <c r="F42" s="5">
        <v>87.49</v>
      </c>
      <c r="G42" s="5">
        <v>115.784</v>
      </c>
      <c r="H42" s="5">
        <v>123.23</v>
      </c>
    </row>
    <row r="44">
      <c r="A44" t="inlineStr">
        <is>
          <t>Cash &amp; ST investments</t>
        </is>
      </c>
      <c r="B44" s="5">
        <v>624.038</v>
      </c>
      <c r="C44" s="5">
        <v>958.779</v>
      </c>
      <c r="D44" s="5">
        <v>1446.586</v>
      </c>
      <c r="E44" s="5">
        <v>1380.288</v>
      </c>
      <c r="F44" s="5">
        <v>1921.489</v>
      </c>
      <c r="G44" s="5">
        <v>1303.057</v>
      </c>
      <c r="H44" s="5">
        <v>1405.915</v>
      </c>
    </row>
    <row r="45">
      <c r="A45" t="inlineStr">
        <is>
          <t>Lease/debt</t>
        </is>
      </c>
      <c r="B45" s="5">
        <v>292.43</v>
      </c>
      <c r="C45" s="5">
        <v>284.598</v>
      </c>
      <c r="D45" s="5">
        <v>260.957</v>
      </c>
      <c r="E45" s="5">
        <v>235.893</v>
      </c>
      <c r="F45" s="5">
        <v>312.215</v>
      </c>
      <c r="G45" s="5">
        <v>436.33</v>
      </c>
      <c r="H45" s="5">
        <v>423.575</v>
      </c>
    </row>
    <row r="46">
      <c r="A46" t="inlineStr">
        <is>
          <t>Net cash</t>
        </is>
      </c>
      <c r="B46" s="5">
        <f>B44-B45</f>
      </c>
      <c r="C46" s="5">
        <f>C44-C45</f>
      </c>
      <c r="D46" s="5">
        <f>D44-D45</f>
      </c>
      <c r="E46" s="5">
        <f>E44-E45</f>
      </c>
      <c r="F46" s="5">
        <f>F44-F45</f>
      </c>
      <c r="G46" s="5">
        <f>G44-G45</f>
      </c>
      <c r="H46" s="5">
        <f>H44-H45</f>
      </c>
    </row>
    <row r="49">
      <c r="A49" t="inlineStr">
        <is>
          <t>Revenue growth forecast</t>
        </is>
      </c>
      <c r="I49" s="6">
        <v>0.12</v>
      </c>
      <c r="J49" s="6">
        <v>0.12</v>
      </c>
      <c r="K49" s="6">
        <v>0.1</v>
      </c>
      <c r="L49" s="6">
        <v>0.09</v>
      </c>
      <c r="M49" s="6">
        <v>0.08</v>
      </c>
      <c r="N49" s="6">
        <v>0.075</v>
      </c>
      <c r="O49" s="6">
        <v>0.07</v>
      </c>
      <c r="P49" s="6">
        <v>0.06</v>
      </c>
      <c r="Q49" s="6">
        <v>0.05</v>
      </c>
      <c r="R49" s="6">
        <v>0.045</v>
      </c>
    </row>
    <row r="50">
      <c r="A50" t="inlineStr">
        <is>
          <t>Owner FCF margin forecast</t>
        </is>
      </c>
      <c r="I50" s="6">
        <v>0.14</v>
      </c>
      <c r="J50" s="6">
        <v>0.16</v>
      </c>
      <c r="K50" s="6">
        <v>0.18</v>
      </c>
      <c r="L50" s="6">
        <v>0.19</v>
      </c>
      <c r="M50" s="6">
        <v>0.2</v>
      </c>
      <c r="N50" s="6">
        <v>0.205</v>
      </c>
      <c r="O50" s="6">
        <v>0.21</v>
      </c>
      <c r="P50" s="6">
        <v>0.215</v>
      </c>
      <c r="Q50" s="6">
        <v>0.22</v>
      </c>
      <c r="R50" s="6">
        <v>0.225</v>
      </c>
    </row>
    <row r="51">
      <c r="A51" t="inlineStr">
        <is>
          <t>DCF owner FCF</t>
        </is>
      </c>
      <c r="I51" s="5">
        <f>I40</f>
      </c>
      <c r="J51" s="5">
        <f>J40</f>
      </c>
      <c r="K51" s="5">
        <f>K40</f>
      </c>
      <c r="L51" s="5">
        <f>L40</f>
      </c>
      <c r="M51" s="5">
        <f>M40</f>
      </c>
      <c r="N51" s="5">
        <f>N40</f>
      </c>
      <c r="O51" s="5">
        <f>O40</f>
      </c>
      <c r="P51" s="5">
        <f>P40</f>
      </c>
      <c r="Q51" s="5">
        <f>Q40</f>
      </c>
      <c r="R51" s="5">
        <f>R40</f>
      </c>
    </row>
    <row r="52">
      <c r="A52" t="inlineStr">
        <is>
          <t>Discount factor</t>
        </is>
      </c>
      <c r="I52" s="5">
        <f>1/(1+WACC!$B$13)^1</f>
      </c>
      <c r="J52" s="5">
        <f>1/(1+WACC!$B$13)^2</f>
      </c>
      <c r="K52" s="5">
        <f>1/(1+WACC!$B$13)^3</f>
      </c>
      <c r="L52" s="5">
        <f>1/(1+WACC!$B$13)^4</f>
      </c>
      <c r="M52" s="5">
        <f>1/(1+WACC!$B$13)^5</f>
      </c>
      <c r="N52" s="5">
        <f>1/(1+WACC!$B$13)^6</f>
      </c>
      <c r="O52" s="5">
        <f>1/(1+WACC!$B$13)^7</f>
      </c>
      <c r="P52" s="5">
        <f>1/(1+WACC!$B$13)^8</f>
      </c>
      <c r="Q52" s="5">
        <f>1/(1+WACC!$B$13)^9</f>
      </c>
      <c r="R52" s="5">
        <f>1/(1+WACC!$B$13)^10</f>
      </c>
    </row>
    <row r="53">
      <c r="A53" t="inlineStr">
        <is>
          <t>PV of owner FCF</t>
        </is>
      </c>
      <c r="I53" s="5">
        <f>I51*I52</f>
      </c>
      <c r="J53" s="5">
        <f>J51*J52</f>
      </c>
      <c r="K53" s="5">
        <f>K51*K52</f>
      </c>
      <c r="L53" s="5">
        <f>L51*L52</f>
      </c>
      <c r="M53" s="5">
        <f>M51*M52</f>
      </c>
      <c r="N53" s="5">
        <f>N51*N52</f>
      </c>
      <c r="O53" s="5">
        <f>O51*O52</f>
      </c>
      <c r="P53" s="5">
        <f>P51*P52</f>
      </c>
      <c r="Q53" s="5">
        <f>Q51*Q52</f>
      </c>
      <c r="R53" s="5">
        <f>R51*R52</f>
      </c>
    </row>
    <row r="55">
      <c r="A55" t="inlineStr">
        <is>
          <t>Terminal growth</t>
        </is>
      </c>
      <c r="I55" s="6"/>
      <c r="J55" s="6"/>
      <c r="K55" s="6"/>
      <c r="L55" s="6"/>
      <c r="M55" s="6"/>
      <c r="N55" s="6"/>
      <c r="O55" s="6"/>
      <c r="P55" s="6"/>
      <c r="Q55" s="6"/>
      <c r="R55" s="6">
        <v>0.03</v>
      </c>
    </row>
    <row r="56">
      <c r="A56" t="inlineStr">
        <is>
          <t>Terminal value</t>
        </is>
      </c>
      <c r="R56" s="5">
        <f>R51*(1+R55)/(WACC!$B$13-R55)</f>
      </c>
    </row>
    <row r="57">
      <c r="A57" t="inlineStr">
        <is>
          <t>PV terminal value</t>
        </is>
      </c>
      <c r="R57" s="5">
        <f>R56*R52</f>
      </c>
    </row>
    <row r="58">
      <c r="A58" t="inlineStr" s="4">
        <is>
          <t>Enterprise value</t>
        </is>
      </c>
      <c r="R58" s="5">
        <f>SUM(I53:R53)+R57</f>
      </c>
    </row>
    <row r="59">
      <c r="A59" t="inlineStr">
        <is>
          <t>Net cash bridge</t>
        </is>
      </c>
      <c r="R59" s="5">
        <f>$E$7</f>
      </c>
    </row>
    <row r="60">
      <c r="A60" t="inlineStr" s="4">
        <is>
          <t>Equity value</t>
        </is>
      </c>
      <c r="R60" s="5">
        <f>R58+R59</f>
      </c>
    </row>
    <row r="61">
      <c r="A61" t="inlineStr">
        <is>
          <t>Diluted shares</t>
        </is>
      </c>
      <c r="R61" s="5">
        <f>$E$3*(1-0.01)^10</f>
      </c>
    </row>
    <row r="62">
      <c r="A62" t="inlineStr" s="4">
        <is>
          <t>Implied price</t>
        </is>
      </c>
      <c r="R62" s="7">
        <f>R60/R61</f>
      </c>
    </row>
    <row r="63">
      <c r="A63" t="inlineStr">
        <is>
          <t>Current price</t>
        </is>
      </c>
      <c r="R63" s="7">
        <v>22.29</v>
      </c>
    </row>
    <row r="64">
      <c r="A64" t="inlineStr">
        <is>
          <t>Upside / downside</t>
        </is>
      </c>
      <c r="R64" s="9">
        <f>R62/R63-1</f>
      </c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4" customWidth="1"/>
    <col min="2" max="2" width="14" customWidth="1"/>
    <col min="3" max="3" width="90" customWidth="1"/>
  </cols>
  <sheetData>
    <row r="1">
      <c r="A1" t="inlineStr" s="1">
        <is>
          <t>WACC / Discount Rate</t>
        </is>
      </c>
    </row>
    <row r="2">
      <c r="A2" t="inlineStr" s="4">
        <is>
          <t>Risk-free rate</t>
        </is>
      </c>
      <c r="B2" s="6">
        <v>0.045</v>
      </c>
      <c r="C2" t="inlineStr" s="10">
        <is>
          <t>FRED DGS10, 2026-05-26 observation.</t>
        </is>
      </c>
    </row>
    <row r="3">
      <c r="A3" t="inlineStr" s="4">
        <is>
          <t>Equity risk premium</t>
        </is>
      </c>
      <c r="B3" s="6">
        <v>0.05</v>
      </c>
      <c r="C3" t="inlineStr" s="10">
        <is>
          <t>Public-market ERP assumption; rounded for model use.</t>
        </is>
      </c>
    </row>
    <row r="4">
      <c r="A4" t="inlineStr" s="4">
        <is>
          <t>Beta</t>
        </is>
      </c>
      <c r="B4" s="5">
        <v>1.1</v>
      </c>
      <c r="C4" t="inlineStr" s="10">
        <is>
          <t>StockAnalysis/Yahoo quote snapshot, 5Y monthly beta.</t>
        </is>
      </c>
    </row>
    <row r="5">
      <c r="A5" t="inlineStr" s="4">
        <is>
          <t>Cost of equity</t>
        </is>
      </c>
      <c r="B5" s="6">
        <f>B2+B3*B4</f>
      </c>
      <c r="C5" t="inlineStr" s="10">
        <is>
          <t>Risk-free rate + beta * ERP.</t>
        </is>
      </c>
    </row>
    <row r="6">
      <c r="A6" t="inlineStr" s="4">
        <is>
          <t>Pre-tax lease/debt cost</t>
        </is>
      </c>
      <c r="B6" s="6">
        <v>0.05</v>
      </c>
      <c r="C6" t="inlineStr" s="10">
        <is>
          <t>Judgmental lease/debt financing cost; TTD has no conventional net debt in model bridge.</t>
        </is>
      </c>
    </row>
    <row r="7">
      <c r="A7" t="inlineStr" s="4">
        <is>
          <t>Tax rate</t>
        </is>
      </c>
      <c r="B7" s="6">
        <v>0.21</v>
      </c>
      <c r="C7" t="inlineStr" s="10">
        <is>
          <t>Normalized statutory-like cash tax assumption.</t>
        </is>
      </c>
    </row>
    <row r="8">
      <c r="A8" t="inlineStr" s="4">
        <is>
          <t>Market value equity</t>
        </is>
      </c>
      <c r="B8" s="5">
        <f>Valuation!E4</f>
      </c>
      <c r="C8" t="inlineStr" s="10">
        <is>
          <t>Valuation!E4.</t>
        </is>
      </c>
    </row>
    <row r="9">
      <c r="A9" t="inlineStr" s="4">
        <is>
          <t>Lease/debt</t>
        </is>
      </c>
      <c r="B9" s="5">
        <f>Valuation!E6</f>
      </c>
      <c r="C9" t="inlineStr" s="10">
        <is>
          <t>Valuation!E6.</t>
        </is>
      </c>
    </row>
    <row r="10">
      <c r="A10" t="inlineStr" s="4">
        <is>
          <t>Equity weight</t>
        </is>
      </c>
      <c r="B10" s="6">
        <f>B8/(B8+B9)</f>
      </c>
      <c r="C10" t="inlineStr" s="10">
        <is>
          <t>Market equity / enterprise capital.</t>
        </is>
      </c>
    </row>
    <row r="11">
      <c r="A11" t="inlineStr" s="4">
        <is>
          <t>Debt weight</t>
        </is>
      </c>
      <c r="B11" s="6">
        <f>B9/(B8+B9)</f>
      </c>
      <c r="C11" t="inlineStr" s="10">
        <is>
          <t>Lease/debt / enterprise capital.</t>
        </is>
      </c>
    </row>
    <row r="12">
      <c r="A12" t="inlineStr" s="4">
        <is>
          <t>Mechanical WACC</t>
        </is>
      </c>
      <c r="B12" s="6">
        <f>B10*B5+B11*B6*(1-B7)</f>
      </c>
      <c r="C12" t="inlineStr" s="10">
        <is>
          <t>Cost of equity and after-tax debt weighted by market values.</t>
        </is>
      </c>
    </row>
    <row r="13">
      <c r="A13" t="inlineStr" s="4">
        <is>
          <t>Selected discount rate</t>
        </is>
      </c>
      <c r="B13" s="6">
        <v>0.105</v>
      </c>
      <c r="C13" t="inlineStr" s="10">
        <is>
          <t>Rounded above mechanical WACC to reflect ad-tech competition, growth-duration, and margin execution risk.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4" customWidth="1"/>
    <col min="2" max="2" width="18" customWidth="1"/>
    <col min="3" max="3" width="18" customWidth="1"/>
    <col min="4" max="4" width="18" customWidth="1"/>
    <col min="5" max="5" width="72" customWidth="1"/>
  </cols>
  <sheetData>
    <row r="1">
      <c r="A1" t="inlineStr" s="1">
        <is>
          <t>Bear / Base / Bull Scenario Summary</t>
        </is>
      </c>
    </row>
    <row r="3">
      <c r="A3" t="inlineStr" s="4">
        <is>
          <t>Current price</t>
        </is>
      </c>
      <c r="B3" s="7">
        <f>Valuation!$E$2</f>
      </c>
    </row>
    <row r="4">
      <c r="A4" t="inlineStr" s="4">
        <is>
          <t>Current shares</t>
        </is>
      </c>
      <c r="B4" s="5">
        <f>Valuation!$E$3</f>
      </c>
    </row>
    <row r="5">
      <c r="A5" t="inlineStr" s="4">
        <is>
          <t>Current net cash</t>
        </is>
      </c>
      <c r="B5" s="5">
        <f>Valuation!$E$7</f>
      </c>
    </row>
    <row r="7">
      <c r="B7" t="inlineStr" s="2">
        <is>
          <t>Bear</t>
        </is>
      </c>
      <c r="C7" t="inlineStr" s="2">
        <is>
          <t>Base</t>
        </is>
      </c>
      <c r="D7" t="inlineStr" s="2">
        <is>
          <t>Bull</t>
        </is>
      </c>
      <c r="E7" t="inlineStr" s="2">
        <is>
          <t>Scenario interpretation</t>
        </is>
      </c>
    </row>
    <row r="8">
      <c r="A8" t="inlineStr">
        <is>
          <t>Narrative</t>
        </is>
      </c>
      <c r="B8" t="inlineStr" s="10">
        <is>
          <t>Below-plan operating case: growth stays below the old algorithm, but TTD still compounds from a scaled CTV/open-internet base and keeps healthy owner earnings.</t>
        </is>
      </c>
      <c r="C8" t="inlineStr" s="10">
        <is>
          <t>TTD stabilizes after slower Q1/Q2, grows high single digits to low teens, and owner FCF margin improves but remains below reported FCF margin.</t>
        </is>
      </c>
      <c r="D8" t="inlineStr" s="10">
        <is>
          <t>Open internet, CTV, and retail-data execution restore better growth and modest multiple support, without assuming a full return to peak sentiment.</t>
        </is>
      </c>
      <c r="E8" t="inlineStr" s="10">
        <is>
          <t>The CAGR rows annualize from the May 27, 2026 closing price to the FY2030 target-price output.</t>
        </is>
      </c>
    </row>
    <row r="9">
      <c r="A9" t="inlineStr">
        <is>
          <t>FY2026 revenue growth</t>
        </is>
      </c>
      <c r="B9" s="6">
        <v>0.11</v>
      </c>
      <c r="C9" s="6">
        <v>0.13</v>
      </c>
      <c r="D9" s="6">
        <v>0.15</v>
      </c>
    </row>
    <row r="10">
      <c r="A10" t="inlineStr">
        <is>
          <t>FY2027-FY2030 revenue CAGR</t>
        </is>
      </c>
      <c r="B10" s="6">
        <v>0.085</v>
      </c>
      <c r="C10" s="6">
        <v>0.105</v>
      </c>
      <c r="D10" s="6">
        <v>0.12</v>
      </c>
    </row>
    <row r="11">
      <c r="A11" t="inlineStr">
        <is>
          <t>FY2030 revenue</t>
        </is>
      </c>
      <c r="B11" s="5">
        <f>Valuation!$G$18*(1+B9)*(1+B10)^4</f>
      </c>
      <c r="C11" s="5">
        <f>Valuation!$G$18*(1+C9)*(1+C10)^4</f>
      </c>
      <c r="D11" s="5">
        <f>Valuation!$G$18*(1+D9)*(1+D10)^4</f>
      </c>
    </row>
    <row r="12">
      <c r="A12" t="inlineStr">
        <is>
          <t>FY2030 owner FCF margin</t>
        </is>
      </c>
      <c r="B12" s="6">
        <v>0.18</v>
      </c>
      <c r="C12" s="6">
        <v>0.21</v>
      </c>
      <c r="D12" s="6">
        <v>0.23</v>
      </c>
    </row>
    <row r="13">
      <c r="A13" t="inlineStr">
        <is>
          <t>FY2030 owner FCF</t>
        </is>
      </c>
      <c r="B13" s="5">
        <f>B11*B12</f>
      </c>
      <c r="C13" s="5">
        <f>C11*C12</f>
      </c>
      <c r="D13" s="5">
        <f>D11*D12</f>
      </c>
    </row>
    <row r="14">
      <c r="A14" t="inlineStr">
        <is>
          <t>Exit owner FCF yield</t>
        </is>
      </c>
      <c r="B14" s="6">
        <v>0.065</v>
      </c>
      <c r="C14" s="6">
        <v>0.0575</v>
      </c>
      <c r="D14" s="6">
        <v>0.0525</v>
      </c>
    </row>
    <row r="15">
      <c r="A15" t="inlineStr">
        <is>
          <t>Exit enterprise value</t>
        </is>
      </c>
      <c r="B15" s="5">
        <f>B13/B14</f>
      </c>
      <c r="C15" s="5">
        <f>C13/C14</f>
      </c>
      <c r="D15" s="5">
        <f>D13/D14</f>
      </c>
    </row>
    <row r="16">
      <c r="A16" t="inlineStr">
        <is>
          <t>Net cash bridge</t>
        </is>
      </c>
      <c r="B16" s="5">
        <f>$B$5</f>
      </c>
      <c r="C16" s="5">
        <f>$B$5</f>
      </c>
      <c r="D16" s="5">
        <f>$B$5</f>
      </c>
    </row>
    <row r="17">
      <c r="A17" t="inlineStr">
        <is>
          <t>FY2030 shares</t>
        </is>
      </c>
      <c r="B17" s="5">
        <f>$B$4*(1+-0.0025)^5</f>
      </c>
      <c r="C17" s="5">
        <f>$B$4*(1+-0.01)^5</f>
      </c>
      <c r="D17" s="5">
        <f>$B$4*(1+-0.0125)^5</f>
      </c>
    </row>
    <row r="18">
      <c r="A18" t="inlineStr" s="4">
        <is>
          <t>FY2030 target price</t>
        </is>
      </c>
      <c r="B18" s="7">
        <f>(B15+B16)/B17</f>
      </c>
      <c r="C18" s="7">
        <f>(C15+C16)/C17</f>
      </c>
      <c r="D18" s="7">
        <f>(D15+D16)/D17</f>
      </c>
    </row>
    <row r="19">
      <c r="A19" t="inlineStr" s="4">
        <is>
          <t>5Y CAGR from current</t>
        </is>
      </c>
      <c r="B19" s="9">
        <f>(B18/$B$3)^(1/5)-1</f>
      </c>
      <c r="C19" s="9">
        <f>(C18/$B$3)^(1/5)-1</f>
      </c>
      <c r="D19" s="9">
        <f>(D18/$B$3)^(1/5)-1</f>
      </c>
    </row>
    <row r="22">
      <c r="A22" t="inlineStr" s="2">
        <is>
          <t>Scenario Drivers</t>
        </is>
      </c>
    </row>
    <row r="24">
      <c r="A24" t="inlineStr" s="3">
        <is>
          <t>Metric</t>
        </is>
      </c>
      <c r="B24" t="inlineStr" s="3">
        <is>
          <t>Bear</t>
        </is>
      </c>
      <c r="C24" t="inlineStr" s="3">
        <is>
          <t>Base</t>
        </is>
      </c>
      <c r="D24" t="inlineStr" s="3">
        <is>
          <t>Bull</t>
        </is>
      </c>
    </row>
    <row r="25">
      <c r="A25" t="inlineStr" s="4">
        <is>
          <t>Competitive pressure</t>
        </is>
      </c>
      <c r="B25" t="inlineStr" s="10">
        <is>
          <t>Walled gardens pressure growth, but TTD remains a scaled independent DSP</t>
        </is>
      </c>
      <c r="C25" t="inlineStr" s="10">
        <is>
          <t>TTD remains relevant and returns to low-teens growth</t>
        </is>
      </c>
      <c r="D25" t="inlineStr" s="10">
        <is>
          <t>Open internet, CTV, audio, and retail data improve buyer ROI</t>
        </is>
      </c>
    </row>
    <row r="26">
      <c r="A26" t="inlineStr" s="4">
        <is>
          <t>Margin/SBC treatment</t>
        </is>
      </c>
      <c r="B26" t="inlineStr" s="10">
        <is>
          <t>Owner FCF margin reaches the high teens</t>
        </is>
      </c>
      <c r="C26" t="inlineStr" s="10">
        <is>
          <t>Owner FCF margin reaches low 20s</t>
        </is>
      </c>
      <c r="D26" t="inlineStr" s="10">
        <is>
          <t>Scale and lower SBC intensity lift owner FCF margin into low-to-mid 20s</t>
        </is>
      </c>
    </row>
    <row r="27">
      <c r="A27" t="inlineStr" s="4">
        <is>
          <t>Valuation exit</t>
        </is>
      </c>
      <c r="B27" t="inlineStr" s="10">
        <is>
          <t>15.4x owner FCF</t>
        </is>
      </c>
      <c r="C27" t="inlineStr" s="10">
        <is>
          <t>17.4x owner FCF</t>
        </is>
      </c>
      <c r="D27" t="inlineStr" s="10">
        <is>
          <t>19.0x owner FCF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22" customWidth="1"/>
    <col min="2" max="2" width="14" customWidth="1"/>
    <col min="3" max="3" width="14" customWidth="1"/>
    <col min="4" max="4" width="12" customWidth="1"/>
    <col min="5" max="5" width="16" customWidth="1"/>
    <col min="6" max="6" width="26" customWidth="1"/>
    <col min="7" max="7" width="15" customWidth="1"/>
    <col min="8" max="8" width="18" customWidth="1"/>
    <col min="9" max="9" width="34" customWidth="1"/>
    <col min="10" max="10" width="15" customWidth="1"/>
    <col min="11" max="11" width="50" customWidth="1"/>
  </cols>
  <sheetData>
    <row r="1">
      <c r="A1" t="inlineStr" s="2">
        <is>
          <t>Line item</t>
        </is>
      </c>
      <c r="B1" t="inlineStr" s="2">
        <is>
          <t>Period</t>
        </is>
      </c>
      <c r="C1" t="inlineStr" s="2">
        <is>
          <t>Model value</t>
        </is>
      </c>
      <c r="D1" t="inlineStr" s="2">
        <is>
          <t>Unit</t>
        </is>
      </c>
      <c r="E1" t="inlineStr" s="2">
        <is>
          <t>Primary value</t>
        </is>
      </c>
      <c r="F1" t="inlineStr" s="2">
        <is>
          <t>Primary source</t>
        </is>
      </c>
      <c r="G1" t="inlineStr" s="2">
        <is>
          <t>Secondary value</t>
        </is>
      </c>
      <c r="H1" t="inlineStr" s="2">
        <is>
          <t>Secondary source</t>
        </is>
      </c>
      <c r="I1" t="inlineStr" s="2">
        <is>
          <t>Difference / resolution</t>
        </is>
      </c>
      <c r="J1" t="inlineStr" s="2">
        <is>
          <t>Model cell</t>
        </is>
      </c>
      <c r="K1" t="inlineStr" s="2">
        <is>
          <t>Notes</t>
        </is>
      </c>
    </row>
    <row r="2">
      <c r="A2" t="inlineStr">
        <is>
          <t>Revenue</t>
        </is>
      </c>
      <c r="B2" t="inlineStr">
        <is>
          <t>FY2023</t>
        </is>
      </c>
      <c r="C2" s="5">
        <v>1946.12</v>
      </c>
      <c r="D2" t="inlineStr">
        <is>
          <t>USD mm</t>
        </is>
      </c>
      <c r="E2" s="5">
        <v>1946.12</v>
      </c>
      <c r="F2" t="inlineStr">
        <is>
          <t>SEC companyfacts / 2025 10-K</t>
        </is>
      </c>
      <c r="G2" s="5">
        <v>1946.12</v>
      </c>
      <c r="H2" t="inlineStr">
        <is>
          <t>StockAnalysis financial tables</t>
        </is>
      </c>
      <c r="I2" t="inlineStr">
        <is>
          <t>Ties within rounding; SEC/companyfacts used as source of truth.</t>
        </is>
      </c>
      <c r="J2" t="inlineStr">
        <is>
          <t>Valuation!E18</t>
        </is>
      </c>
      <c r="K2" t="inlineStr">
        <is>
          <t>Amounts are USD millions unless share rows. TTM is FY2025 + Q1 2026 - Q1 2025.</t>
        </is>
      </c>
    </row>
    <row r="3">
      <c r="A3" t="inlineStr">
        <is>
          <t>Revenue</t>
        </is>
      </c>
      <c r="B3" t="inlineStr">
        <is>
          <t>FY2024</t>
        </is>
      </c>
      <c r="C3" s="5">
        <v>2444.831</v>
      </c>
      <c r="D3" t="inlineStr">
        <is>
          <t>USD mm</t>
        </is>
      </c>
      <c r="E3" s="5">
        <v>2444.831</v>
      </c>
      <c r="F3" t="inlineStr">
        <is>
          <t>SEC companyfacts / 2025 10-K</t>
        </is>
      </c>
      <c r="G3" s="5">
        <v>2444.83</v>
      </c>
      <c r="H3" t="inlineStr">
        <is>
          <t>StockAnalysis financial tables</t>
        </is>
      </c>
      <c r="I3" t="inlineStr">
        <is>
          <t>Ties within rounding; SEC/companyfacts used as source of truth.</t>
        </is>
      </c>
      <c r="J3" t="inlineStr">
        <is>
          <t>Valuation!F18</t>
        </is>
      </c>
      <c r="K3" t="inlineStr">
        <is>
          <t>Amounts are USD millions unless share rows. TTM is FY2025 + Q1 2026 - Q1 2025.</t>
        </is>
      </c>
    </row>
    <row r="4">
      <c r="A4" t="inlineStr">
        <is>
          <t>Revenue</t>
        </is>
      </c>
      <c r="B4" t="inlineStr">
        <is>
          <t>FY2025</t>
        </is>
      </c>
      <c r="C4" s="5">
        <v>2896.284</v>
      </c>
      <c r="D4" t="inlineStr">
        <is>
          <t>USD mm</t>
        </is>
      </c>
      <c r="E4" s="5">
        <v>2896.284</v>
      </c>
      <c r="F4" t="inlineStr">
        <is>
          <t>SEC companyfacts / 2025 10-K</t>
        </is>
      </c>
      <c r="G4" s="5">
        <v>2896.28</v>
      </c>
      <c r="H4" t="inlineStr">
        <is>
          <t>StockAnalysis financial tables</t>
        </is>
      </c>
      <c r="I4" t="inlineStr">
        <is>
          <t>Ties within rounding; SEC/companyfacts used as source of truth.</t>
        </is>
      </c>
      <c r="J4" t="inlineStr">
        <is>
          <t>Valuation!G18</t>
        </is>
      </c>
      <c r="K4" t="inlineStr">
        <is>
          <t>Amounts are USD millions unless share rows. TTM is FY2025 + Q1 2026 - Q1 2025.</t>
        </is>
      </c>
    </row>
    <row r="5">
      <c r="A5" t="inlineStr">
        <is>
          <t>Revenue</t>
        </is>
      </c>
      <c r="B5" t="inlineStr">
        <is>
          <t>TTM 3/31/26</t>
        </is>
      </c>
      <c r="C5" s="5">
        <v>2969.12</v>
      </c>
      <c r="D5" t="inlineStr">
        <is>
          <t>USD mm</t>
        </is>
      </c>
      <c r="E5" s="5">
        <v>2969.12</v>
      </c>
      <c r="F5" t="inlineStr">
        <is>
          <t>SEC companyfacts / Q1 2026 10-Q plus FY2025 less Q1 2025</t>
        </is>
      </c>
      <c r="G5" s="5">
        <v>2969.12</v>
      </c>
      <c r="H5" t="inlineStr">
        <is>
          <t>StockAnalysis financial tables</t>
        </is>
      </c>
      <c r="I5" t="inlineStr">
        <is>
          <t>Ties within rounding; SEC/companyfacts used as source of truth.</t>
        </is>
      </c>
      <c r="J5" t="inlineStr">
        <is>
          <t>Valuation!H18</t>
        </is>
      </c>
      <c r="K5" t="inlineStr">
        <is>
          <t>Amounts are USD millions unless share rows. TTM is FY2025 + Q1 2026 - Q1 2025.</t>
        </is>
      </c>
    </row>
    <row r="6">
      <c r="A6" t="inlineStr">
        <is>
          <t>Operating income</t>
        </is>
      </c>
      <c r="B6" t="inlineStr">
        <is>
          <t>FY2023</t>
        </is>
      </c>
      <c r="C6" s="5">
        <v>200.48</v>
      </c>
      <c r="D6" t="inlineStr">
        <is>
          <t>USD mm</t>
        </is>
      </c>
      <c r="E6" s="5">
        <v>200.48</v>
      </c>
      <c r="F6" t="inlineStr">
        <is>
          <t>SEC companyfacts / 2025 10-K</t>
        </is>
      </c>
      <c r="G6" s="5">
        <v>200.48</v>
      </c>
      <c r="H6" t="inlineStr">
        <is>
          <t>StockAnalysis financial tables</t>
        </is>
      </c>
      <c r="I6" t="inlineStr">
        <is>
          <t>Ties within rounding; SEC/companyfacts used as source of truth.</t>
        </is>
      </c>
      <c r="J6" t="inlineStr">
        <is>
          <t>Valuation!E26</t>
        </is>
      </c>
      <c r="K6" t="inlineStr">
        <is>
          <t>Amounts are USD millions unless share rows. TTM is FY2025 + Q1 2026 - Q1 2025.</t>
        </is>
      </c>
    </row>
    <row r="7">
      <c r="A7" t="inlineStr">
        <is>
          <t>Operating income</t>
        </is>
      </c>
      <c r="B7" t="inlineStr">
        <is>
          <t>FY2024</t>
        </is>
      </c>
      <c r="C7" s="5">
        <v>427.167</v>
      </c>
      <c r="D7" t="inlineStr">
        <is>
          <t>USD mm</t>
        </is>
      </c>
      <c r="E7" s="5">
        <v>427.167</v>
      </c>
      <c r="F7" t="inlineStr">
        <is>
          <t>SEC companyfacts / 2025 10-K</t>
        </is>
      </c>
      <c r="G7" s="5">
        <v>427.17</v>
      </c>
      <c r="H7" t="inlineStr">
        <is>
          <t>StockAnalysis financial tables</t>
        </is>
      </c>
      <c r="I7" t="inlineStr">
        <is>
          <t>Ties within rounding; SEC/companyfacts used as source of truth.</t>
        </is>
      </c>
      <c r="J7" t="inlineStr">
        <is>
          <t>Valuation!F26</t>
        </is>
      </c>
      <c r="K7" t="inlineStr">
        <is>
          <t>Amounts are USD millions unless share rows. TTM is FY2025 + Q1 2026 - Q1 2025.</t>
        </is>
      </c>
    </row>
    <row r="8">
      <c r="A8" t="inlineStr">
        <is>
          <t>Operating income</t>
        </is>
      </c>
      <c r="B8" t="inlineStr">
        <is>
          <t>FY2025</t>
        </is>
      </c>
      <c r="C8" s="5">
        <v>589.321</v>
      </c>
      <c r="D8" t="inlineStr">
        <is>
          <t>USD mm</t>
        </is>
      </c>
      <c r="E8" s="5">
        <v>589.321</v>
      </c>
      <c r="F8" t="inlineStr">
        <is>
          <t>SEC companyfacts / 2025 10-K</t>
        </is>
      </c>
      <c r="G8" s="5">
        <v>589.32</v>
      </c>
      <c r="H8" t="inlineStr">
        <is>
          <t>StockAnalysis financial tables</t>
        </is>
      </c>
      <c r="I8" t="inlineStr">
        <is>
          <t>Ties within rounding; SEC/companyfacts used as source of truth.</t>
        </is>
      </c>
      <c r="J8" t="inlineStr">
        <is>
          <t>Valuation!G26</t>
        </is>
      </c>
      <c r="K8" t="inlineStr">
        <is>
          <t>Amounts are USD millions unless share rows. TTM is FY2025 + Q1 2026 - Q1 2025.</t>
        </is>
      </c>
    </row>
    <row r="9">
      <c r="A9" t="inlineStr">
        <is>
          <t>Operating income</t>
        </is>
      </c>
      <c r="B9" t="inlineStr">
        <is>
          <t>TTM 3/31/26</t>
        </is>
      </c>
      <c r="C9" s="5">
        <v>601.516</v>
      </c>
      <c r="D9" t="inlineStr">
        <is>
          <t>USD mm</t>
        </is>
      </c>
      <c r="E9" s="5">
        <v>601.516</v>
      </c>
      <c r="F9" t="inlineStr">
        <is>
          <t>SEC companyfacts / Q1 2026 10-Q plus FY2025 less Q1 2025</t>
        </is>
      </c>
      <c r="G9" s="5">
        <v>601.52</v>
      </c>
      <c r="H9" t="inlineStr">
        <is>
          <t>StockAnalysis financial tables</t>
        </is>
      </c>
      <c r="I9" t="inlineStr">
        <is>
          <t>Ties within rounding; SEC/companyfacts used as source of truth.</t>
        </is>
      </c>
      <c r="J9" t="inlineStr">
        <is>
          <t>Valuation!H26</t>
        </is>
      </c>
      <c r="K9" t="inlineStr">
        <is>
          <t>Amounts are USD millions unless share rows. TTM is FY2025 + Q1 2026 - Q1 2025.</t>
        </is>
      </c>
    </row>
    <row r="10">
      <c r="A10" t="inlineStr">
        <is>
          <t>Net income</t>
        </is>
      </c>
      <c r="B10" t="inlineStr">
        <is>
          <t>FY2023</t>
        </is>
      </c>
      <c r="C10" s="5">
        <v>178.94</v>
      </c>
      <c r="D10" t="inlineStr">
        <is>
          <t>USD mm</t>
        </is>
      </c>
      <c r="E10" s="5">
        <v>178.94</v>
      </c>
      <c r="F10" t="inlineStr">
        <is>
          <t>SEC companyfacts / 2025 10-K</t>
        </is>
      </c>
      <c r="G10" s="5">
        <v>178.94</v>
      </c>
      <c r="H10" t="inlineStr">
        <is>
          <t>StockAnalysis financial tables</t>
        </is>
      </c>
      <c r="I10" t="inlineStr">
        <is>
          <t>Ties within rounding; SEC/companyfacts used as source of truth.</t>
        </is>
      </c>
      <c r="J10" t="inlineStr">
        <is>
          <t>Valuation!E30</t>
        </is>
      </c>
      <c r="K10" t="inlineStr">
        <is>
          <t>Amounts are USD millions unless share rows. TTM is FY2025 + Q1 2026 - Q1 2025.</t>
        </is>
      </c>
    </row>
    <row r="11">
      <c r="A11" t="inlineStr">
        <is>
          <t>Net income</t>
        </is>
      </c>
      <c r="B11" t="inlineStr">
        <is>
          <t>FY2024</t>
        </is>
      </c>
      <c r="C11" s="5">
        <v>393.076</v>
      </c>
      <c r="D11" t="inlineStr">
        <is>
          <t>USD mm</t>
        </is>
      </c>
      <c r="E11" s="5">
        <v>393.076</v>
      </c>
      <c r="F11" t="inlineStr">
        <is>
          <t>SEC companyfacts / 2025 10-K</t>
        </is>
      </c>
      <c r="G11" s="5">
        <v>393.08</v>
      </c>
      <c r="H11" t="inlineStr">
        <is>
          <t>StockAnalysis financial tables</t>
        </is>
      </c>
      <c r="I11" t="inlineStr">
        <is>
          <t>Ties within rounding; SEC/companyfacts used as source of truth.</t>
        </is>
      </c>
      <c r="J11" t="inlineStr">
        <is>
          <t>Valuation!F30</t>
        </is>
      </c>
      <c r="K11" t="inlineStr">
        <is>
          <t>Amounts are USD millions unless share rows. TTM is FY2025 + Q1 2026 - Q1 2025.</t>
        </is>
      </c>
    </row>
    <row r="12">
      <c r="A12" t="inlineStr">
        <is>
          <t>Net income</t>
        </is>
      </c>
      <c r="B12" t="inlineStr">
        <is>
          <t>FY2025</t>
        </is>
      </c>
      <c r="C12" s="5">
        <v>443.304</v>
      </c>
      <c r="D12" t="inlineStr">
        <is>
          <t>USD mm</t>
        </is>
      </c>
      <c r="E12" s="5">
        <v>443.304</v>
      </c>
      <c r="F12" t="inlineStr">
        <is>
          <t>SEC companyfacts / 2025 10-K</t>
        </is>
      </c>
      <c r="G12" s="5">
        <v>443.3</v>
      </c>
      <c r="H12" t="inlineStr">
        <is>
          <t>StockAnalysis financial tables</t>
        </is>
      </c>
      <c r="I12" t="inlineStr">
        <is>
          <t>Ties within rounding; SEC/companyfacts used as source of truth.</t>
        </is>
      </c>
      <c r="J12" t="inlineStr">
        <is>
          <t>Valuation!G30</t>
        </is>
      </c>
      <c r="K12" t="inlineStr">
        <is>
          <t>Amounts are USD millions unless share rows. TTM is FY2025 + Q1 2026 - Q1 2025.</t>
        </is>
      </c>
    </row>
    <row r="13">
      <c r="A13" t="inlineStr">
        <is>
          <t>Net income</t>
        </is>
      </c>
      <c r="B13" t="inlineStr">
        <is>
          <t>TTM 3/31/26</t>
        </is>
      </c>
      <c r="C13" s="5">
        <v>432.623</v>
      </c>
      <c r="D13" t="inlineStr">
        <is>
          <t>USD mm</t>
        </is>
      </c>
      <c r="E13" s="5">
        <v>432.623</v>
      </c>
      <c r="F13" t="inlineStr">
        <is>
          <t>SEC companyfacts / Q1 2026 10-Q plus FY2025 less Q1 2025</t>
        </is>
      </c>
      <c r="G13" s="5">
        <v>432.62</v>
      </c>
      <c r="H13" t="inlineStr">
        <is>
          <t>StockAnalysis financial tables</t>
        </is>
      </c>
      <c r="I13" t="inlineStr">
        <is>
          <t>Ties within rounding; SEC/companyfacts used as source of truth.</t>
        </is>
      </c>
      <c r="J13" t="inlineStr">
        <is>
          <t>Valuation!H30</t>
        </is>
      </c>
      <c r="K13" t="inlineStr">
        <is>
          <t>Amounts are USD millions unless share rows. TTM is FY2025 + Q1 2026 - Q1 2025.</t>
        </is>
      </c>
    </row>
    <row r="14">
      <c r="A14" t="inlineStr">
        <is>
          <t>Reported FCF</t>
        </is>
      </c>
      <c r="B14" t="inlineStr">
        <is>
          <t>FY2023</t>
        </is>
      </c>
      <c r="C14" s="5">
        <v>551.532</v>
      </c>
      <c r="D14" t="inlineStr">
        <is>
          <t>USD mm</t>
        </is>
      </c>
      <c r="E14" s="5">
        <v>551.532</v>
      </c>
      <c r="F14" t="inlineStr">
        <is>
          <t>SEC companyfacts / 2025 10-K</t>
        </is>
      </c>
      <c r="G14" s="5">
        <v>551.53</v>
      </c>
      <c r="H14" t="inlineStr">
        <is>
          <t>StockAnalysis financial tables</t>
        </is>
      </c>
      <c r="I14" t="inlineStr">
        <is>
          <t>Ties within rounding; SEC/companyfacts used as source of truth.</t>
        </is>
      </c>
      <c r="J14" t="inlineStr">
        <is>
          <t>Valuation!E37</t>
        </is>
      </c>
      <c r="K14" t="inlineStr">
        <is>
          <t>Amounts are USD millions unless share rows. TTM is FY2025 + Q1 2026 - Q1 2025.</t>
        </is>
      </c>
    </row>
    <row r="15">
      <c r="A15" t="inlineStr">
        <is>
          <t>Reported FCF</t>
        </is>
      </c>
      <c r="B15" t="inlineStr">
        <is>
          <t>FY2024</t>
        </is>
      </c>
      <c r="C15" s="5">
        <v>641.218</v>
      </c>
      <c r="D15" t="inlineStr">
        <is>
          <t>USD mm</t>
        </is>
      </c>
      <c r="E15" s="5">
        <v>641.218</v>
      </c>
      <c r="F15" t="inlineStr">
        <is>
          <t>SEC companyfacts / 2025 10-K</t>
        </is>
      </c>
      <c r="G15" s="5">
        <v>641.22</v>
      </c>
      <c r="H15" t="inlineStr">
        <is>
          <t>StockAnalysis financial tables</t>
        </is>
      </c>
      <c r="I15" t="inlineStr">
        <is>
          <t>Ties within rounding; SEC/companyfacts used as source of truth.</t>
        </is>
      </c>
      <c r="J15" t="inlineStr">
        <is>
          <t>Valuation!F37</t>
        </is>
      </c>
      <c r="K15" t="inlineStr">
        <is>
          <t>Amounts are USD millions unless share rows. TTM is FY2025 + Q1 2026 - Q1 2025.</t>
        </is>
      </c>
    </row>
    <row r="16">
      <c r="A16" t="inlineStr">
        <is>
          <t>Reported FCF</t>
        </is>
      </c>
      <c r="B16" t="inlineStr">
        <is>
          <t>FY2025</t>
        </is>
      </c>
      <c r="C16" s="5">
        <v>795.71</v>
      </c>
      <c r="D16" t="inlineStr">
        <is>
          <t>USD mm</t>
        </is>
      </c>
      <c r="E16" s="5">
        <v>795.71</v>
      </c>
      <c r="F16" t="inlineStr">
        <is>
          <t>SEC companyfacts / 2025 10-K</t>
        </is>
      </c>
      <c r="G16" s="5">
        <v>795.71</v>
      </c>
      <c r="H16" t="inlineStr">
        <is>
          <t>StockAnalysis financial tables</t>
        </is>
      </c>
      <c r="I16" t="inlineStr">
        <is>
          <t>Ties within rounding; SEC/companyfacts used as source of truth.</t>
        </is>
      </c>
      <c r="J16" t="inlineStr">
        <is>
          <t>Valuation!G37</t>
        </is>
      </c>
      <c r="K16" t="inlineStr">
        <is>
          <t>Amounts are USD millions unless share rows. TTM is FY2025 + Q1 2026 - Q1 2025.</t>
        </is>
      </c>
    </row>
    <row r="17">
      <c r="A17" t="inlineStr">
        <is>
          <t>Reported FCF</t>
        </is>
      </c>
      <c r="B17" t="inlineStr">
        <is>
          <t>TTM 3/31/26</t>
        </is>
      </c>
      <c r="C17" s="5">
        <v>842.454</v>
      </c>
      <c r="D17" t="inlineStr">
        <is>
          <t>USD mm</t>
        </is>
      </c>
      <c r="E17" s="5">
        <v>842.454</v>
      </c>
      <c r="F17" t="inlineStr">
        <is>
          <t>SEC companyfacts / Q1 2026 10-Q plus FY2025 less Q1 2025</t>
        </is>
      </c>
      <c r="G17" s="5">
        <v>842.45</v>
      </c>
      <c r="H17" t="inlineStr">
        <is>
          <t>StockAnalysis financial tables</t>
        </is>
      </c>
      <c r="I17" t="inlineStr">
        <is>
          <t>Ties within rounding; SEC/companyfacts used as source of truth.</t>
        </is>
      </c>
      <c r="J17" t="inlineStr">
        <is>
          <t>Valuation!H37</t>
        </is>
      </c>
      <c r="K17" t="inlineStr">
        <is>
          <t>Amounts are USD millions unless share rows. TTM is FY2025 + Q1 2026 - Q1 2025.</t>
        </is>
      </c>
    </row>
    <row r="18">
      <c r="A18" t="inlineStr">
        <is>
          <t>Stock-based comp</t>
        </is>
      </c>
      <c r="B18" t="inlineStr">
        <is>
          <t>FY2023</t>
        </is>
      </c>
      <c r="C18" s="5">
        <v>491.621</v>
      </c>
      <c r="D18" t="inlineStr">
        <is>
          <t>USD mm</t>
        </is>
      </c>
      <c r="E18" s="5">
        <v>491.621</v>
      </c>
      <c r="F18" t="inlineStr">
        <is>
          <t>SEC companyfacts / 2025 10-K</t>
        </is>
      </c>
      <c r="G18" s="5">
        <v>491.62</v>
      </c>
      <c r="H18" t="inlineStr">
        <is>
          <t>StockAnalysis financial tables</t>
        </is>
      </c>
      <c r="I18" t="inlineStr">
        <is>
          <t>Ties within rounding; SEC/companyfacts used as source of truth.</t>
        </is>
      </c>
      <c r="J18" t="inlineStr">
        <is>
          <t>Valuation!E39</t>
        </is>
      </c>
      <c r="K18" t="inlineStr">
        <is>
          <t>Amounts are USD millions unless share rows. TTM is FY2025 + Q1 2026 - Q1 2025.</t>
        </is>
      </c>
    </row>
    <row r="19">
      <c r="A19" t="inlineStr">
        <is>
          <t>Stock-based comp</t>
        </is>
      </c>
      <c r="B19" t="inlineStr">
        <is>
          <t>FY2024</t>
        </is>
      </c>
      <c r="C19" s="5">
        <v>494.699</v>
      </c>
      <c r="D19" t="inlineStr">
        <is>
          <t>USD mm</t>
        </is>
      </c>
      <c r="E19" s="5">
        <v>494.699</v>
      </c>
      <c r="F19" t="inlineStr">
        <is>
          <t>SEC companyfacts / 2025 10-K</t>
        </is>
      </c>
      <c r="G19" s="5">
        <v>494.7</v>
      </c>
      <c r="H19" t="inlineStr">
        <is>
          <t>StockAnalysis financial tables</t>
        </is>
      </c>
      <c r="I19" t="inlineStr">
        <is>
          <t>Ties within rounding; SEC/companyfacts used as source of truth.</t>
        </is>
      </c>
      <c r="J19" t="inlineStr">
        <is>
          <t>Valuation!F39</t>
        </is>
      </c>
      <c r="K19" t="inlineStr">
        <is>
          <t>Amounts are USD millions unless share rows. TTM is FY2025 + Q1 2026 - Q1 2025.</t>
        </is>
      </c>
    </row>
    <row r="20">
      <c r="A20" t="inlineStr">
        <is>
          <t>Stock-based comp</t>
        </is>
      </c>
      <c r="B20" t="inlineStr">
        <is>
          <t>FY2025</t>
        </is>
      </c>
      <c r="C20" s="5">
        <v>490.627</v>
      </c>
      <c r="D20" t="inlineStr">
        <is>
          <t>USD mm</t>
        </is>
      </c>
      <c r="E20" s="5">
        <v>490.627</v>
      </c>
      <c r="F20" t="inlineStr">
        <is>
          <t>SEC companyfacts / 2025 10-K</t>
        </is>
      </c>
      <c r="G20" s="5">
        <v>490.63</v>
      </c>
      <c r="H20" t="inlineStr">
        <is>
          <t>StockAnalysis financial tables</t>
        </is>
      </c>
      <c r="I20" t="inlineStr">
        <is>
          <t>Ties within rounding; SEC/companyfacts used as source of truth.</t>
        </is>
      </c>
      <c r="J20" t="inlineStr">
        <is>
          <t>Valuation!G39</t>
        </is>
      </c>
      <c r="K20" t="inlineStr">
        <is>
          <t>Amounts are USD millions unless share rows. TTM is FY2025 + Q1 2026 - Q1 2025.</t>
        </is>
      </c>
    </row>
    <row r="21">
      <c r="A21" t="inlineStr">
        <is>
          <t>Stock-based comp</t>
        </is>
      </c>
      <c r="B21" t="inlineStr">
        <is>
          <t>TTM 3/31/26</t>
        </is>
      </c>
      <c r="C21" s="5">
        <v>471.42</v>
      </c>
      <c r="D21" t="inlineStr">
        <is>
          <t>USD mm</t>
        </is>
      </c>
      <c r="E21" s="5">
        <v>471.42</v>
      </c>
      <c r="F21" t="inlineStr">
        <is>
          <t>SEC companyfacts / Q1 2026 10-Q plus FY2025 less Q1 2025</t>
        </is>
      </c>
      <c r="G21" s="5">
        <v>471.42</v>
      </c>
      <c r="H21" t="inlineStr">
        <is>
          <t>StockAnalysis financial tables</t>
        </is>
      </c>
      <c r="I21" t="inlineStr">
        <is>
          <t>Ties within rounding; SEC/companyfacts used as source of truth.</t>
        </is>
      </c>
      <c r="J21" t="inlineStr">
        <is>
          <t>Valuation!H39</t>
        </is>
      </c>
      <c r="K21" t="inlineStr">
        <is>
          <t>Amounts are USD millions unless share rows. TTM is FY2025 + Q1 2026 - Q1 2025.</t>
        </is>
      </c>
    </row>
    <row r="22">
      <c r="A22" t="inlineStr">
        <is>
          <t>Cash &amp; ST investments</t>
        </is>
      </c>
      <c r="B22" t="inlineStr">
        <is>
          <t>FY2023</t>
        </is>
      </c>
      <c r="C22" s="5">
        <v>1380.288</v>
      </c>
      <c r="D22" t="inlineStr">
        <is>
          <t>USD mm</t>
        </is>
      </c>
      <c r="E22" s="5">
        <v>1380.288</v>
      </c>
      <c r="F22" t="inlineStr">
        <is>
          <t>SEC companyfacts / 2025 10-K</t>
        </is>
      </c>
      <c r="G22" s="5">
        <v>1380.29</v>
      </c>
      <c r="H22" t="inlineStr">
        <is>
          <t>StockAnalysis financial tables</t>
        </is>
      </c>
      <c r="I22" t="inlineStr">
        <is>
          <t>Ties within rounding; SEC/companyfacts used as source of truth.</t>
        </is>
      </c>
      <c r="J22" t="inlineStr">
        <is>
          <t>Valuation!E44</t>
        </is>
      </c>
      <c r="K22" t="inlineStr">
        <is>
          <t>Amounts are USD millions unless share rows. TTM is FY2025 + Q1 2026 - Q1 2025.</t>
        </is>
      </c>
    </row>
    <row r="23">
      <c r="A23" t="inlineStr">
        <is>
          <t>Cash &amp; ST investments</t>
        </is>
      </c>
      <c r="B23" t="inlineStr">
        <is>
          <t>FY2024</t>
        </is>
      </c>
      <c r="C23" s="5">
        <v>1921.489</v>
      </c>
      <c r="D23" t="inlineStr">
        <is>
          <t>USD mm</t>
        </is>
      </c>
      <c r="E23" s="5">
        <v>1921.489</v>
      </c>
      <c r="F23" t="inlineStr">
        <is>
          <t>SEC companyfacts / 2025 10-K</t>
        </is>
      </c>
      <c r="G23" s="5">
        <v>1921.49</v>
      </c>
      <c r="H23" t="inlineStr">
        <is>
          <t>StockAnalysis financial tables</t>
        </is>
      </c>
      <c r="I23" t="inlineStr">
        <is>
          <t>Ties within rounding; SEC/companyfacts used as source of truth.</t>
        </is>
      </c>
      <c r="J23" t="inlineStr">
        <is>
          <t>Valuation!F44</t>
        </is>
      </c>
      <c r="K23" t="inlineStr">
        <is>
          <t>Amounts are USD millions unless share rows. TTM is FY2025 + Q1 2026 - Q1 2025.</t>
        </is>
      </c>
    </row>
    <row r="24">
      <c r="A24" t="inlineStr">
        <is>
          <t>Cash &amp; ST investments</t>
        </is>
      </c>
      <c r="B24" t="inlineStr">
        <is>
          <t>FY2025</t>
        </is>
      </c>
      <c r="C24" s="5">
        <v>1303.057</v>
      </c>
      <c r="D24" t="inlineStr">
        <is>
          <t>USD mm</t>
        </is>
      </c>
      <c r="E24" s="5">
        <v>1303.057</v>
      </c>
      <c r="F24" t="inlineStr">
        <is>
          <t>SEC companyfacts / 2025 10-K</t>
        </is>
      </c>
      <c r="G24" s="5">
        <v>1303.06</v>
      </c>
      <c r="H24" t="inlineStr">
        <is>
          <t>StockAnalysis financial tables</t>
        </is>
      </c>
      <c r="I24" t="inlineStr">
        <is>
          <t>Ties within rounding; SEC/companyfacts used as source of truth.</t>
        </is>
      </c>
      <c r="J24" t="inlineStr">
        <is>
          <t>Valuation!G44</t>
        </is>
      </c>
      <c r="K24" t="inlineStr">
        <is>
          <t>Amounts are USD millions unless share rows. TTM is FY2025 + Q1 2026 - Q1 2025.</t>
        </is>
      </c>
    </row>
    <row r="25">
      <c r="A25" t="inlineStr">
        <is>
          <t>Cash &amp; ST investments</t>
        </is>
      </c>
      <c r="B25" t="inlineStr">
        <is>
          <t>TTM 3/31/26</t>
        </is>
      </c>
      <c r="C25" s="5">
        <v>1405.915</v>
      </c>
      <c r="D25" t="inlineStr">
        <is>
          <t>USD mm</t>
        </is>
      </c>
      <c r="E25" s="5">
        <v>1405.915</v>
      </c>
      <c r="F25" t="inlineStr">
        <is>
          <t>SEC companyfacts / Q1 2026 10-Q plus FY2025 less Q1 2025</t>
        </is>
      </c>
      <c r="G25" s="5">
        <v>1405.92</v>
      </c>
      <c r="H25" t="inlineStr">
        <is>
          <t>StockAnalysis financial tables</t>
        </is>
      </c>
      <c r="I25" t="inlineStr">
        <is>
          <t>Ties within rounding; SEC/companyfacts used as source of truth.</t>
        </is>
      </c>
      <c r="J25" t="inlineStr">
        <is>
          <t>Valuation!H44</t>
        </is>
      </c>
      <c r="K25" t="inlineStr">
        <is>
          <t>Amounts are USD millions unless share rows. TTM is FY2025 + Q1 2026 - Q1 2025.</t>
        </is>
      </c>
    </row>
    <row r="26">
      <c r="A26" t="inlineStr">
        <is>
          <t>Lease/debt</t>
        </is>
      </c>
      <c r="B26" t="inlineStr">
        <is>
          <t>FY2023</t>
        </is>
      </c>
      <c r="C26" s="5">
        <v>235.893</v>
      </c>
      <c r="D26" t="inlineStr">
        <is>
          <t>USD mm</t>
        </is>
      </c>
      <c r="E26" s="5">
        <v>235.893</v>
      </c>
      <c r="F26" t="inlineStr">
        <is>
          <t>SEC companyfacts / 2025 10-K</t>
        </is>
      </c>
      <c r="G26" s="5">
        <v>235.89</v>
      </c>
      <c r="H26" t="inlineStr">
        <is>
          <t>StockAnalysis financial tables</t>
        </is>
      </c>
      <c r="I26" t="inlineStr">
        <is>
          <t>Ties within rounding; SEC/companyfacts used as source of truth.</t>
        </is>
      </c>
      <c r="J26" t="inlineStr">
        <is>
          <t>Valuation!E45</t>
        </is>
      </c>
      <c r="K26" t="inlineStr">
        <is>
          <t>Amounts are USD millions unless share rows. TTM is FY2025 + Q1 2026 - Q1 2025.</t>
        </is>
      </c>
    </row>
    <row r="27">
      <c r="A27" t="inlineStr">
        <is>
          <t>Lease/debt</t>
        </is>
      </c>
      <c r="B27" t="inlineStr">
        <is>
          <t>FY2024</t>
        </is>
      </c>
      <c r="C27" s="5">
        <v>312.215</v>
      </c>
      <c r="D27" t="inlineStr">
        <is>
          <t>USD mm</t>
        </is>
      </c>
      <c r="E27" s="5">
        <v>312.215</v>
      </c>
      <c r="F27" t="inlineStr">
        <is>
          <t>SEC companyfacts / 2025 10-K</t>
        </is>
      </c>
      <c r="G27" s="5">
        <v>312.22</v>
      </c>
      <c r="H27" t="inlineStr">
        <is>
          <t>StockAnalysis financial tables</t>
        </is>
      </c>
      <c r="I27" t="inlineStr">
        <is>
          <t>Ties within rounding; SEC/companyfacts used as source of truth.</t>
        </is>
      </c>
      <c r="J27" t="inlineStr">
        <is>
          <t>Valuation!F45</t>
        </is>
      </c>
      <c r="K27" t="inlineStr">
        <is>
          <t>Amounts are USD millions unless share rows. TTM is FY2025 + Q1 2026 - Q1 2025.</t>
        </is>
      </c>
    </row>
    <row r="28">
      <c r="A28" t="inlineStr">
        <is>
          <t>Lease/debt</t>
        </is>
      </c>
      <c r="B28" t="inlineStr">
        <is>
          <t>FY2025</t>
        </is>
      </c>
      <c r="C28" s="5">
        <v>436.33</v>
      </c>
      <c r="D28" t="inlineStr">
        <is>
          <t>USD mm</t>
        </is>
      </c>
      <c r="E28" s="5">
        <v>436.33</v>
      </c>
      <c r="F28" t="inlineStr">
        <is>
          <t>SEC companyfacts / 2025 10-K</t>
        </is>
      </c>
      <c r="G28" s="5">
        <v>436.33</v>
      </c>
      <c r="H28" t="inlineStr">
        <is>
          <t>StockAnalysis financial tables</t>
        </is>
      </c>
      <c r="I28" t="inlineStr">
        <is>
          <t>Ties within rounding; SEC/companyfacts used as source of truth.</t>
        </is>
      </c>
      <c r="J28" t="inlineStr">
        <is>
          <t>Valuation!G45</t>
        </is>
      </c>
      <c r="K28" t="inlineStr">
        <is>
          <t>Amounts are USD millions unless share rows. TTM is FY2025 + Q1 2026 - Q1 2025.</t>
        </is>
      </c>
    </row>
    <row r="29">
      <c r="A29" t="inlineStr">
        <is>
          <t>Lease/debt</t>
        </is>
      </c>
      <c r="B29" t="inlineStr">
        <is>
          <t>TTM 3/31/26</t>
        </is>
      </c>
      <c r="C29" s="5">
        <v>423.575</v>
      </c>
      <c r="D29" t="inlineStr">
        <is>
          <t>USD mm</t>
        </is>
      </c>
      <c r="E29" s="5">
        <v>423.575</v>
      </c>
      <c r="F29" t="inlineStr">
        <is>
          <t>SEC companyfacts / Q1 2026 10-Q plus FY2025 less Q1 2025</t>
        </is>
      </c>
      <c r="G29" s="5">
        <v>423.58</v>
      </c>
      <c r="H29" t="inlineStr">
        <is>
          <t>StockAnalysis financial tables</t>
        </is>
      </c>
      <c r="I29" t="inlineStr">
        <is>
          <t>Ties within rounding; SEC/companyfacts used as source of truth.</t>
        </is>
      </c>
      <c r="J29" t="inlineStr">
        <is>
          <t>Valuation!H45</t>
        </is>
      </c>
      <c r="K29" t="inlineStr">
        <is>
          <t>Amounts are USD millions unless share rows. TTM is FY2025 + Q1 2026 - Q1 2025.</t>
        </is>
      </c>
    </row>
    <row r="30">
      <c r="A30" t="inlineStr">
        <is>
          <t>Diluted shares</t>
        </is>
      </c>
      <c r="B30" t="inlineStr">
        <is>
          <t>FY2023</t>
        </is>
      </c>
      <c r="C30" s="5">
        <v>500.182</v>
      </c>
      <c r="D30" t="inlineStr">
        <is>
          <t>mm shares</t>
        </is>
      </c>
      <c r="E30" s="5">
        <v>500.182</v>
      </c>
      <c r="F30" t="inlineStr">
        <is>
          <t>SEC companyfacts / 2025 10-K</t>
        </is>
      </c>
      <c r="G30" s="5">
        <v>500.18</v>
      </c>
      <c r="H30" t="inlineStr">
        <is>
          <t>StockAnalysis financial tables</t>
        </is>
      </c>
      <c r="I30" t="inlineStr">
        <is>
          <t>Ties within rounding; SEC/companyfacts used as source of truth.</t>
        </is>
      </c>
      <c r="J30" t="inlineStr">
        <is>
          <t>Valuation!E33</t>
        </is>
      </c>
      <c r="K30" t="inlineStr">
        <is>
          <t>Amounts are USD millions unless share rows. TTM is FY2025 + Q1 2026 - Q1 2025.</t>
        </is>
      </c>
    </row>
    <row r="31">
      <c r="A31" t="inlineStr">
        <is>
          <t>Diluted shares</t>
        </is>
      </c>
      <c r="B31" t="inlineStr">
        <is>
          <t>FY2024</t>
        </is>
      </c>
      <c r="C31" s="5">
        <v>501.924</v>
      </c>
      <c r="D31" t="inlineStr">
        <is>
          <t>mm shares</t>
        </is>
      </c>
      <c r="E31" s="5">
        <v>501.924</v>
      </c>
      <c r="F31" t="inlineStr">
        <is>
          <t>SEC companyfacts / 2025 10-K</t>
        </is>
      </c>
      <c r="G31" s="5">
        <v>501.92</v>
      </c>
      <c r="H31" t="inlineStr">
        <is>
          <t>StockAnalysis financial tables</t>
        </is>
      </c>
      <c r="I31" t="inlineStr">
        <is>
          <t>Ties within rounding; SEC/companyfacts used as source of truth.</t>
        </is>
      </c>
      <c r="J31" t="inlineStr">
        <is>
          <t>Valuation!F33</t>
        </is>
      </c>
      <c r="K31" t="inlineStr">
        <is>
          <t>Amounts are USD millions unless share rows. TTM is FY2025 + Q1 2026 - Q1 2025.</t>
        </is>
      </c>
    </row>
    <row r="32">
      <c r="A32" t="inlineStr">
        <is>
          <t>Diluted shares</t>
        </is>
      </c>
      <c r="B32" t="inlineStr">
        <is>
          <t>FY2025</t>
        </is>
      </c>
      <c r="C32" s="5">
        <v>493.551</v>
      </c>
      <c r="D32" t="inlineStr">
        <is>
          <t>mm shares</t>
        </is>
      </c>
      <c r="E32" s="5">
        <v>493.551</v>
      </c>
      <c r="F32" t="inlineStr">
        <is>
          <t>SEC companyfacts / 2025 10-K</t>
        </is>
      </c>
      <c r="G32" s="5">
        <v>493.55</v>
      </c>
      <c r="H32" t="inlineStr">
        <is>
          <t>StockAnalysis financial tables</t>
        </is>
      </c>
      <c r="I32" t="inlineStr">
        <is>
          <t>Ties within rounding; SEC/companyfacts used as source of truth.</t>
        </is>
      </c>
      <c r="J32" t="inlineStr">
        <is>
          <t>Valuation!G33</t>
        </is>
      </c>
      <c r="K32" t="inlineStr">
        <is>
          <t>Amounts are USD millions unless share rows. TTM is FY2025 + Q1 2026 - Q1 2025.</t>
        </is>
      </c>
    </row>
    <row r="33">
      <c r="A33" t="inlineStr">
        <is>
          <t>Diluted shares</t>
        </is>
      </c>
      <c r="B33" t="inlineStr">
        <is>
          <t>TTM 3/31/26</t>
        </is>
      </c>
      <c r="C33" s="5">
        <v>487.092</v>
      </c>
      <c r="D33" t="inlineStr">
        <is>
          <t>mm shares</t>
        </is>
      </c>
      <c r="E33" s="5">
        <v>487.092</v>
      </c>
      <c r="F33" t="inlineStr">
        <is>
          <t>SEC companyfacts / Q1 2026 10-Q plus FY2025 less Q1 2025</t>
        </is>
      </c>
      <c r="G33" s="5">
        <v>487.09</v>
      </c>
      <c r="H33" t="inlineStr">
        <is>
          <t>StockAnalysis financial tables</t>
        </is>
      </c>
      <c r="I33" t="inlineStr">
        <is>
          <t>Ties within rounding; SEC/companyfacts used as source of truth.</t>
        </is>
      </c>
      <c r="J33" t="inlineStr">
        <is>
          <t>Valuation!H33</t>
        </is>
      </c>
      <c r="K33" t="inlineStr">
        <is>
          <t>Amounts are USD millions unless share rows. TTM is FY2025 + Q1 2026 - Q1 2025.</t>
        </is>
      </c>
    </row>
    <row r="35">
      <c r="A35" t="inlineStr" s="2">
        <is>
          <t>Data limitations</t>
        </is>
      </c>
    </row>
    <row r="36">
      <c r="A36" t="inlineStr" s="10">
        <is>
          <t>Yahoo Finance query endpoint returned Too Many Requests; Macrotrends pages were Cloudflare-blocked. Market quote was cross-checked with StockAnalysis and Stooq.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6" customWidth="1"/>
    <col min="2" max="2" width="110" customWidth="1"/>
  </cols>
  <sheetData>
    <row r="1">
      <c r="A1" t="inlineStr" s="1">
        <is>
          <t>Q Bank</t>
        </is>
      </c>
    </row>
    <row r="2">
      <c r="A2" s="12">
        <v>1</v>
      </c>
      <c r="B2" t="inlineStr">
        <is>
          <t>Is the Q1 2026 growth deceleration temporary, or evidence that Amazon, Google, and agency shifts are structurally reducing TTD's incremental share?</t>
        </is>
      </c>
    </row>
    <row r="3">
      <c r="A3" s="12">
        <v>2</v>
      </c>
      <c r="B3" t="inlineStr">
        <is>
          <t>How much of reported free cash flow is owner earnings after stock-based compensation and repurchase needs?</t>
        </is>
      </c>
    </row>
    <row r="4">
      <c r="A4" s="12">
        <v>3</v>
      </c>
      <c r="B4" t="inlineStr">
        <is>
          <t>Can Unified ID, retail media data, CTV/audio, and OpenPath/OpenAds restore a durable growth premium?</t>
        </is>
      </c>
    </row>
    <row r="5">
      <c r="A5" s="12">
        <v>4</v>
      </c>
      <c r="B5" t="inlineStr">
        <is>
          <t>Does the Q2 2026 guide imply conservatism, macro softness, or continued competitive pressure?</t>
        </is>
      </c>
    </row>
    <row r="6">
      <c r="A6" s="12">
        <v>5</v>
      </c>
      <c r="B6" t="inlineStr">
        <is>
          <t>What happens to take-rate and gross margin if large agencies press for lower fees or more direct integrations?</t>
        </is>
      </c>
    </row>
    <row r="7">
      <c r="A7" s="12">
        <v>6</v>
      </c>
      <c r="B7" t="inlineStr">
        <is>
          <t>Will buybacks more than offset SBC dilution over the next five years without consuming strategic flexibility?</t>
        </is>
      </c>
    </row>
    <row r="8">
      <c r="A8" s="12">
        <v>7</v>
      </c>
      <c r="B8" t="inlineStr">
        <is>
          <t>What valuation multiple is justified if owner FCF growth normalizes to high single digits?</t>
        </is>
      </c>
    </row>
    <row r="9">
      <c r="A9" s="12">
        <v>8</v>
      </c>
      <c r="B9" t="inlineStr">
        <is>
          <t>Which leading indicators should be monitored: retention, CTV spend, agency wallet share, retail data integrations, and SBC as a percentage of revenue?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" customWidth="1"/>
    <col min="2" max="2" width="18" customWidth="1"/>
    <col min="3" max="3" width="18" customWidth="1"/>
    <col min="4" max="4" width="74" customWidth="1"/>
    <col min="5" max="5" width="100" customWidth="1"/>
  </cols>
  <sheetData>
    <row r="1">
      <c r="A1" t="inlineStr" s="2">
        <is>
          <t>Source</t>
        </is>
      </c>
      <c r="B1" t="inlineStr" s="2">
        <is>
          <t>Type</t>
        </is>
      </c>
      <c r="C1" t="inlineStr" s="2">
        <is>
          <t>Date / as-of</t>
        </is>
      </c>
      <c r="D1" t="inlineStr" s="2">
        <is>
          <t>Usage</t>
        </is>
      </c>
      <c r="E1" t="inlineStr" s="2">
        <is>
          <t>URL / note</t>
        </is>
      </c>
    </row>
    <row r="2">
      <c r="A2" t="inlineStr">
        <is>
          <t>SEC companyfacts API</t>
        </is>
      </c>
      <c r="B2" t="inlineStr">
        <is>
          <t>Primary filing data</t>
        </is>
      </c>
      <c r="C2" t="inlineStr">
        <is>
          <t>Pulled 2026-05-28</t>
        </is>
      </c>
      <c r="D2" t="inlineStr">
        <is>
          <t>Historical actuals and TTM roll-forward.</t>
        </is>
      </c>
      <c r="E2" t="inlineStr" s="10">
        <is>
          <t>https://data.sec.gov/api/xbrl/companyfacts/CIK0001671933.json</t>
        </is>
      </c>
    </row>
    <row r="3">
      <c r="A3" t="inlineStr">
        <is>
          <t>TTD FY2025 Form 10-K</t>
        </is>
      </c>
      <c r="B3" t="inlineStr">
        <is>
          <t>Primary filing</t>
        </is>
      </c>
      <c r="C3" t="inlineStr">
        <is>
          <t>Filed 2026-02-27</t>
        </is>
      </c>
      <c r="D3" t="inlineStr">
        <is>
          <t>FY2025 actuals, balance sheet, cash flow, leases, share count.</t>
        </is>
      </c>
      <c r="E3" t="inlineStr" s="10">
        <is>
          <t>https://www.sec.gov/Archives/edgar/data/1671933/000167193326000014/ttd-20251231.htm</t>
        </is>
      </c>
    </row>
    <row r="4">
      <c r="A4" t="inlineStr">
        <is>
          <t>TTD Q1 2026 Form 10-Q</t>
        </is>
      </c>
      <c r="B4" t="inlineStr">
        <is>
          <t>Primary filing</t>
        </is>
      </c>
      <c r="C4" t="inlineStr">
        <is>
          <t>Filed 2026-05-07</t>
        </is>
      </c>
      <c r="D4" t="inlineStr">
        <is>
          <t>Q1 2026 actuals and TTM roll-forward.</t>
        </is>
      </c>
      <c r="E4" t="inlineStr" s="10">
        <is>
          <t>https://www.sec.gov/Archives/edgar/data/1671933/000167193326000054/ttd-20260331.htm</t>
        </is>
      </c>
    </row>
    <row r="5">
      <c r="A5" t="inlineStr">
        <is>
          <t>TTD Q1 2026 Exhibit 99.1</t>
        </is>
      </c>
      <c r="B5" t="inlineStr">
        <is>
          <t>Company release</t>
        </is>
      </c>
      <c r="C5" t="inlineStr">
        <is>
          <t>2026-05-07</t>
        </is>
      </c>
      <c r="D5" t="inlineStr">
        <is>
          <t>Q1 headline revenue, adjusted EBITDA, Q2 revenue and adjusted EBITDA guidance.</t>
        </is>
      </c>
      <c r="E5" t="inlineStr" s="10">
        <is>
          <t>https://www.sec.gov/Archives/edgar/data/1671933/000167193326000053/ttd-20260507x8kexx991.htm</t>
        </is>
      </c>
    </row>
    <row r="6">
      <c r="A6" t="inlineStr">
        <is>
          <t>StockAnalysis overview</t>
        </is>
      </c>
      <c r="B6" t="inlineStr">
        <is>
          <t>Market data</t>
        </is>
      </c>
      <c r="C6" t="inlineStr">
        <is>
          <t>2026-05-27 close / 2026-05-28 pre-market page</t>
        </is>
      </c>
      <c r="D6" t="inlineStr">
        <is>
          <t>Price, shares, market cap, beta, TTM revenue and secondary financial checks.</t>
        </is>
      </c>
      <c r="E6" t="inlineStr" s="10">
        <is>
          <t>https://stockanalysis.com/stocks/ttd/</t>
        </is>
      </c>
    </row>
    <row r="7">
      <c r="A7" t="inlineStr">
        <is>
          <t>StockAnalysis financials</t>
        </is>
      </c>
      <c r="B7" t="inlineStr">
        <is>
          <t>Secondary financials</t>
        </is>
      </c>
      <c r="C7" t="inlineStr">
        <is>
          <t>Updated 2026-05-07</t>
        </is>
      </c>
      <c r="D7" t="inlineStr">
        <is>
          <t>Revenue, income statement, cash-flow, balance-sheet cross-checks.</t>
        </is>
      </c>
      <c r="E7" t="inlineStr" s="10">
        <is>
          <t>https://stockanalysis.com/stocks/ttd/financials/</t>
        </is>
      </c>
    </row>
    <row r="8">
      <c r="A8" t="inlineStr">
        <is>
          <t>Stooq quote CSV</t>
        </is>
      </c>
      <c r="B8" t="inlineStr">
        <is>
          <t>Market data</t>
        </is>
      </c>
      <c r="C8" t="inlineStr">
        <is>
          <t>2026-05-27 close</t>
        </is>
      </c>
      <c r="D8" t="inlineStr">
        <is>
          <t>Independent close-price check: 22.29.</t>
        </is>
      </c>
      <c r="E8" t="inlineStr" s="10">
        <is>
          <t>https://stooq.com/q/l/?s=ttd.us&amp;f=sd2t2ohlcv&amp;h&amp;e=csv</t>
        </is>
      </c>
    </row>
    <row r="9">
      <c r="A9" t="inlineStr">
        <is>
          <t>FRED DGS10</t>
        </is>
      </c>
      <c r="B9" t="inlineStr">
        <is>
          <t>Rate source</t>
        </is>
      </c>
      <c r="C9" t="inlineStr">
        <is>
          <t>2026-05-26</t>
        </is>
      </c>
      <c r="D9" t="inlineStr">
        <is>
          <t>10-year Treasury risk-free rate: 4.50%.</t>
        </is>
      </c>
      <c r="E9" t="inlineStr" s="10">
        <is>
          <t>https://fred.stlouisfed.org/series/DGS10</t>
        </is>
      </c>
    </row>
    <row r="10">
      <c r="A10" t="inlineStr">
        <is>
          <t>Blocked/limited sources</t>
        </is>
      </c>
      <c r="B10" t="inlineStr">
        <is>
          <t>Data limitation</t>
        </is>
      </c>
      <c r="C10" t="inlineStr">
        <is>
          <t>2026-05-28</t>
        </is>
      </c>
      <c r="D10" t="inlineStr">
        <is>
          <t>Yahoo quote endpoint returned Too Many Requests; Macrotrends pages were Cloudflare-blocked.</t>
        </is>
      </c>
      <c r="E10" t="inlineStr" s="10">
        <is>
          <t>Recorded as a limitation; no numbers were taken from blocked pages.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Writer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Trade Desk DCF Model</dc:title>
  <dc:creator>Codex</dc:creator>
  <dcterms:created xsi:type="dcterms:W3CDTF">2026-05-28T11:57:20Z</dcterms:created>
  <dcterms:modified xsi:type="dcterms:W3CDTF">2026-05-28T11:57:20Z</dcterms:modified>
</cp:coreProperties>
</file>