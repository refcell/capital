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s="1" t="inlineStr">
        <is>
          <t>Bloom Energy Corporation (BE) — Valuation Model</t>
        </is>
      </c>
    </row>
    <row r="2">
      <c r="A2" s="2" t="inlineStr">
        <is>
          <t>Company:</t>
        </is>
      </c>
      <c r="B2" t="inlineStr">
        <is>
          <t>Bloom Energy Corporation</t>
        </is>
      </c>
    </row>
    <row r="3">
      <c r="A3" s="2" t="inlineStr">
        <is>
          <t>Ticker:</t>
        </is>
      </c>
      <c r="B3" t="inlineStr">
        <is>
          <t>NYSE: BE</t>
        </is>
      </c>
    </row>
    <row r="4">
      <c r="A4" s="2" t="inlineStr">
        <is>
          <t>Sector:</t>
        </is>
      </c>
      <c r="B4" t="inlineStr">
        <is>
          <t>Industrials — Electrical Equipment / Energy Technology</t>
        </is>
      </c>
    </row>
    <row r="5">
      <c r="A5" s="2" t="inlineStr">
        <is>
          <t>Date:</t>
        </is>
      </c>
      <c r="B5" t="inlineStr">
        <is>
          <t>2026-07-08</t>
        </is>
      </c>
    </row>
    <row r="6">
      <c r="A6" s="2" t="inlineStr">
        <is>
          <t>Price:</t>
        </is>
      </c>
      <c r="B6" t="n">
        <v>254.29</v>
      </c>
    </row>
    <row r="7">
      <c r="A7" s="2" t="inlineStr">
        <is>
          <t>Shares Outstanding:</t>
        </is>
      </c>
      <c r="B7" t="inlineStr">
        <is>
          <t>284.44M</t>
        </is>
      </c>
    </row>
    <row r="8">
      <c r="A8" s="2" t="inlineStr">
        <is>
          <t>Market Cap:</t>
        </is>
      </c>
      <c r="B8" t="inlineStr">
        <is>
          <t>$77.05B</t>
        </is>
      </c>
    </row>
    <row r="9">
      <c r="A9" s="2" t="inlineStr">
        <is>
          <t>Enterprise Value:</t>
        </is>
      </c>
      <c r="B9" t="inlineStr">
        <is>
          <t>$77.51B</t>
        </is>
      </c>
    </row>
    <row r="10">
      <c r="A10" s="2" t="inlineStr">
        <is>
          <t>Primary Lens:</t>
        </is>
      </c>
      <c r="B10" t="inlineStr">
        <is>
          <t>Forward P/E + FCF Multiple + EV/EBITDA; Growth-transition play</t>
        </is>
      </c>
    </row>
    <row r="11">
      <c r="A11" s="2" t="inlineStr">
        <is>
          <t>Stance:</t>
        </is>
      </c>
      <c r="B11" t="inlineStr">
        <is>
          <t>Cautiously Bullish — revenue inflection confirmed, but multiple is extreme</t>
        </is>
      </c>
    </row>
    <row r="13">
      <c r="A13" s="3" t="inlineStr">
        <is>
          <t>Key Valuation Metrics</t>
        </is>
      </c>
    </row>
    <row r="14">
      <c r="A14" s="4" t="inlineStr">
        <is>
          <t>Metric</t>
        </is>
      </c>
      <c r="B14" s="4" t="inlineStr">
        <is>
          <t>Value</t>
        </is>
      </c>
      <c r="C14" s="4" t="inlineStr">
        <is>
          <t>Comment</t>
        </is>
      </c>
    </row>
    <row r="15">
      <c r="A15" s="5" t="inlineStr">
        <is>
          <t>Trailing P/E</t>
        </is>
      </c>
      <c r="B15" s="6" t="inlineStr">
        <is>
          <t>N/A (-)</t>
        </is>
      </c>
      <c r="C15" s="6" t="inlineStr">
        <is>
          <t>TTM diluted EPS = -$0.04; earnings just turned positive</t>
        </is>
      </c>
    </row>
    <row r="16">
      <c r="A16" s="5" t="inlineStr">
        <is>
          <t>Forward P/E (FY2026)</t>
        </is>
      </c>
      <c r="B16" s="6" t="n">
        <v>117.2</v>
      </c>
      <c r="C16" s="6" t="inlineStr">
        <is>
          <t>Consensus EPS $2.17 (25 analysts)</t>
        </is>
      </c>
    </row>
    <row r="17">
      <c r="A17" s="5" t="inlineStr">
        <is>
          <t>Forward P/E (FY2027)</t>
        </is>
      </c>
      <c r="B17" s="6" t="n">
        <v>57.4</v>
      </c>
      <c r="C17" s="6" t="inlineStr">
        <is>
          <t>Consensus EPS $4.43 (24 analysts)</t>
        </is>
      </c>
    </row>
    <row r="18">
      <c r="A18" s="5" t="inlineStr">
        <is>
          <t>P/Sales</t>
        </is>
      </c>
      <c r="B18" s="6" t="n">
        <v>31.46</v>
      </c>
      <c r="C18" s="6" t="inlineStr">
        <is>
          <t>MC $77.05B / TTM rev $2.45B</t>
        </is>
      </c>
    </row>
    <row r="19">
      <c r="A19" s="5" t="inlineStr">
        <is>
          <t>P/FCF (TTM)</t>
        </is>
      </c>
      <c r="B19" s="6" t="n">
        <v>335.6</v>
      </c>
      <c r="C19" s="6" t="inlineStr">
        <is>
          <t>TTM FCF $230M; strong FCF generation</t>
        </is>
      </c>
    </row>
    <row r="20">
      <c r="A20" s="5" t="inlineStr">
        <is>
          <t>EV/FCF (TTM)</t>
        </is>
      </c>
      <c r="B20" s="6" t="n">
        <v>337.6</v>
      </c>
      <c r="C20" s="6" t="inlineStr">
        <is>
          <t>EV $77.51B / FCF $230M</t>
        </is>
      </c>
    </row>
    <row r="21">
      <c r="A21" s="5" t="inlineStr">
        <is>
          <t>EV/Sales</t>
        </is>
      </c>
      <c r="B21" s="6" t="n">
        <v>31.65</v>
      </c>
      <c r="C21" s="6" t="inlineStr">
        <is>
          <t>EV $77.51B / Sales $2.45B</t>
        </is>
      </c>
    </row>
    <row r="22">
      <c r="A22" s="5" t="inlineStr">
        <is>
          <t>EV/EBITDA (TTM)</t>
        </is>
      </c>
      <c r="B22" s="6" t="n">
        <v>687.8</v>
      </c>
      <c r="C22" s="6" t="inlineStr">
        <is>
          <t>EBITDA TTM $113M; turnaround in progress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WACC Calculation — CAPM Method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Source / Notes</t>
        </is>
      </c>
    </row>
    <row r="4">
      <c r="A4" s="5" t="inlineStr">
        <is>
          <t>Risk-Free Rate (10Y US)</t>
        </is>
      </c>
      <c r="B4" s="6" t="n">
        <v>0.04581</v>
      </c>
      <c r="C4" s="6" t="inlineStr">
        <is>
          <t>CNBC US10Y, 2026-07-08</t>
        </is>
      </c>
    </row>
    <row r="5">
      <c r="A5" s="5" t="inlineStr">
        <is>
          <t>Equity Risk Premium</t>
        </is>
      </c>
      <c r="B5" s="6" t="n">
        <v>0.05</v>
      </c>
      <c r="C5" s="6" t="inlineStr">
        <is>
          <t>Standard assumption: 5%</t>
        </is>
      </c>
    </row>
    <row r="6">
      <c r="A6" s="5" t="inlineStr">
        <is>
          <t>Beta (5Y Monthly)</t>
        </is>
      </c>
      <c r="B6" s="6" t="n">
        <v>3.74</v>
      </c>
      <c r="C6" s="6" t="inlineStr">
        <is>
          <t>Yahoo Finance Statistics — extremely high (volatile, post-SPAC growth)</t>
        </is>
      </c>
    </row>
    <row r="7">
      <c r="A7" s="5" t="inlineStr">
        <is>
          <t>Cost of Equity (CAPM)</t>
        </is>
      </c>
      <c r="B7" s="6" t="n">
        <v>0.2328</v>
      </c>
      <c r="C7" s="6">
        <f>0.0458 + 3.74 x 5% = 0.2328</f>
        <v/>
      </c>
    </row>
    <row r="8">
      <c r="A8" s="5" t="inlineStr">
        <is>
          <t>Cost of Debt (pre-tax)</t>
        </is>
      </c>
      <c r="B8" s="6" t="n">
        <v>0.07580000000000001</v>
      </c>
      <c r="C8" s="6" t="inlineStr">
        <is>
          <t>Risk-free + 300bps spread (high-beta industrials)</t>
        </is>
      </c>
    </row>
    <row r="9">
      <c r="A9" s="5" t="inlineStr">
        <is>
          <t>Tax Rate</t>
        </is>
      </c>
      <c r="B9" s="6" t="n">
        <v>0.21</v>
      </c>
      <c r="C9" s="6" t="inlineStr">
        <is>
          <t>Federal statutory 21%; FY effective unreliable (negative income)</t>
        </is>
      </c>
    </row>
    <row r="10">
      <c r="A10" s="5" t="inlineStr">
        <is>
          <t>Market Cap ($B)</t>
        </is>
      </c>
      <c r="B10" s="6" t="n">
        <v>77.05</v>
      </c>
      <c r="C10" s="6" t="inlineStr">
        <is>
          <t>Yahoo Finance, 2026-07-08</t>
        </is>
      </c>
    </row>
    <row r="11">
      <c r="A11" s="5" t="inlineStr">
        <is>
          <t>Net Debt ($B)</t>
        </is>
      </c>
      <c r="B11" s="6" t="n">
        <v>0.46</v>
      </c>
      <c r="C11" s="6" t="inlineStr">
        <is>
          <t>EV - MC proxy; ~0.46B — nearly net cash</t>
        </is>
      </c>
    </row>
    <row r="12">
      <c r="A12" s="5" t="inlineStr">
        <is>
          <t>Equity Weight</t>
        </is>
      </c>
      <c r="B12" s="6" t="n">
        <v>0.9941</v>
      </c>
      <c r="C12" s="6" t="inlineStr">
        <is>
          <t>MC / (MC + Net Debt) — almost all equity</t>
        </is>
      </c>
    </row>
    <row r="13">
      <c r="A13" s="5" t="inlineStr">
        <is>
          <t>Debt Weight</t>
        </is>
      </c>
      <c r="B13" s="6" t="n">
        <v>0.0059</v>
      </c>
      <c r="C13" s="6" t="inlineStr">
        <is>
          <t>Net Debt / (MC + Net Debt) — negligible</t>
        </is>
      </c>
    </row>
    <row r="14">
      <c r="A14" s="5" t="inlineStr">
        <is>
          <t>WACC</t>
        </is>
      </c>
      <c r="B14" s="6" t="n">
        <v>0.2318</v>
      </c>
      <c r="C14" s="6">
        <f>0.9941 x 0.2328 + 0.0059 x 0.0758 x (1-21%)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8" customWidth="1" min="5" max="5"/>
    <col width="18" customWidth="1" min="6" max="6"/>
    <col width="16" customWidth="1" min="7" max="7"/>
    <col width="16" customWidth="1" min="8" max="8"/>
    <col width="12" customWidth="1" min="9" max="9"/>
    <col width="14" customWidth="1" min="10" max="10"/>
    <col width="12" customWidth="1" min="11" max="11"/>
    <col width="10" customWidth="1" min="12" max="12"/>
    <col width="16" customWidth="1" min="13" max="13"/>
  </cols>
  <sheetData>
    <row r="1">
      <c r="A1" s="1" t="inlineStr">
        <is>
          <t>Bear / Base / Bull Scenario Analysis — 5-Year Projection</t>
        </is>
      </c>
    </row>
    <row r="3">
      <c r="A3" s="4" t="inlineStr">
        <is>
          <t>Scenario</t>
        </is>
      </c>
      <c r="B3" s="4" t="inlineStr">
        <is>
          <t>Revenue CAGR (5Y)</t>
        </is>
      </c>
      <c r="C3" s="4" t="inlineStr">
        <is>
          <t>Terminal Revenue ($M)</t>
        </is>
      </c>
      <c r="D3" s="4" t="inlineStr">
        <is>
          <t>FCF Margin</t>
        </is>
      </c>
      <c r="E3" s="4" t="inlineStr">
        <is>
          <t>Terminal FCF ($M)</t>
        </is>
      </c>
      <c r="F3" s="4" t="inlineStr">
        <is>
          <t>Exit EV/FCF Multiple</t>
        </is>
      </c>
      <c r="G3" s="4" t="inlineStr">
        <is>
          <t>Implied EV ($M)</t>
        </is>
      </c>
      <c r="H3" s="4" t="inlineStr">
        <is>
          <t>Less Net Debt ($M)</t>
        </is>
      </c>
      <c r="I3" s="4" t="inlineStr">
        <is>
          <t>Shares (M)</t>
        </is>
      </c>
      <c r="J3" s="4" t="inlineStr">
        <is>
          <t>Target Price</t>
        </is>
      </c>
      <c r="K3" s="4" t="inlineStr">
        <is>
          <t>Upside %</t>
        </is>
      </c>
      <c r="L3" s="4" t="inlineStr">
        <is>
          <t>Weight</t>
        </is>
      </c>
      <c r="M3" s="4" t="inlineStr">
        <is>
          <t>Weighted $/Share</t>
        </is>
      </c>
    </row>
    <row r="4">
      <c r="A4" s="7" t="inlineStr">
        <is>
          <t>Bear</t>
        </is>
      </c>
      <c r="B4" s="6" t="n">
        <v>0.2247938515458203</v>
      </c>
      <c r="C4" s="6" t="n">
        <v>6750</v>
      </c>
      <c r="D4" s="6" t="n">
        <v>0.05</v>
      </c>
      <c r="E4" s="6" t="n">
        <v>337.5</v>
      </c>
      <c r="F4" s="6" t="n">
        <v>25</v>
      </c>
      <c r="G4" s="6" t="n">
        <v>8438</v>
      </c>
      <c r="H4" s="6" t="n">
        <v>460</v>
      </c>
      <c r="I4" s="6" t="n">
        <v>284.44</v>
      </c>
      <c r="J4" s="6" t="n">
        <v>28.05</v>
      </c>
      <c r="K4" s="6" t="n">
        <v>-0.8896928703448819</v>
      </c>
      <c r="L4" s="6" t="n">
        <v>0.2</v>
      </c>
      <c r="M4" s="6" t="n">
        <v>5.61</v>
      </c>
    </row>
    <row r="5">
      <c r="A5" s="8" t="inlineStr">
        <is>
          <t>Base</t>
        </is>
      </c>
      <c r="B5" s="6" t="n">
        <v>0.3625166279486931</v>
      </c>
      <c r="C5" s="6" t="n">
        <v>11500</v>
      </c>
      <c r="D5" s="6" t="n">
        <v>0.08</v>
      </c>
      <c r="E5" s="6" t="n">
        <v>920</v>
      </c>
      <c r="F5" s="6" t="n">
        <v>35</v>
      </c>
      <c r="G5" s="6" t="n">
        <v>32200</v>
      </c>
      <c r="H5" s="6" t="n">
        <v>460</v>
      </c>
      <c r="I5" s="6" t="n">
        <v>284.44</v>
      </c>
      <c r="J5" s="6" t="n">
        <v>111.59</v>
      </c>
      <c r="K5" s="6" t="n">
        <v>-0.5611703173542019</v>
      </c>
      <c r="L5" s="6" t="n">
        <v>0.5</v>
      </c>
      <c r="M5" s="6" t="n">
        <v>55.8</v>
      </c>
    </row>
    <row r="6">
      <c r="A6" s="9" t="inlineStr">
        <is>
          <t>Bull</t>
        </is>
      </c>
      <c r="B6" s="6" t="n">
        <v>0.4902418109010356</v>
      </c>
      <c r="C6" s="6" t="n">
        <v>18000</v>
      </c>
      <c r="D6" s="6" t="n">
        <v>0.1</v>
      </c>
      <c r="E6" s="6" t="n">
        <v>1800</v>
      </c>
      <c r="F6" s="6" t="n">
        <v>45</v>
      </c>
      <c r="G6" s="6" t="n">
        <v>81000</v>
      </c>
      <c r="H6" s="6" t="n">
        <v>460</v>
      </c>
      <c r="I6" s="6" t="n">
        <v>284.44</v>
      </c>
      <c r="J6" s="6" t="n">
        <v>283.15</v>
      </c>
      <c r="K6" s="6" t="n">
        <v>0.1134924692280466</v>
      </c>
      <c r="L6" s="6" t="n">
        <v>0.3</v>
      </c>
      <c r="M6" s="6" t="n">
        <v>84.94</v>
      </c>
    </row>
    <row r="7">
      <c r="A7" s="10" t="inlineStr">
        <is>
          <t>Probability-Weighted FV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0" t="n">
        <v>146.35</v>
      </c>
      <c r="K7" s="10" t="n">
        <v>-0.4245</v>
      </c>
      <c r="L7" s="11" t="n"/>
      <c r="M7" s="11" t="n"/>
    </row>
    <row r="8">
      <c r="A8" s="10" t="inlineStr">
        <is>
          <t>Total Probability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0" t="n">
        <v>1</v>
      </c>
      <c r="M8" s="11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14" customWidth="1" min="4" max="4"/>
    <col width="55" customWidth="1" min="5" max="5"/>
  </cols>
  <sheetData>
    <row r="1">
      <c r="A1" s="1" t="inlineStr">
        <is>
          <t>Data Source Audit — Every Data Point Traced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 Access</t>
        </is>
      </c>
      <c r="E3" s="4" t="inlineStr">
        <is>
          <t>Notes</t>
        </is>
      </c>
    </row>
    <row r="4">
      <c r="A4" s="5" t="inlineStr">
        <is>
          <t>Stock Price</t>
        </is>
      </c>
      <c r="B4" s="6" t="inlineStr">
        <is>
          <t>$254.29</t>
        </is>
      </c>
      <c r="C4" s="6" t="inlineStr">
        <is>
          <t>Yahoo Finance /quote/BE/</t>
        </is>
      </c>
      <c r="D4" s="6" t="inlineStr">
        <is>
          <t>2026-07-08</t>
        </is>
      </c>
      <c r="E4" s="6" t="inlineStr">
        <is>
          <t>Close at 4:00:03 PM EDT; -5.67% intraday</t>
        </is>
      </c>
    </row>
    <row r="5">
      <c r="A5" s="5" t="inlineStr">
        <is>
          <t>Market Cap</t>
        </is>
      </c>
      <c r="B5" s="6" t="inlineStr">
        <is>
          <t>$77.05B</t>
        </is>
      </c>
      <c r="C5" s="6" t="inlineStr">
        <is>
          <t>Yahoo Finance Statistics</t>
        </is>
      </c>
      <c r="D5" s="6" t="inlineStr">
        <is>
          <t>2026-07-08</t>
        </is>
      </c>
      <c r="E5" s="6" t="inlineStr">
        <is>
          <t>Per Yahoo Stats valuation measures</t>
        </is>
      </c>
    </row>
    <row r="6">
      <c r="A6" s="5" t="inlineStr">
        <is>
          <t>Enterprise Value</t>
        </is>
      </c>
      <c r="B6" s="6" t="inlineStr">
        <is>
          <t>$77.51B</t>
        </is>
      </c>
      <c r="C6" s="6" t="inlineStr">
        <is>
          <t>Yahoo Finance Statistics</t>
        </is>
      </c>
      <c r="D6" s="6" t="inlineStr">
        <is>
          <t>2026-07-08</t>
        </is>
      </c>
      <c r="E6" s="6" t="inlineStr">
        <is>
          <t>MC + net debt</t>
        </is>
      </c>
    </row>
    <row r="7">
      <c r="A7" s="5" t="inlineStr">
        <is>
          <t>Shares Outstanding</t>
        </is>
      </c>
      <c r="B7" s="6" t="inlineStr">
        <is>
          <t>284.44M</t>
        </is>
      </c>
      <c r="C7" s="6" t="inlineStr">
        <is>
          <t>Yahoo Finance Statistics</t>
        </is>
      </c>
      <c r="D7" s="6" t="inlineStr">
        <is>
          <t>2026-07-08</t>
        </is>
      </c>
      <c r="E7" s="6" t="inlineStr">
        <is>
          <t>Implied; up from 229.1M FY2025</t>
        </is>
      </c>
    </row>
    <row r="8">
      <c r="A8" s="5" t="inlineStr">
        <is>
          <t>TTM Revenue</t>
        </is>
      </c>
      <c r="B8" s="6" t="inlineStr">
        <is>
          <t>$2,449.0M</t>
        </is>
      </c>
      <c r="C8" s="6" t="inlineStr">
        <is>
          <t>Yahoo Finance /financials/</t>
        </is>
      </c>
      <c r="D8" s="6" t="inlineStr">
        <is>
          <t>2026-07-08</t>
        </is>
      </c>
      <c r="E8" s="6" t="inlineStr">
        <is>
          <t>Trailing 12 months; all in thousands</t>
        </is>
      </c>
    </row>
    <row r="9">
      <c r="A9" s="5" t="inlineStr">
        <is>
          <t>FY2025 Revenue</t>
        </is>
      </c>
      <c r="B9" s="6" t="inlineStr">
        <is>
          <t>$2,024.0M</t>
        </is>
      </c>
      <c r="C9" s="6" t="inlineStr">
        <is>
          <t>Yahoo Finance /financials/</t>
        </is>
      </c>
      <c r="D9" s="6" t="inlineStr">
        <is>
          <t>2026-07-08</t>
        </is>
      </c>
      <c r="E9" s="6" t="inlineStr">
        <is>
          <t>FY 12/31/2025</t>
        </is>
      </c>
    </row>
    <row r="10">
      <c r="A10" s="5" t="inlineStr">
        <is>
          <t>FY2024 Revenue</t>
        </is>
      </c>
      <c r="B10" s="6" t="inlineStr">
        <is>
          <t>$1,473.9M</t>
        </is>
      </c>
      <c r="C10" s="6" t="inlineStr">
        <is>
          <t>Yahoo Finance /financials/</t>
        </is>
      </c>
      <c r="D10" s="6" t="inlineStr">
        <is>
          <t>2026-07-08</t>
        </is>
      </c>
      <c r="E10" s="6" t="inlineStr">
        <is>
          <t>FY 12/31/2024</t>
        </is>
      </c>
    </row>
    <row r="11">
      <c r="A11" s="5" t="inlineStr">
        <is>
          <t>FY2023 Revenue</t>
        </is>
      </c>
      <c r="B11" s="6" t="inlineStr">
        <is>
          <t>$1,333.5M</t>
        </is>
      </c>
      <c r="C11" s="6" t="inlineStr">
        <is>
          <t>Yahoo Finance /financials/</t>
        </is>
      </c>
      <c r="D11" s="6" t="inlineStr">
        <is>
          <t>2026-07-08</t>
        </is>
      </c>
      <c r="E11" s="6" t="inlineStr">
        <is>
          <t>FY 12/31/2023</t>
        </is>
      </c>
    </row>
    <row r="12">
      <c r="A12" s="5" t="inlineStr">
        <is>
          <t>FY2022 Revenue</t>
        </is>
      </c>
      <c r="B12" s="6" t="inlineStr">
        <is>
          <t>$1,199.1M</t>
        </is>
      </c>
      <c r="C12" s="6" t="inlineStr">
        <is>
          <t>Yahoo Finance /financials/</t>
        </is>
      </c>
      <c r="D12" s="6" t="inlineStr">
        <is>
          <t>2026-07-08</t>
        </is>
      </c>
      <c r="E12" s="6" t="inlineStr">
        <is>
          <t>FY 12/31/2022</t>
        </is>
      </c>
    </row>
    <row r="13">
      <c r="A13" s="5" t="inlineStr">
        <is>
          <t>FY2025 Gross Profit</t>
        </is>
      </c>
      <c r="B13" s="6" t="inlineStr">
        <is>
          <t>$587.4M</t>
        </is>
      </c>
      <c r="C13" s="6" t="inlineStr">
        <is>
          <t>Yahoo Finance /financials/</t>
        </is>
      </c>
      <c r="D13" s="6" t="inlineStr">
        <is>
          <t>2026-07-08</t>
        </is>
      </c>
      <c r="E13" s="6" t="inlineStr">
        <is>
          <t>Gross margin 29.0%</t>
        </is>
      </c>
    </row>
    <row r="14">
      <c r="A14" s="5" t="inlineStr">
        <is>
          <t>FY2025 Operating Income</t>
        </is>
      </c>
      <c r="B14" s="6" t="inlineStr">
        <is>
          <t>$72.8M</t>
        </is>
      </c>
      <c r="C14" s="6" t="inlineStr">
        <is>
          <t>Yahoo Finance /financials/</t>
        </is>
      </c>
      <c r="D14" s="6" t="inlineStr">
        <is>
          <t>2026-07-08</t>
        </is>
      </c>
      <c r="E14" s="6" t="inlineStr">
        <is>
          <t>Turned positive from -$209M</t>
        </is>
      </c>
    </row>
    <row r="15">
      <c r="A15" s="5" t="inlineStr">
        <is>
          <t>FY2025 Net Income</t>
        </is>
      </c>
      <c r="B15" s="6" t="inlineStr">
        <is>
          <t>-$88.4M</t>
        </is>
      </c>
      <c r="C15" s="6" t="inlineStr">
        <is>
          <t>Yahoo Finance /financials/</t>
        </is>
      </c>
      <c r="D15" s="6" t="inlineStr">
        <is>
          <t>2026-07-08</t>
        </is>
      </c>
      <c r="E15" s="6" t="inlineStr">
        <is>
          <t>Still negative; other expense -$137M drove losses</t>
        </is>
      </c>
    </row>
    <row r="16">
      <c r="A16" s="5" t="inlineStr">
        <is>
          <t>TTM Net Income</t>
        </is>
      </c>
      <c r="B16" s="6" t="inlineStr">
        <is>
          <t>$6.0M</t>
        </is>
      </c>
      <c r="C16" s="6" t="inlineStr">
        <is>
          <t>Yahoo Finance /financials/</t>
        </is>
      </c>
      <c r="D16" s="6" t="inlineStr">
        <is>
          <t>2026-07-08</t>
        </is>
      </c>
      <c r="E16" s="6" t="inlineStr">
        <is>
          <t>Turned barely positive; EPS -$0.04 diluted</t>
        </is>
      </c>
    </row>
    <row r="17">
      <c r="A17" s="5" t="inlineStr">
        <is>
          <t>TTM Diluted EPS</t>
        </is>
      </c>
      <c r="B17" s="6" t="inlineStr">
        <is>
          <t>-$0.04</t>
        </is>
      </c>
      <c r="C17" s="6" t="inlineStr">
        <is>
          <t>Yahoo Finance /financials/</t>
        </is>
      </c>
      <c r="D17" s="6" t="inlineStr">
        <is>
          <t>2026-07-08</t>
        </is>
      </c>
      <c r="E17" s="6" t="inlineStr">
        <is>
          <t>Near breakeven</t>
        </is>
      </c>
    </row>
    <row r="18">
      <c r="A18" s="5" t="inlineStr">
        <is>
          <t>FY2025 Total Debt</t>
        </is>
      </c>
      <c r="B18" s="6" t="inlineStr">
        <is>
          <t>$2,992M</t>
        </is>
      </c>
      <c r="C18" s="6" t="inlineStr">
        <is>
          <t>Yahoo Finance /balance-sheet/</t>
        </is>
      </c>
      <c r="D18" s="6" t="inlineStr">
        <is>
          <t>2026-07-08</t>
        </is>
      </c>
      <c r="E18" s="6" t="inlineStr">
        <is>
          <t>Total debt, FY2025; up from $1,530M FY2024</t>
        </is>
      </c>
    </row>
    <row r="19">
      <c r="A19" s="5" t="inlineStr">
        <is>
          <t>FY2025 Total Assets</t>
        </is>
      </c>
      <c r="B19" s="6" t="inlineStr">
        <is>
          <t>$4,397M</t>
        </is>
      </c>
      <c r="C19" s="6" t="inlineStr">
        <is>
          <t>Yahoo Finance /balance-sheet/</t>
        </is>
      </c>
      <c r="D19" s="6" t="inlineStr">
        <is>
          <t>2026-07-08</t>
        </is>
      </c>
      <c r="E19" s="6" t="inlineStr">
        <is>
          <t>Up from $2,657M; large step-up</t>
        </is>
      </c>
    </row>
    <row r="20">
      <c r="A20" s="5" t="inlineStr">
        <is>
          <t>FY2025 Total Equity</t>
        </is>
      </c>
      <c r="B20" s="6" t="inlineStr">
        <is>
          <t>$793M</t>
        </is>
      </c>
      <c r="C20" s="6" t="inlineStr">
        <is>
          <t>Yahoo Finance /balance-sheet/</t>
        </is>
      </c>
      <c r="D20" s="6" t="inlineStr">
        <is>
          <t>2026-07-08</t>
        </is>
      </c>
      <c r="E20" s="6" t="inlineStr">
        <is>
          <t>Common equity $769M</t>
        </is>
      </c>
    </row>
    <row r="21">
      <c r="A21" s="5" t="inlineStr">
        <is>
          <t>Total Cash Q1'26</t>
        </is>
      </c>
      <c r="B21" s="6" t="inlineStr">
        <is>
          <t>$2,490M</t>
        </is>
      </c>
      <c r="C21" s="6" t="inlineStr">
        <is>
          <t>Yahoo Finance Statistics</t>
        </is>
      </c>
      <c r="D21" s="6" t="inlineStr">
        <is>
          <t>2026-07-08</t>
        </is>
      </c>
      <c r="E21" s="6" t="inlineStr">
        <is>
          <t>Most recent quarter; per-shae $8.76</t>
        </is>
      </c>
    </row>
    <row r="22">
      <c r="A22" s="5" t="inlineStr">
        <is>
          <t>TTM Operating Cash Flow</t>
        </is>
      </c>
      <c r="B22" s="6" t="inlineStr">
        <is>
          <t>$298.2M</t>
        </is>
      </c>
      <c r="C22" s="6" t="inlineStr">
        <is>
          <t>Yahoo Finance /cash-flow/</t>
        </is>
      </c>
      <c r="D22" s="6" t="inlineStr">
        <is>
          <t>2026-07-08</t>
        </is>
      </c>
      <c r="E22" s="6" t="inlineStr">
        <is>
          <t>OCF TTM</t>
        </is>
      </c>
    </row>
    <row r="23">
      <c r="A23" s="5" t="inlineStr">
        <is>
          <t>TTM Capex</t>
        </is>
      </c>
      <c r="B23" s="6" t="inlineStr">
        <is>
          <t>$68.7M</t>
        </is>
      </c>
      <c r="C23" s="6" t="inlineStr">
        <is>
          <t>Yahoo Finance /cash-flow/</t>
        </is>
      </c>
      <c r="D23" s="6" t="inlineStr">
        <is>
          <t>2026-07-08</t>
        </is>
      </c>
      <c r="E23" s="6" t="inlineStr">
        <is>
          <t>Capex TTM</t>
        </is>
      </c>
    </row>
    <row r="24">
      <c r="A24" s="5" t="inlineStr">
        <is>
          <t>TTM Free Cash Flow</t>
        </is>
      </c>
      <c r="B24" s="6" t="inlineStr">
        <is>
          <t>$229.6M</t>
        </is>
      </c>
      <c r="C24" s="6" t="inlineStr">
        <is>
          <t>Yahoo Finance /cash-flow/</t>
        </is>
      </c>
      <c r="D24" s="6" t="inlineStr">
        <is>
          <t>2026-07-08</t>
        </is>
      </c>
      <c r="E24" s="6" t="inlineStr">
        <is>
          <t>OCF - Capex</t>
        </is>
      </c>
    </row>
    <row r="25">
      <c r="A25" s="5" t="inlineStr">
        <is>
          <t>Beta (5Y Monthly)</t>
        </is>
      </c>
      <c r="B25" s="6" t="inlineStr">
        <is>
          <t>3.74</t>
        </is>
      </c>
      <c r="C25" s="6" t="inlineStr">
        <is>
          <t>Yahoo Finance Statistics</t>
        </is>
      </c>
      <c r="D25" s="6" t="inlineStr">
        <is>
          <t>2026-07-08</t>
        </is>
      </c>
      <c r="E25" s="6" t="inlineStr">
        <is>
          <t>Extremely high — volatile growth stock</t>
        </is>
      </c>
    </row>
    <row r="26">
      <c r="A26" s="5" t="inlineStr">
        <is>
          <t>FY2026 EPS Consensus</t>
        </is>
      </c>
      <c r="B26" s="6" t="inlineStr">
        <is>
          <t>$2.17</t>
        </is>
      </c>
      <c r="C26" s="6" t="inlineStr">
        <is>
          <t>Yahoo Finance /analysis/</t>
        </is>
      </c>
      <c r="D26" s="6" t="inlineStr">
        <is>
          <t>2026-07-08</t>
        </is>
      </c>
      <c r="E26" s="6" t="inlineStr">
        <is>
          <t>25 analysts; non-GAAP/normalized</t>
        </is>
      </c>
    </row>
    <row r="27">
      <c r="A27" s="5" t="inlineStr">
        <is>
          <t>FY2027 EPS Consensus</t>
        </is>
      </c>
      <c r="B27" s="6" t="inlineStr">
        <is>
          <t>$4.43</t>
        </is>
      </c>
      <c r="C27" s="6" t="inlineStr">
        <is>
          <t>Yahoo Finance /analysis/</t>
        </is>
      </c>
      <c r="D27" s="6" t="inlineStr">
        <is>
          <t>2026-07-08</t>
        </is>
      </c>
      <c r="E27" s="6" t="inlineStr">
        <is>
          <t>24 analysts; up from $2.17 FY2026</t>
        </is>
      </c>
    </row>
    <row r="28">
      <c r="A28" s="5" t="inlineStr">
        <is>
          <t>FY2026 Rev Consensus</t>
        </is>
      </c>
      <c r="B28" s="6" t="inlineStr">
        <is>
          <t>$3.75B</t>
        </is>
      </c>
      <c r="C28" s="6" t="inlineStr">
        <is>
          <t>Yahoo Finance /analysis/</t>
        </is>
      </c>
      <c r="D28" s="6" t="inlineStr">
        <is>
          <t>2026-07-08</t>
        </is>
      </c>
      <c r="E28" s="6" t="inlineStr">
        <is>
          <t>26 analysts; vs TTM $2.45B</t>
        </is>
      </c>
    </row>
    <row r="29">
      <c r="A29" s="5" t="inlineStr">
        <is>
          <t>FY2027 Rev Consensus</t>
        </is>
      </c>
      <c r="B29" s="6" t="inlineStr">
        <is>
          <t>$6.43B</t>
        </is>
      </c>
      <c r="C29" s="6" t="inlineStr">
        <is>
          <t>Yahoo Finance /analysis/</t>
        </is>
      </c>
      <c r="D29" s="6" t="inlineStr">
        <is>
          <t>2026-07-08</t>
        </is>
      </c>
      <c r="E29" s="6" t="inlineStr">
        <is>
          <t>27 analysts; massive growth implied</t>
        </is>
      </c>
    </row>
    <row r="30">
      <c r="A30" s="5" t="inlineStr">
        <is>
          <t>Q1 FY2026 Actual Rev</t>
        </is>
      </c>
      <c r="B30" s="6" t="inlineStr">
        <is>
          <t>$751.05M</t>
        </is>
      </c>
      <c r="C30" s="6" t="inlineStr">
        <is>
          <t>Yahoo Finance /analysis/</t>
        </is>
      </c>
      <c r="D30" s="6" t="inlineStr">
        <is>
          <t>2026-07-08</t>
        </is>
      </c>
      <c r="E30" s="6" t="inlineStr">
        <is>
          <t>Vs $401.24M Q1 2025</t>
        </is>
      </c>
    </row>
    <row r="31">
      <c r="A31" s="5" t="inlineStr">
        <is>
          <t>Q1 FY2026 Actual EPS</t>
        </is>
      </c>
      <c r="B31" s="6" t="inlineStr">
        <is>
          <t>$0.44</t>
        </is>
      </c>
      <c r="C31" s="6" t="inlineStr">
        <is>
          <t>Yahoo Finance /analysis/</t>
        </is>
      </c>
      <c r="D31" s="6" t="inlineStr">
        <is>
          <t>2026-07-08</t>
        </is>
      </c>
      <c r="E31" s="6" t="inlineStr">
        <is>
          <t>Vs est $0.13; 242% surprise</t>
        </is>
      </c>
    </row>
    <row r="32">
      <c r="A32" s="5" t="inlineStr">
        <is>
          <t>10Y US Treasury</t>
        </is>
      </c>
      <c r="B32" s="6" t="inlineStr">
        <is>
          <t>4.581%</t>
        </is>
      </c>
      <c r="C32" s="6" t="inlineStr">
        <is>
          <t>CNBC US10Y</t>
        </is>
      </c>
      <c r="D32" s="6" t="inlineStr">
        <is>
          <t>2026-07-08</t>
        </is>
      </c>
      <c r="E32" s="6" t="inlineStr">
        <is>
          <t>Yield at 10:08 PM EDT</t>
        </is>
      </c>
    </row>
    <row r="33">
      <c r="A33" s="5" t="inlineStr">
        <is>
          <t>Next Earnings Date</t>
        </is>
      </c>
      <c r="B33" s="6" t="inlineStr">
        <is>
          <t>July 28, 2026</t>
        </is>
      </c>
      <c r="C33" s="6" t="inlineStr">
        <is>
          <t>Yahoo Finance Scout summary</t>
        </is>
      </c>
      <c r="D33" s="6" t="inlineStr">
        <is>
          <t>2026-07-08</t>
        </is>
      </c>
      <c r="E33" s="6" t="inlineStr">
        <is>
          <t>Q2 FY2026 earnings</t>
        </is>
      </c>
    </row>
    <row r="34">
      <c r="A34" s="5" t="inlineStr">
        <is>
          <t>52-Week High/Low</t>
        </is>
      </c>
      <c r="B34" s="6" t="inlineStr">
        <is>
          <t>$351.28 / $24.04</t>
        </is>
      </c>
      <c r="C34" s="6" t="inlineStr">
        <is>
          <t>Yahoo Finance Statistics</t>
        </is>
      </c>
      <c r="D34" s="6" t="inlineStr">
        <is>
          <t>2026-07-08</t>
        </is>
      </c>
      <c r="E34" s="6" t="inlineStr">
        <is>
          <t>+785.72% 52-week change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5" customWidth="1" min="3" max="3"/>
  </cols>
  <sheetData>
    <row r="1">
      <c r="A1" s="1" t="inlineStr">
        <is>
          <t>Open Questions And Due Diligence Items</t>
        </is>
      </c>
    </row>
    <row r="2" ht="65" customHeight="1">
      <c r="A2" s="2" t="inlineStr">
        <is>
          <t>1.</t>
        </is>
      </c>
      <c r="B2" s="2" t="inlineStr">
        <is>
          <t>Massive Asset &amp; Debt Step-Up FY2025</t>
        </is>
      </c>
      <c r="C2" s="12" t="inlineStr">
        <is>
          <t>Total assets jumped from $2.66B to $4.40B (+65%) and total debt from $1.53B to $2.99B (+95%) in FY2025. Cash flow shows $2.5B in debt issuance. What drove this? Was there an acquisition, facility purchase, or convertible bond issuance? The share count expanded 22% (229.1M -&gt; 280.0M) suggesting equity financing or stock consideration for deals.</t>
        </is>
      </c>
    </row>
    <row r="3" ht="65" customHeight="1">
      <c r="A3" s="2" t="inlineStr">
        <is>
          <t>2.</t>
        </is>
      </c>
      <c r="B3" s="2" t="inlineStr">
        <is>
          <t>Earnings Quality — Other Expense Drag</t>
        </is>
      </c>
      <c r="C3" s="12" t="inlineStr">
        <is>
          <t>FY2025 operating income was $72.8M (3.6%) but net income was -$88.4M. 'Other income/expense' was -$137.4M, and net interest expense was -$19.8M. The 'other expense' is 36x larger than the prior year's -$12M. What is driving this? Restructuring charges? Impairments? Stock-based compensation? This is the biggest question for earnings quality.</t>
        </is>
      </c>
    </row>
    <row r="4" ht="65" customHeight="1">
      <c r="A4" s="2" t="inlineStr">
        <is>
          <t>3.</t>
        </is>
      </c>
      <c r="B4" s="2" t="inlineStr">
        <is>
          <t>FCF Turnaround Story</t>
        </is>
      </c>
      <c r="C4" s="12" t="inlineStr">
        <is>
          <t>FCF swung from -$456M (FY2023) to +$57M (FY2025) to +$230M TTM. But FY2025 FCF was only $57M on $2.02B revenue = 2.8% FCF margin. TTM FCF margin is 9.4% on $2.45B = $230M. Is the improvement from operating leverage, margin expansion, or reduced capex intensity?</t>
        </is>
      </c>
    </row>
    <row r="5" ht="65" customHeight="1">
      <c r="A5" s="2" t="inlineStr">
        <is>
          <t>4.</t>
        </is>
      </c>
      <c r="B5" s="2" t="inlineStr">
        <is>
          <t>Share Count Dynamics</t>
        </is>
      </c>
      <c r="C5" s="12" t="inlineStr">
        <is>
          <t>Shares went from 205.7M (FY2022) to 229.1M (FY2025) to 280.0M issued (FY2025 end) and now 284.4M. The 22% jump in FY2025 is deal-related. The 1.6% jump from FY2025 to current is likely options/SBC. At $254/share and $77B MC, further dilution from employee equity programs is per-share material.</t>
        </is>
      </c>
    </row>
    <row r="6" ht="65" customHeight="1">
      <c r="A6" s="2" t="inlineStr">
        <is>
          <t>5.</t>
        </is>
      </c>
      <c r="B6" s="2" t="inlineStr">
        <is>
          <t>Competitive Position vs. Fuel Cell Rivals</t>
        </is>
      </c>
      <c r="C6" s="12" t="inlineStr">
        <is>
          <t>Bloom Energy makes solid-oxide fuel cells for stationary power (data centers, industrials). Rivals include FuelCell Energy (FCEL), Plug Power (PLUG), Ballard (BLDP), and Vertiv (VRT — power infrastructure). Bloom's advantage is commercialization — it's the only one shipping at scale. But is the moat defensible vs. battery + grid alternatives?</t>
        </is>
      </c>
    </row>
    <row r="7" ht="65" customHeight="1">
      <c r="A7" s="2" t="inlineStr">
        <is>
          <t>6.</t>
        </is>
      </c>
      <c r="B7" s="2" t="inlineStr">
        <is>
          <t>Customer Concentration and Channel Risk</t>
        </is>
      </c>
      <c r="C7" s="12" t="inlineStr">
        <is>
          <t>Does Bloom Energy rely on a few large hyperscale or industrial customers? Data center demand could be concentrated. If 2-3 customers drop deployments, does revenue collapse?</t>
        </is>
      </c>
    </row>
    <row r="8" ht="65" customHeight="1">
      <c r="A8" s="2" t="inlineStr">
        <is>
          <t>7.</t>
        </is>
      </c>
      <c r="B8" s="2" t="inlineStr">
        <is>
          <t>Valuation Multiple Sustainability</t>
        </is>
      </c>
      <c r="C8" s="12" t="inlineStr">
        <is>
          <t>At 120x forward P/E (FY2026) and 29x P/S, the stock is pricing in near-flawless execution. 52-week change is +786%. Is this a bubble or justified by growth? The consensus EPS path from $2.17 -&gt; $4.43 in one year is extraordinary. Any stumble could cause massive multiple compression.</t>
        </is>
      </c>
    </row>
    <row r="9" ht="65" customHeight="1">
      <c r="A9" s="2" t="inlineStr">
        <is>
          <t>8.</t>
        </is>
      </c>
      <c r="B9" s="2" t="inlineStr">
        <is>
          <t>Government Subsidy &amp; Incentive Exposure</t>
        </is>
      </c>
      <c r="C9" s="12" t="inlineStr">
        <is>
          <t>Bloom Energy benefits from IRA (Inflation Reduction Act) tax credits for domestic manufacturing and clean hydrogen. How much of the current revenue and margin benefit is subsidy-driven vs. organic? If political winds change or credits expire, does the unit economics break?</t>
        </is>
      </c>
    </row>
    <row r="10" ht="65" customHeight="1">
      <c r="A10" s="2" t="inlineStr">
        <is>
          <t>9.</t>
        </is>
      </c>
      <c r="B10" s="2" t="inlineStr">
        <is>
          <t>Debt Maturity Wall</t>
        </is>
      </c>
      <c r="C10" s="12" t="inlineStr">
        <is>
          <t>With $3.0B in total debt, what is the maturity profile? Are there near-term maturities requiring refinancing in a rising rate environment? The $2.5B issuance in FY2025/T TM must have terms — interest rates, covenants, maturity dates.</t>
        </is>
      </c>
    </row>
    <row r="11" ht="65" customHeight="1">
      <c r="A11" s="2" t="inlineStr">
        <is>
          <t>10.</t>
        </is>
      </c>
      <c r="B11" s="2" t="inlineStr">
        <is>
          <t>Gross Margin Expansion Driver</t>
        </is>
      </c>
      <c r="C11" s="12" t="inlineStr">
        <is>
          <t>Gross margin expanded from 12.4% (FY2022) to 29.0% (FY2025) to 29.6% TTM. What drove this? Scale economies? Product mix (more direct sales vs. third-party)? Component cost reduction? Is 30% a ceiling or is there more upside?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</cols>
  <sheetData>
    <row r="1">
      <c r="A1" s="1" t="inlineStr">
        <is>
          <t>Data Sources</t>
        </is>
      </c>
    </row>
    <row r="2">
      <c r="A2" s="4" t="inlineStr">
        <is>
          <t>#</t>
        </is>
      </c>
      <c r="B2" s="4" t="inlineStr">
        <is>
          <t>Description</t>
        </is>
      </c>
      <c r="C2" s="4" t="inlineStr">
        <is>
          <t>URL</t>
        </is>
      </c>
    </row>
    <row r="3">
      <c r="A3" s="11" t="inlineStr">
        <is>
          <t>1.</t>
        </is>
      </c>
      <c r="B3" s="11" t="inlineStr">
        <is>
          <t>Yahoo Finance — BE Quote</t>
        </is>
      </c>
      <c r="C3" s="11" t="inlineStr">
        <is>
          <t>https://finance.yahoo.com/quote/BE/</t>
        </is>
      </c>
    </row>
    <row r="4">
      <c r="A4" s="11" t="inlineStr">
        <is>
          <t>2.</t>
        </is>
      </c>
      <c r="B4" s="11" t="inlineStr">
        <is>
          <t>Yahoo Finance — BE Income Statement</t>
        </is>
      </c>
      <c r="C4" s="11" t="inlineStr">
        <is>
          <t>https://finance.yahoo.com/quote/BE/financials/</t>
        </is>
      </c>
    </row>
    <row r="5">
      <c r="A5" s="11" t="inlineStr">
        <is>
          <t>3.</t>
        </is>
      </c>
      <c r="B5" s="11" t="inlineStr">
        <is>
          <t>Yahoo Finance — BE Balance Sheet</t>
        </is>
      </c>
      <c r="C5" s="11" t="inlineStr">
        <is>
          <t>https://finance.yahoo.com/quote/BE/balance-sheet/</t>
        </is>
      </c>
    </row>
    <row r="6">
      <c r="A6" s="11" t="inlineStr">
        <is>
          <t>4.</t>
        </is>
      </c>
      <c r="B6" s="11" t="inlineStr">
        <is>
          <t>Yahoo Finance — BE Cash Flow</t>
        </is>
      </c>
      <c r="C6" s="11" t="inlineStr">
        <is>
          <t>https://finance.yahoo.com/quote/BE/cash-flow/</t>
        </is>
      </c>
    </row>
    <row r="7">
      <c r="A7" s="11" t="inlineStr">
        <is>
          <t>5.</t>
        </is>
      </c>
      <c r="B7" s="11" t="inlineStr">
        <is>
          <t>Yahoo Finance — BE Key Statistics</t>
        </is>
      </c>
      <c r="C7" s="11" t="inlineStr">
        <is>
          <t>https://finance.yahoo.com/quote/BE/key-statistics/</t>
        </is>
      </c>
    </row>
    <row r="8">
      <c r="A8" s="11" t="inlineStr">
        <is>
          <t>6.</t>
        </is>
      </c>
      <c r="B8" s="11" t="inlineStr">
        <is>
          <t>Yahoo Finance — BE Analyst Estimates</t>
        </is>
      </c>
      <c r="C8" s="11" t="inlineStr">
        <is>
          <t>https://finance.yahoo.com/quote/BE/analysis/</t>
        </is>
      </c>
    </row>
    <row r="9">
      <c r="A9" s="11" t="inlineStr">
        <is>
          <t>7.</t>
        </is>
      </c>
      <c r="B9" s="11" t="inlineStr">
        <is>
          <t>Yahoo Finance — BE Profile</t>
        </is>
      </c>
      <c r="C9" s="11" t="inlineStr">
        <is>
          <t>https://finance.yahoo.com/quote/BE/profile/</t>
        </is>
      </c>
    </row>
    <row r="10">
      <c r="A10" s="11" t="inlineStr">
        <is>
          <t>8.</t>
        </is>
      </c>
      <c r="B10" s="11" t="inlineStr">
        <is>
          <t>CNBC — US10Y 10-Year Treasury Yield</t>
        </is>
      </c>
      <c r="C10" s="11" t="inlineStr">
        <is>
          <t>https://www.cnbc.com/quotes/US10Y</t>
        </is>
      </c>
    </row>
    <row r="11">
      <c r="A11" s="11" t="inlineStr">
        <is>
          <t>9.</t>
        </is>
      </c>
      <c r="B11" s="11" t="inlineStr">
        <is>
          <t>StockAnalysis.com — BE (returned 404; Yahoo Finance used as primary source)</t>
        </is>
      </c>
      <c r="C11" s="11" t="inlineStr">
        <is>
          <t>https://stockanalysis.com/quote/BE/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2026-07-09T03:36:57Z</dcterms:created>
  <dcterms:modified xsi:type="dcterms:W3CDTF">2026-07-09T03:36:57Z</dcterms:modified>
</cp:coreProperties>
</file>