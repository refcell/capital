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1="http://schemas.openxmlformats.org/officeDocument/2006/relationships">
  <fileVersion appName="xl"/>
  <workbookPr date1904="false"/>
  <bookViews>
    <workbookView xWindow="0" yWindow="0" windowWidth="25600" windowHeight="16000"/>
  </bookViews>
  <sheets>
    <sheet name="Model" sheetId="1" ns1:id="rId1"/>
    <sheet name="WACC" sheetId="2" ns1:id="rId2"/>
    <sheet name="Scenarios" sheetId="3" ns1:id="rId3"/>
    <sheet name="Actuals Source Audit" sheetId="4" ns1:id="rId4"/>
    <sheet name="Questions" sheetId="5" ns1:id="rId5"/>
    <sheet name="Sources" sheetId="6" ns1:id="rId6"/>
  </sheet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;[Red]($#,##0.00)"/>
    <numFmt numFmtId="165" formatCode="#,##0.0;[Red](#,##0.0)"/>
    <numFmt numFmtId="166" formatCode="0.0%;[Red](0.0%)"/>
    <numFmt numFmtId="167" formatCode="#,##0;[Red](#,##0)"/>
  </numFmts>
  <fonts count="4">
    <font>
      <sz val="10"/>
      <name val="Arial"/>
    </font>
    <font>
      <b/>
      <sz val="14"/>
      <name val="Arial"/>
    </font>
    <font>
      <b/>
      <color rgb="FFFFFFFF"/>
      <sz val="10"/>
      <name val="Arial"/>
    </font>
    <font>
      <i/>
      <color rgb="FF66666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3" fillId="0" borderId="0" xfId="0" applyFont="1" applyAlignment="1">
      <alignment wrapText="1" vertical="top"/>
    </xf>
    <xf numFmtId="165" fontId="0" fillId="4" borderId="0" xfId="0" applyNumberFormat="1" applyFill="1"/>
    <xf numFmtId="165" fontId="0" fillId="3" borderId="0" xfId="0" applyNumberFormat="1" applyFill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71"/>
  <sheetViews>
    <sheetView workbookViewId="0">
      <pane xSplit="5" ySplit="3" topLeftCell="F4" activePane="bottomRight" state="frozen"/>
      <selection pane="bottomRight" activeCell="F4" sqref="F4"/>
    </sheetView>
  </sheetViews>
  <cols>
    <col min="1" max="1" width="2" customWidth="1"/>
    <col min="2" max="2" width="24" customWidth="1"/>
    <col min="3" max="3" width="18" customWidth="1"/>
    <col min="4" max="4" width="3" customWidth="1"/>
    <col min="5" max="5" width="28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</cols>
  <sheetData>
    <row r="2">
      <c r="B2" t="inlineStr" s="1">
        <is>
          <t>PayPal Holdings, Inc. (NASDAQ: PYPL)</t>
        </is>
      </c>
      <c r="E2" t="inlineStr" s="7">
        <is>
          <t>PYPL Model refreshed from [2023-07-03] workbook; USD millions except per-share data</t>
        </is>
      </c>
    </row>
    <row r="3">
      <c r="B3" t="inlineStr" s="11">
        <is>
          <t>Model date</t>
        </is>
      </c>
      <c r="C3" t="inlineStr" s="7">
        <is>
          <t>2026-05-29</t>
        </is>
      </c>
      <c r="E3" s="2"/>
      <c r="F3" t="inlineStr" s="2">
        <is>
          <t>FY2021</t>
        </is>
      </c>
      <c r="G3" t="inlineStr" s="2">
        <is>
          <t>FY2022</t>
        </is>
      </c>
      <c r="H3" t="inlineStr" s="2">
        <is>
          <t>FY2023</t>
        </is>
      </c>
      <c r="I3" t="inlineStr" s="2">
        <is>
          <t>FY2024</t>
        </is>
      </c>
      <c r="J3" t="inlineStr" s="2">
        <is>
          <t>FY2025</t>
        </is>
      </c>
      <c r="K3" t="inlineStr" s="2">
        <is>
          <t>TTM 3/31/26</t>
        </is>
      </c>
      <c r="L3" t="inlineStr" s="2">
        <is>
          <t>FY2026E</t>
        </is>
      </c>
      <c r="M3" t="inlineStr" s="2">
        <is>
          <t>FY2027E</t>
        </is>
      </c>
      <c r="N3" t="inlineStr" s="2">
        <is>
          <t>FY2028E</t>
        </is>
      </c>
      <c r="O3" t="inlineStr" s="2">
        <is>
          <t>FY2029E</t>
        </is>
      </c>
      <c r="P3" t="inlineStr" s="2">
        <is>
          <t>FY2030E</t>
        </is>
      </c>
      <c r="Q3" t="inlineStr" s="2">
        <is>
          <t>FY2031E</t>
        </is>
      </c>
      <c r="R3" t="inlineStr" s="2">
        <is>
          <t>FY2032E</t>
        </is>
      </c>
      <c r="S3" t="inlineStr" s="2">
        <is>
          <t>FY2033E</t>
        </is>
      </c>
      <c r="T3" t="inlineStr" s="2">
        <is>
          <t>FY2034E</t>
        </is>
      </c>
      <c r="U3" t="inlineStr" s="2">
        <is>
          <t>FY2035E</t>
        </is>
      </c>
    </row>
    <row r="4">
      <c r="B4" t="inlineStr">
        <is>
          <t>Price</t>
        </is>
      </c>
      <c r="C4" s="5">
        <v>44.46</v>
      </c>
      <c r="E4" t="inlineStr" s="11">
        <is>
          <t>Revenue</t>
        </is>
      </c>
      <c r="F4" s="4">
        <v>25371.0</v>
      </c>
      <c r="G4" s="4">
        <v>27518.0</v>
      </c>
      <c r="H4" s="4">
        <v>29771.0</v>
      </c>
      <c r="I4" s="4">
        <v>31797.0</v>
      </c>
      <c r="J4" s="4">
        <v>33172.0</v>
      </c>
      <c r="K4" s="4">
        <v>33734.0</v>
      </c>
      <c r="L4" s="9">
        <f>J4*(1+L5)</f>
      </c>
      <c r="M4" s="9">
        <f>L4*(1+M5)</f>
      </c>
      <c r="N4" s="9">
        <f>M4*(1+N5)</f>
      </c>
      <c r="O4" s="9">
        <f>N4*(1+O5)</f>
      </c>
      <c r="P4" s="9">
        <f>O4*(1+P5)</f>
      </c>
      <c r="Q4" s="9">
        <f>P4*(1+Q5)</f>
      </c>
      <c r="R4" s="9">
        <f>Q4*(1+R5)</f>
      </c>
      <c r="S4" s="9">
        <f>R4*(1+S5)</f>
      </c>
      <c r="T4" s="9">
        <f>S4*(1+T5)</f>
      </c>
      <c r="U4" s="9">
        <f>T4*(1+U5)</f>
      </c>
    </row>
    <row r="5">
      <c r="B5" t="inlineStr" s="11">
        <is>
          <t>Quote date</t>
        </is>
      </c>
      <c r="C5" t="inlineStr" s="7">
        <is>
          <t>2026-05-28 close; StockAnalysis pre-market snapshot 2026-05-29 8:30 ET</t>
        </is>
      </c>
      <c r="E5" t="inlineStr">
        <is>
          <t>Revenue Growth</t>
        </is>
      </c>
      <c r="G5" s="6">
        <f>G4/F4-1</f>
      </c>
      <c r="H5" s="6">
        <f>H4/G4-1</f>
      </c>
      <c r="I5" s="6">
        <f>I4/H4-1</f>
      </c>
      <c r="J5" s="6">
        <f>J4/I4-1</f>
      </c>
      <c r="K5" s="6">
        <f>K4/J4-1</f>
      </c>
      <c r="L5" s="8">
        <v>0.047</v>
      </c>
      <c r="M5" s="8">
        <v>0.052</v>
      </c>
      <c r="N5" s="8">
        <v>0.052</v>
      </c>
      <c r="O5" s="8">
        <v>0.05</v>
      </c>
      <c r="P5" s="8">
        <v>0.048</v>
      </c>
      <c r="Q5" s="8">
        <v>0.045</v>
      </c>
      <c r="R5" s="8">
        <v>0.042</v>
      </c>
      <c r="S5" s="8">
        <v>0.039</v>
      </c>
      <c r="T5" s="8">
        <v>0.036</v>
      </c>
      <c r="U5" s="8">
        <v>0.033</v>
      </c>
    </row>
    <row r="6">
      <c r="B6" t="inlineStr">
        <is>
          <t>Current shares out, mm</t>
        </is>
      </c>
      <c r="C6" s="4">
        <v>882.105493</v>
      </c>
      <c r="E6" t="inlineStr">
        <is>
          <t>Cost of Revenue</t>
        </is>
      </c>
      <c r="F6" s="4">
        <v>11375.0</v>
      </c>
      <c r="G6" s="4">
        <v>13745.0</v>
      </c>
      <c r="H6" s="4">
        <v>16067.0</v>
      </c>
      <c r="I6" s="4">
        <v>17139.0</v>
      </c>
      <c r="J6" s="4">
        <v>17707.0</v>
      </c>
      <c r="K6" s="4">
        <v>18175.0</v>
      </c>
      <c r="L6" s="9">
        <f>L4-L8</f>
      </c>
      <c r="M6" s="9">
        <f>M4-M8</f>
      </c>
      <c r="N6" s="9">
        <f>N4-N8</f>
      </c>
      <c r="O6" s="9">
        <f>O4-O8</f>
      </c>
      <c r="P6" s="9">
        <f>P4-P8</f>
      </c>
      <c r="Q6" s="9">
        <f>Q4-Q8</f>
      </c>
      <c r="R6" s="9">
        <f>R4-R8</f>
      </c>
      <c r="S6" s="9">
        <f>S4-S8</f>
      </c>
      <c r="T6" s="9">
        <f>T4-T8</f>
      </c>
      <c r="U6" s="9">
        <f>U4-U8</f>
      </c>
    </row>
    <row r="7">
      <c r="B7" t="inlineStr" s="11">
        <is>
          <t>Market cap, $m</t>
        </is>
      </c>
      <c r="C7" s="4">
        <f>C4*C6</f>
      </c>
      <c r="E7" t="inlineStr">
        <is>
          <t>Gross Margin</t>
        </is>
      </c>
      <c r="F7" s="6">
        <v>0.551653</v>
      </c>
      <c r="G7" s="6">
        <v>0.500509</v>
      </c>
      <c r="H7" s="6">
        <v>0.460314</v>
      </c>
      <c r="I7" s="6">
        <v>0.460987</v>
      </c>
      <c r="J7" s="6">
        <v>0.466206</v>
      </c>
      <c r="K7" s="6">
        <v>0.461226</v>
      </c>
      <c r="L7" s="8">
        <v>0.462</v>
      </c>
      <c r="M7" s="8">
        <v>0.464</v>
      </c>
      <c r="N7" s="8">
        <v>0.466</v>
      </c>
      <c r="O7" s="8">
        <v>0.468</v>
      </c>
      <c r="P7" s="8">
        <v>0.47</v>
      </c>
      <c r="Q7" s="8">
        <v>0.472</v>
      </c>
      <c r="R7" s="8">
        <v>0.474</v>
      </c>
      <c r="S7" s="8">
        <v>0.476</v>
      </c>
      <c r="T7" s="8">
        <v>0.478</v>
      </c>
      <c r="U7" s="8">
        <v>0.48</v>
      </c>
    </row>
    <row r="8">
      <c r="B8" t="inlineStr">
        <is>
          <t>Cash + ST investments, $m</t>
        </is>
      </c>
      <c r="C8" s="4">
        <v>9342.0</v>
      </c>
      <c r="E8" t="inlineStr">
        <is>
          <t>Gross Profit</t>
        </is>
      </c>
      <c r="F8" s="4">
        <v>13996.0</v>
      </c>
      <c r="G8" s="4">
        <v>13773.0</v>
      </c>
      <c r="H8" s="4">
        <v>13704.0</v>
      </c>
      <c r="I8" s="4">
        <v>14658.0</v>
      </c>
      <c r="J8" s="4">
        <v>15465.0</v>
      </c>
      <c r="K8" s="4">
        <v>15559.0</v>
      </c>
      <c r="L8" s="9">
        <f>L4*L7</f>
      </c>
      <c r="M8" s="9">
        <f>M4*M7</f>
      </c>
      <c r="N8" s="9">
        <f>N4*N7</f>
      </c>
      <c r="O8" s="9">
        <f>O4*O7</f>
      </c>
      <c r="P8" s="9">
        <f>P4*P7</f>
      </c>
      <c r="Q8" s="9">
        <f>Q4*Q7</f>
      </c>
      <c r="R8" s="9">
        <f>R4*R7</f>
      </c>
      <c r="S8" s="9">
        <f>S4*S7</f>
      </c>
      <c r="T8" s="9">
        <f>T4*T7</f>
      </c>
      <c r="U8" s="9">
        <f>U4*U7</f>
      </c>
    </row>
    <row r="9">
      <c r="B9" t="inlineStr">
        <is>
          <t>Long-term investments, $m</t>
        </is>
      </c>
      <c r="C9" s="4">
        <v>4125.0</v>
      </c>
    </row>
    <row r="10">
      <c r="B10" t="inlineStr">
        <is>
          <t>Debt, $m</t>
        </is>
      </c>
      <c r="C10" s="4">
        <v>11670.0</v>
      </c>
      <c r="E10" t="inlineStr">
        <is>
          <t>R&amp;D</t>
        </is>
      </c>
      <c r="F10" s="4">
        <v>3038.0</v>
      </c>
      <c r="G10" s="4">
        <v>3253.0</v>
      </c>
      <c r="H10" s="4">
        <v>2973.0</v>
      </c>
      <c r="I10" s="4">
        <v>2979.0</v>
      </c>
      <c r="J10" s="4">
        <v>3103.0</v>
      </c>
      <c r="K10" s="4">
        <v>3165.0</v>
      </c>
      <c r="L10" s="9">
        <f>L4*L11</f>
      </c>
      <c r="M10" s="9">
        <f>M4*M11</f>
      </c>
      <c r="N10" s="9">
        <f>N4*N11</f>
      </c>
      <c r="O10" s="9">
        <f>O4*O11</f>
      </c>
      <c r="P10" s="9">
        <f>P4*P11</f>
      </c>
      <c r="Q10" s="9">
        <f>Q4*Q11</f>
      </c>
      <c r="R10" s="9">
        <f>R4*R11</f>
      </c>
      <c r="S10" s="9">
        <f>S4*S11</f>
      </c>
      <c r="T10" s="9">
        <f>T4*T11</f>
      </c>
      <c r="U10" s="9">
        <f>U4*U11</f>
      </c>
    </row>
    <row r="11">
      <c r="B11" t="inlineStr">
        <is>
          <t>Operating leases, $m</t>
        </is>
      </c>
      <c r="C11" s="4">
        <v>652.0</v>
      </c>
      <c r="E11" t="inlineStr">
        <is>
          <t>R&amp;D % Revenue</t>
        </is>
      </c>
      <c r="F11" s="6">
        <f>F10/F4</f>
      </c>
      <c r="G11" s="6">
        <f>G10/G4</f>
      </c>
      <c r="H11" s="6">
        <f>H10/H4</f>
      </c>
      <c r="I11" s="6">
        <f>I10/I4</f>
      </c>
      <c r="J11" s="6">
        <f>J10/J4</f>
      </c>
      <c r="K11" s="6">
        <f>K10/K4</f>
      </c>
      <c r="L11" s="8">
        <v>0.092</v>
      </c>
      <c r="M11" s="8">
        <v>0.091</v>
      </c>
      <c r="N11" s="8">
        <v>0.091</v>
      </c>
      <c r="O11" s="8">
        <v>0.09</v>
      </c>
      <c r="P11" s="8">
        <v>0.09</v>
      </c>
      <c r="Q11" s="8">
        <v>0.089</v>
      </c>
      <c r="R11" s="8">
        <v>0.089</v>
      </c>
      <c r="S11" s="8">
        <v>0.088</v>
      </c>
      <c r="T11" s="8">
        <v>0.088</v>
      </c>
      <c r="U11" s="8">
        <v>0.088</v>
      </c>
    </row>
    <row r="12">
      <c r="B12" t="inlineStr">
        <is>
          <t>Net debt used, $m</t>
        </is>
      </c>
      <c r="C12" s="4">
        <f>C10-C8</f>
        <v>2328.0</v>
      </c>
      <c r="E12" t="inlineStr">
        <is>
          <t>SG&amp;A</t>
        </is>
      </c>
      <c r="F12" s="4">
        <v>6634.0</v>
      </c>
      <c r="G12" s="4">
        <v>6476.0</v>
      </c>
      <c r="H12" s="4">
        <v>5787.0</v>
      </c>
      <c r="I12" s="4">
        <v>5916.0</v>
      </c>
      <c r="J12" s="4">
        <v>5966.0</v>
      </c>
      <c r="K12" s="4">
        <v>6032.0</v>
      </c>
      <c r="L12" s="9">
        <f>L4*L13</f>
      </c>
      <c r="M12" s="9">
        <f>M4*M13</f>
      </c>
      <c r="N12" s="9">
        <f>N4*N13</f>
      </c>
      <c r="O12" s="9">
        <f>O4*O13</f>
      </c>
      <c r="P12" s="9">
        <f>P4*P13</f>
      </c>
      <c r="Q12" s="9">
        <f>Q4*Q13</f>
      </c>
      <c r="R12" s="9">
        <f>R4*R13</f>
      </c>
      <c r="S12" s="9">
        <f>S4*S13</f>
      </c>
      <c r="T12" s="9">
        <f>T4*T13</f>
      </c>
      <c r="U12" s="9">
        <f>U4*U13</f>
      </c>
    </row>
    <row r="13">
      <c r="B13" t="inlineStr" s="11">
        <is>
          <t>Enterprise value, $m</t>
        </is>
      </c>
      <c r="C13" s="4">
        <f>C7+C12</f>
        <v>41546.41021878</v>
      </c>
      <c r="E13" t="inlineStr">
        <is>
          <t>SG&amp;A % Revenue</t>
        </is>
      </c>
      <c r="F13" s="6">
        <f>F12/F4</f>
      </c>
      <c r="G13" s="6">
        <f>G12/G4</f>
      </c>
      <c r="H13" s="6">
        <f>H12/H4</f>
      </c>
      <c r="I13" s="6">
        <f>I12/I4</f>
      </c>
      <c r="J13" s="6">
        <f>J12/J4</f>
      </c>
      <c r="K13" s="6">
        <f>K12/K4</f>
      </c>
      <c r="L13" s="8">
        <v>0.177</v>
      </c>
      <c r="M13" s="8">
        <v>0.174</v>
      </c>
      <c r="N13" s="8">
        <v>0.171</v>
      </c>
      <c r="O13" s="8">
        <v>0.168</v>
      </c>
      <c r="P13" s="8">
        <v>0.165</v>
      </c>
      <c r="Q13" s="8">
        <v>0.163</v>
      </c>
      <c r="R13" s="8">
        <v>0.161</v>
      </c>
      <c r="S13" s="8">
        <v>0.16</v>
      </c>
      <c r="T13" s="8">
        <v>0.159</v>
      </c>
      <c r="U13" s="8">
        <v>0.158</v>
      </c>
    </row>
    <row r="14">
      <c r="B14" t="inlineStr">
        <is>
          <t>EV incl LT investments as cash, $m</t>
        </is>
      </c>
      <c r="C14" s="4">
        <f>C7+C10-C8-C9</f>
        <v>37421.41021878</v>
      </c>
      <c r="E14" t="inlineStr">
        <is>
          <t>Other OpEx</t>
        </is>
      </c>
      <c r="F14" s="4">
        <v>62.0</v>
      </c>
      <c r="G14" s="4">
        <v>207.0</v>
      </c>
      <c r="H14" s="4">
        <v>-84.0</v>
      </c>
      <c r="I14" s="4">
        <v>438.0</v>
      </c>
      <c r="J14" s="4">
        <v>331.0</v>
      </c>
      <c r="K14" s="4">
        <v>339.0</v>
      </c>
      <c r="L14" s="9">
        <f>L4*0.01</f>
      </c>
      <c r="M14" s="9">
        <f>M4*0.01</f>
      </c>
      <c r="N14" s="9">
        <f>N4*0.01</f>
      </c>
      <c r="O14" s="9">
        <f>O4*0.01</f>
      </c>
      <c r="P14" s="9">
        <f>P4*0.009</f>
      </c>
      <c r="Q14" s="9">
        <f>Q4*0.009</f>
      </c>
      <c r="R14" s="9">
        <f>R4*0.009</f>
      </c>
      <c r="S14" s="9">
        <f>S4*0.009</f>
      </c>
      <c r="T14" s="9">
        <f>T4*0.009</f>
      </c>
      <c r="U14" s="9">
        <f>U4*0.009</f>
      </c>
    </row>
    <row r="15">
      <c r="B15" t="inlineStr">
        <is>
          <t>EV / TTM revenue</t>
        </is>
      </c>
      <c r="C15" s="4">
        <f>C13/K4</f>
      </c>
      <c r="E15" t="inlineStr">
        <is>
          <t>Operating Expenses</t>
        </is>
      </c>
      <c r="F15" s="4">
        <f>F6+F10+F12+F14</f>
      </c>
      <c r="G15" s="4">
        <f>G6+G10+G12+G14</f>
      </c>
      <c r="H15" s="4">
        <f>H6+H10+H12+H14</f>
      </c>
      <c r="I15" s="4">
        <f>I6+I10+I12+I14</f>
      </c>
      <c r="J15" s="4">
        <f>J6+J10+J12+J14</f>
      </c>
      <c r="K15" s="4">
        <f>K6+K10+K12+K14</f>
      </c>
      <c r="L15" s="9">
        <f>L6+L10+L12+L14</f>
      </c>
      <c r="M15" s="9">
        <f>M6+M10+M12+M14</f>
      </c>
      <c r="N15" s="9">
        <f>N6+N10+N12+N14</f>
      </c>
      <c r="O15" s="9">
        <f>O6+O10+O12+O14</f>
      </c>
      <c r="P15" s="9">
        <f>P6+P10+P12+P14</f>
      </c>
      <c r="Q15" s="9">
        <f>Q6+Q10+Q12+Q14</f>
      </c>
      <c r="R15" s="9">
        <f>R6+R10+R12+R14</f>
      </c>
      <c r="S15" s="9">
        <f>S6+S10+S12+S14</f>
      </c>
      <c r="T15" s="9">
        <f>T6+T10+T12+T14</f>
      </c>
      <c r="U15" s="9">
        <f>U6+U10+U12+U14</f>
      </c>
    </row>
    <row r="16">
      <c r="B16" t="inlineStr">
        <is>
          <t>EV / TTM owner FCF</t>
        </is>
      </c>
      <c r="C16" s="4">
        <f>C13/K31</f>
      </c>
      <c r="E16" t="inlineStr" s="11">
        <is>
          <t>Operating Income</t>
        </is>
      </c>
      <c r="F16" s="4">
        <v>4262.0</v>
      </c>
      <c r="G16" s="4">
        <v>3837.0</v>
      </c>
      <c r="H16" s="4">
        <v>5028.0</v>
      </c>
      <c r="I16" s="4">
        <v>5325.0</v>
      </c>
      <c r="J16" s="4">
        <v>6065.0</v>
      </c>
      <c r="K16" s="4">
        <v>6023.0</v>
      </c>
      <c r="L16" s="9">
        <f>L4-L15</f>
      </c>
      <c r="M16" s="9">
        <f>M4-M15</f>
      </c>
      <c r="N16" s="9">
        <f>N4-N15</f>
      </c>
      <c r="O16" s="9">
        <f>O4-O15</f>
      </c>
      <c r="P16" s="9">
        <f>P4-P15</f>
      </c>
      <c r="Q16" s="9">
        <f>Q4-Q15</f>
      </c>
      <c r="R16" s="9">
        <f>R4-R15</f>
      </c>
      <c r="S16" s="9">
        <f>S4-S15</f>
      </c>
      <c r="T16" s="9">
        <f>T4-T15</f>
      </c>
      <c r="U16" s="9">
        <f>U4-U15</f>
      </c>
    </row>
    <row r="17">
      <c r="B17" t="inlineStr" s="11">
        <is>
          <t>Headline DCF implied price</t>
        </is>
      </c>
      <c r="C17" s="5">
        <f>C59</f>
      </c>
      <c r="E17" t="inlineStr">
        <is>
          <t>Operating Margin</t>
        </is>
      </c>
      <c r="F17" s="6">
        <f>F16/F4</f>
      </c>
      <c r="G17" s="6">
        <f>G16/G4</f>
      </c>
      <c r="H17" s="6">
        <f>H16/H4</f>
      </c>
      <c r="I17" s="6">
        <f>I16/I4</f>
      </c>
      <c r="J17" s="6">
        <f>J16/J4</f>
      </c>
      <c r="K17" s="6">
        <f>K16/K4</f>
      </c>
      <c r="L17" s="6">
        <f>L16/L4</f>
      </c>
      <c r="M17" s="6">
        <f>M16/M4</f>
      </c>
      <c r="N17" s="6">
        <f>N16/N4</f>
      </c>
      <c r="O17" s="6">
        <f>O16/O4</f>
      </c>
      <c r="P17" s="6">
        <f>P16/P4</f>
      </c>
      <c r="Q17" s="6">
        <f>Q16/Q4</f>
      </c>
      <c r="R17" s="6">
        <f>R16/R4</f>
      </c>
      <c r="S17" s="6">
        <f>S16/S4</f>
      </c>
      <c r="T17" s="6">
        <f>T16/T4</f>
      </c>
      <c r="U17" s="6">
        <f>U16/U4</f>
      </c>
    </row>
    <row r="18">
      <c r="B18" t="inlineStr">
        <is>
          <t>Margin of safety</t>
        </is>
      </c>
      <c r="C18" s="6">
        <f>C59/C4-1</f>
      </c>
      <c r="E18" t="inlineStr">
        <is>
          <t>Other Income / Expense</t>
        </is>
      </c>
      <c r="F18" s="4">
        <v>-163.0</v>
      </c>
      <c r="G18" s="4">
        <v>-471.0</v>
      </c>
      <c r="H18" s="4">
        <v>383.0</v>
      </c>
      <c r="I18" s="4">
        <v>4.0</v>
      </c>
      <c r="J18" s="4">
        <v>227.0</v>
      </c>
      <c r="K18" s="4">
        <v>59.0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</row>
    <row r="19">
      <c r="B19" t="inlineStr">
        <is>
          <t>Source note</t>
        </is>
      </c>
      <c r="C19" t="inlineStr" s="7">
        <is>
          <t>Uses May 28 close; May 29 pre-market was 44.58 on StockAnalysis. EV bridge conservatively subtracts cash/ST only; Q1 release reported cash/equivalents/investments of approx. $13.5B.</t>
        </is>
      </c>
      <c r="E19" t="inlineStr">
        <is>
          <t>Pretax Income</t>
        </is>
      </c>
      <c r="F19" s="4">
        <v>4099.0</v>
      </c>
      <c r="G19" s="4">
        <v>3366.0</v>
      </c>
      <c r="H19" s="4">
        <v>5411.0</v>
      </c>
      <c r="I19" s="4">
        <v>5329.0</v>
      </c>
      <c r="J19" s="4">
        <v>6292.0</v>
      </c>
      <c r="K19" s="4">
        <v>6082.0</v>
      </c>
      <c r="L19" s="9">
        <f>L16+L18</f>
      </c>
      <c r="M19" s="9">
        <f>M16+M18</f>
      </c>
      <c r="N19" s="9">
        <f>N16+N18</f>
      </c>
      <c r="O19" s="9">
        <f>O16+O18</f>
      </c>
      <c r="P19" s="9">
        <f>P16+P18</f>
      </c>
      <c r="Q19" s="9">
        <f>Q16+Q18</f>
      </c>
      <c r="R19" s="9">
        <f>R16+R18</f>
      </c>
      <c r="S19" s="9">
        <f>S16+S18</f>
      </c>
      <c r="T19" s="9">
        <f>T16+T18</f>
      </c>
      <c r="U19" s="9">
        <f>U16+U18</f>
      </c>
    </row>
    <row r="20">
      <c r="E20" t="inlineStr">
        <is>
          <t>Taxes</t>
        </is>
      </c>
      <c r="F20" s="4">
        <v>-70.0</v>
      </c>
      <c r="G20" s="4">
        <v>947.0</v>
      </c>
      <c r="H20" s="4">
        <v>1165.0</v>
      </c>
      <c r="I20" s="4">
        <v>1182.0</v>
      </c>
      <c r="J20" s="4">
        <v>1059.0</v>
      </c>
      <c r="K20" s="4">
        <v>1023.0</v>
      </c>
      <c r="L20" s="9">
        <f>L19*L21</f>
      </c>
      <c r="M20" s="9">
        <f>M19*M21</f>
      </c>
      <c r="N20" s="9">
        <f>N19*N21</f>
      </c>
      <c r="O20" s="9">
        <f>O19*O21</f>
      </c>
      <c r="P20" s="9">
        <f>P19*P21</f>
      </c>
      <c r="Q20" s="9">
        <f>Q19*Q21</f>
      </c>
      <c r="R20" s="9">
        <f>R19*R21</f>
      </c>
      <c r="S20" s="9">
        <f>S19*S21</f>
      </c>
      <c r="T20" s="9">
        <f>T19*T21</f>
      </c>
      <c r="U20" s="9">
        <f>U19*U21</f>
      </c>
    </row>
    <row r="21">
      <c r="E21" t="inlineStr">
        <is>
          <t>Tax Rate</t>
        </is>
      </c>
      <c r="F21" s="6">
        <f>F20/F19</f>
      </c>
      <c r="G21" s="6">
        <f>G20/G19</f>
      </c>
      <c r="H21" s="6">
        <f>H20/H19</f>
      </c>
      <c r="I21" s="6">
        <f>I20/I19</f>
      </c>
      <c r="J21" s="6">
        <f>J20/J19</f>
      </c>
      <c r="K21" s="6">
        <f>K20/K19</f>
      </c>
      <c r="L21" s="8">
        <v>0.18</v>
      </c>
      <c r="M21" s="8">
        <v>0.18</v>
      </c>
      <c r="N21" s="8">
        <v>0.18</v>
      </c>
      <c r="O21" s="8">
        <v>0.18</v>
      </c>
      <c r="P21" s="8">
        <v>0.18</v>
      </c>
      <c r="Q21" s="8">
        <v>0.18</v>
      </c>
      <c r="R21" s="8">
        <v>0.18</v>
      </c>
      <c r="S21" s="8">
        <v>0.18</v>
      </c>
      <c r="T21" s="8">
        <v>0.18</v>
      </c>
      <c r="U21" s="8">
        <v>0.18</v>
      </c>
    </row>
    <row r="22">
      <c r="E22" t="inlineStr" s="11">
        <is>
          <t>Net Income</t>
        </is>
      </c>
      <c r="F22" s="4">
        <v>4169.0</v>
      </c>
      <c r="G22" s="4">
        <v>2419.0</v>
      </c>
      <c r="H22" s="4">
        <v>4246.0</v>
      </c>
      <c r="I22" s="4">
        <v>4147.0</v>
      </c>
      <c r="J22" s="4">
        <v>5233.0</v>
      </c>
      <c r="K22" s="4">
        <v>5059.0</v>
      </c>
      <c r="L22" s="9">
        <f>L19-L20</f>
      </c>
      <c r="M22" s="9">
        <f>M19-M20</f>
      </c>
      <c r="N22" s="9">
        <f>N19-N20</f>
      </c>
      <c r="O22" s="9">
        <f>O19-O20</f>
      </c>
      <c r="P22" s="9">
        <f>P19-P20</f>
      </c>
      <c r="Q22" s="9">
        <f>Q19-Q20</f>
      </c>
      <c r="R22" s="9">
        <f>R19-R20</f>
      </c>
      <c r="S22" s="9">
        <f>S19-S20</f>
      </c>
      <c r="T22" s="9">
        <f>T19-T20</f>
      </c>
      <c r="U22" s="9">
        <f>U19-U20</f>
      </c>
    </row>
    <row r="23">
      <c r="E23" t="inlineStr">
        <is>
          <t>Net Margin</t>
        </is>
      </c>
      <c r="F23" s="6">
        <f>F22/F4</f>
      </c>
      <c r="G23" s="6">
        <f>G22/G4</f>
      </c>
      <c r="H23" s="6">
        <f>H22/H4</f>
      </c>
      <c r="I23" s="6">
        <f>I22/I4</f>
      </c>
      <c r="J23" s="6">
        <f>J22/J4</f>
      </c>
      <c r="K23" s="6">
        <f>K22/K4</f>
      </c>
      <c r="L23" s="6">
        <f>L22/L4</f>
      </c>
      <c r="M23" s="6">
        <f>M22/M4</f>
      </c>
      <c r="N23" s="6">
        <f>N22/N4</f>
      </c>
      <c r="O23" s="6">
        <f>O22/O4</f>
      </c>
      <c r="P23" s="6">
        <f>P22/P4</f>
      </c>
      <c r="Q23" s="6">
        <f>Q22/Q4</f>
      </c>
      <c r="R23" s="6">
        <f>R22/R4</f>
      </c>
      <c r="S23" s="6">
        <f>S22/S4</f>
      </c>
      <c r="T23" s="6">
        <f>T22/T4</f>
      </c>
      <c r="U23" s="6">
        <f>U22/U4</f>
      </c>
    </row>
    <row r="24">
      <c r="E24" t="inlineStr">
        <is>
          <t>Diluted Shares</t>
        </is>
      </c>
      <c r="F24" s="4">
        <v>1186.0</v>
      </c>
      <c r="G24" s="4">
        <v>1158.0</v>
      </c>
      <c r="H24" s="4">
        <v>1107.0</v>
      </c>
      <c r="I24" s="4">
        <v>1039.0</v>
      </c>
      <c r="J24" s="4">
        <v>968.0</v>
      </c>
      <c r="K24" s="4">
        <v>949.0</v>
      </c>
      <c r="L24" s="8">
        <v>882.105493</v>
      </c>
      <c r="M24" s="9">
        <f>L24*(1+-0.018)</f>
      </c>
      <c r="N24" s="9">
        <f>M24*(1+-0.016)</f>
      </c>
      <c r="O24" s="9">
        <f>N24*(1+-0.014)</f>
      </c>
      <c r="P24" s="9">
        <f>O24*(1+-0.012)</f>
      </c>
      <c r="Q24" s="9">
        <f>P24*(1+-0.01)</f>
      </c>
      <c r="R24" s="9">
        <f>Q24*(1+-0.008)</f>
      </c>
      <c r="S24" s="9">
        <f>R24*(1+-0.006)</f>
      </c>
      <c r="T24" s="9">
        <f>S24*(1+-0.005)</f>
      </c>
      <c r="U24" s="9">
        <f>T24*(1+-0.005)</f>
      </c>
    </row>
    <row r="25">
      <c r="E25" t="inlineStr">
        <is>
          <t>EPS</t>
        </is>
      </c>
      <c r="F25" s="5">
        <v>3.52</v>
      </c>
      <c r="G25" s="5">
        <v>2.09</v>
      </c>
      <c r="H25" s="5">
        <v>3.84</v>
      </c>
      <c r="I25" s="5">
        <v>3.99</v>
      </c>
      <c r="J25" s="5">
        <v>5.41</v>
      </c>
      <c r="K25" s="5">
        <v>5.33</v>
      </c>
      <c r="L25" s="5">
        <f>L22/L24</f>
      </c>
      <c r="M25" s="5">
        <f>M22/M24</f>
      </c>
      <c r="N25" s="5">
        <f>N22/N24</f>
      </c>
      <c r="O25" s="5">
        <f>O22/O24</f>
      </c>
      <c r="P25" s="5">
        <f>P22/P24</f>
      </c>
      <c r="Q25" s="5">
        <f>Q22/Q24</f>
      </c>
      <c r="R25" s="5">
        <f>R22/R24</f>
      </c>
      <c r="S25" s="5">
        <f>S22/S24</f>
      </c>
      <c r="T25" s="5">
        <f>T22/T24</f>
      </c>
      <c r="U25" s="5">
        <f>U22/U24</f>
      </c>
    </row>
    <row r="27">
      <c r="E27" t="inlineStr">
        <is>
          <t>Operating Cash Flow</t>
        </is>
      </c>
      <c r="F27" s="4">
        <v>5797.0</v>
      </c>
      <c r="G27" s="4">
        <v>5813.0</v>
      </c>
      <c r="H27" s="4">
        <v>4843.0</v>
      </c>
      <c r="I27" s="4">
        <v>7450.0</v>
      </c>
      <c r="J27" s="4">
        <v>6416.0</v>
      </c>
      <c r="K27" s="4">
        <v>6390.0</v>
      </c>
      <c r="L27" s="9">
        <f>L29-L28</f>
      </c>
      <c r="M27" s="9">
        <f>M29-M28</f>
      </c>
      <c r="N27" s="9">
        <f>N29-N28</f>
      </c>
      <c r="O27" s="9">
        <f>O29-O28</f>
      </c>
      <c r="P27" s="9">
        <f>P29-P28</f>
      </c>
      <c r="Q27" s="9">
        <f>Q29-Q28</f>
      </c>
      <c r="R27" s="9">
        <f>R29-R28</f>
      </c>
      <c r="S27" s="9">
        <f>S29-S28</f>
      </c>
      <c r="T27" s="9">
        <f>T29-T28</f>
      </c>
      <c r="U27" s="9">
        <f>U29-U28</f>
      </c>
    </row>
    <row r="28">
      <c r="E28" t="inlineStr">
        <is>
          <t>Capex</t>
        </is>
      </c>
      <c r="F28" s="4">
        <v>-908.0</v>
      </c>
      <c r="G28" s="4">
        <v>-706.0</v>
      </c>
      <c r="H28" s="4">
        <v>-623.0</v>
      </c>
      <c r="I28" s="4">
        <v>-683.0</v>
      </c>
      <c r="J28" s="4">
        <v>-852.0</v>
      </c>
      <c r="K28" s="4">
        <v>-887.0</v>
      </c>
      <c r="L28" s="9">
        <f>-L4*0.026</f>
      </c>
      <c r="M28" s="9">
        <f>-M4*0.026</f>
      </c>
      <c r="N28" s="9">
        <f>-N4*0.0255</f>
      </c>
      <c r="O28" s="9">
        <f>-O4*0.025</f>
      </c>
      <c r="P28" s="9">
        <f>-P4*0.0245</f>
      </c>
      <c r="Q28" s="9">
        <f>-Q4*0.024</f>
      </c>
      <c r="R28" s="9">
        <f>-R4*0.024</f>
      </c>
      <c r="S28" s="9">
        <f>-S4*0.024</f>
      </c>
      <c r="T28" s="9">
        <f>-T4*0.024</f>
      </c>
      <c r="U28" s="9">
        <f>-U4*0.024</f>
      </c>
    </row>
    <row r="29">
      <c r="E29" t="inlineStr" s="11">
        <is>
          <t>Free Cash Flow</t>
        </is>
      </c>
      <c r="F29" s="4">
        <v>4889.0</v>
      </c>
      <c r="G29" s="4">
        <v>5107.0</v>
      </c>
      <c r="H29" s="4">
        <v>4220.0</v>
      </c>
      <c r="I29" s="4">
        <v>6767.0</v>
      </c>
      <c r="J29" s="4">
        <v>5564.0</v>
      </c>
      <c r="K29" s="4">
        <v>5503.0</v>
      </c>
      <c r="L29" s="9">
        <f>L33+L31</f>
      </c>
      <c r="M29" s="9">
        <f>M33+M31</f>
      </c>
      <c r="N29" s="9">
        <f>N33+N31</f>
      </c>
      <c r="O29" s="9">
        <f>O33+O31</f>
      </c>
      <c r="P29" s="9">
        <f>P33+P31</f>
      </c>
      <c r="Q29" s="9">
        <f>Q33+Q31</f>
      </c>
      <c r="R29" s="9">
        <f>R33+R31</f>
      </c>
      <c r="S29" s="9">
        <f>S33+S31</f>
      </c>
      <c r="T29" s="9">
        <f>T33+T31</f>
      </c>
      <c r="U29" s="9">
        <f>U33+U31</f>
      </c>
    </row>
    <row r="30">
      <c r="E30" t="inlineStr">
        <is>
          <t>FCF Margin</t>
        </is>
      </c>
      <c r="F30" s="6">
        <f>F29/F4</f>
      </c>
      <c r="G30" s="6">
        <f>G29/G4</f>
      </c>
      <c r="H30" s="6">
        <f>H29/H4</f>
      </c>
      <c r="I30" s="6">
        <f>I29/I4</f>
      </c>
      <c r="J30" s="6">
        <f>J29/J4</f>
      </c>
      <c r="K30" s="6">
        <f>K29/K4</f>
      </c>
      <c r="L30" s="6">
        <f>L29/L4</f>
      </c>
      <c r="M30" s="6">
        <f>M29/M4</f>
      </c>
      <c r="N30" s="6">
        <f>N29/N4</f>
      </c>
      <c r="O30" s="6">
        <f>O29/O4</f>
      </c>
      <c r="P30" s="6">
        <f>P29/P4</f>
      </c>
      <c r="Q30" s="6">
        <f>Q29/Q4</f>
      </c>
      <c r="R30" s="6">
        <f>R29/R4</f>
      </c>
      <c r="S30" s="6">
        <f>S29/S4</f>
      </c>
      <c r="T30" s="6">
        <f>T29/T4</f>
      </c>
      <c r="U30" s="6">
        <f>U29/U4</f>
      </c>
    </row>
    <row r="31">
      <c r="E31" t="inlineStr">
        <is>
          <t>Stock-Based Compensation</t>
        </is>
      </c>
      <c r="F31" s="4">
        <v>1376.0</v>
      </c>
      <c r="G31" s="4">
        <v>1261.0</v>
      </c>
      <c r="H31" s="4">
        <v>1475.0</v>
      </c>
      <c r="I31" s="4">
        <v>1230.0</v>
      </c>
      <c r="J31" s="4">
        <v>1002.0</v>
      </c>
      <c r="K31" s="4">
        <v>1012.0</v>
      </c>
      <c r="L31" s="9">
        <f>L4*L32</f>
      </c>
      <c r="M31" s="9">
        <f>M4*M32</f>
      </c>
      <c r="N31" s="9">
        <f>N4*N32</f>
      </c>
      <c r="O31" s="9">
        <f>O4*O32</f>
      </c>
      <c r="P31" s="9">
        <f>P4*P32</f>
      </c>
      <c r="Q31" s="9">
        <f>Q4*Q32</f>
      </c>
      <c r="R31" s="9">
        <f>R4*R32</f>
      </c>
      <c r="S31" s="9">
        <f>S4*S32</f>
      </c>
      <c r="T31" s="9">
        <f>T4*T32</f>
      </c>
      <c r="U31" s="9">
        <f>U4*U32</f>
      </c>
    </row>
    <row r="32">
      <c r="E32" t="inlineStr">
        <is>
          <t>SBC % Revenue</t>
        </is>
      </c>
      <c r="F32" s="6">
        <f>F31/F4</f>
      </c>
      <c r="G32" s="6">
        <f>G31/G4</f>
      </c>
      <c r="H32" s="6">
        <f>H31/H4</f>
      </c>
      <c r="I32" s="6">
        <f>I31/I4</f>
      </c>
      <c r="J32" s="6">
        <f>J31/J4</f>
      </c>
      <c r="K32" s="6">
        <f>K31/K4</f>
      </c>
      <c r="L32" s="8">
        <v>0.03</v>
      </c>
      <c r="M32" s="8">
        <v>0.029</v>
      </c>
      <c r="N32" s="8">
        <v>0.028</v>
      </c>
      <c r="O32" s="8">
        <v>0.027</v>
      </c>
      <c r="P32" s="8">
        <v>0.026</v>
      </c>
      <c r="Q32" s="8">
        <v>0.025</v>
      </c>
      <c r="R32" s="8">
        <v>0.024</v>
      </c>
      <c r="S32" s="8">
        <v>0.0235</v>
      </c>
      <c r="T32" s="8">
        <v>0.023</v>
      </c>
      <c r="U32" s="8">
        <v>0.023</v>
      </c>
    </row>
    <row r="33">
      <c r="E33" t="inlineStr" s="11">
        <is>
          <t>Owner FCF After SBC</t>
        </is>
      </c>
      <c r="F33" s="4">
        <v>3513.0</v>
      </c>
      <c r="G33" s="4">
        <v>3846.0</v>
      </c>
      <c r="H33" s="4">
        <v>2745.0</v>
      </c>
      <c r="I33" s="4">
        <v>5537.0</v>
      </c>
      <c r="J33" s="4">
        <v>4562.0</v>
      </c>
      <c r="K33" s="4">
        <v>4491.0</v>
      </c>
      <c r="L33" s="9">
        <f>L4*L34</f>
      </c>
      <c r="M33" s="9">
        <f>M4*M34</f>
      </c>
      <c r="N33" s="9">
        <f>N4*N34</f>
      </c>
      <c r="O33" s="9">
        <f>O4*O34</f>
      </c>
      <c r="P33" s="9">
        <f>P4*P34</f>
      </c>
      <c r="Q33" s="9">
        <f>Q4*Q34</f>
      </c>
      <c r="R33" s="9">
        <f>R4*R34</f>
      </c>
      <c r="S33" s="9">
        <f>S4*S34</f>
      </c>
      <c r="T33" s="9">
        <f>T4*T34</f>
      </c>
      <c r="U33" s="9">
        <f>U4*U34</f>
      </c>
    </row>
    <row r="34">
      <c r="E34" t="inlineStr">
        <is>
          <t>Owner FCF Margin</t>
        </is>
      </c>
      <c r="F34" s="6">
        <f>F33/F4</f>
      </c>
      <c r="G34" s="6">
        <f>G33/G4</f>
      </c>
      <c r="H34" s="6">
        <f>H33/H4</f>
      </c>
      <c r="I34" s="6">
        <f>I33/I4</f>
      </c>
      <c r="J34" s="6">
        <f>J33/J4</f>
      </c>
      <c r="K34" s="6">
        <f>K33/K4</f>
      </c>
      <c r="L34" s="8">
        <v>0.142</v>
      </c>
      <c r="M34" s="8">
        <v>0.148</v>
      </c>
      <c r="N34" s="8">
        <v>0.152</v>
      </c>
      <c r="O34" s="8">
        <v>0.156</v>
      </c>
      <c r="P34" s="8">
        <v>0.16</v>
      </c>
      <c r="Q34" s="8">
        <v>0.162</v>
      </c>
      <c r="R34" s="8">
        <v>0.164</v>
      </c>
      <c r="S34" s="8">
        <v>0.165</v>
      </c>
      <c r="T34" s="8">
        <v>0.166</v>
      </c>
      <c r="U34" s="8">
        <v>0.166</v>
      </c>
    </row>
    <row r="36">
      <c r="E36" t="inlineStr">
        <is>
          <t>Cash + ST Investments</t>
        </is>
      </c>
      <c r="F36" s="4">
        <v>9500.0</v>
      </c>
      <c r="G36" s="4">
        <v>10868.0</v>
      </c>
      <c r="H36" s="4">
        <v>14060.0</v>
      </c>
      <c r="I36" s="4">
        <v>10924.0</v>
      </c>
      <c r="J36" s="4">
        <v>10422.0</v>
      </c>
      <c r="K36" s="4">
        <v>9342.0</v>
      </c>
    </row>
    <row r="37">
      <c r="E37" t="inlineStr">
        <is>
          <t>Long-term Investments</t>
        </is>
      </c>
      <c r="F37" s="4">
        <v>6797.0</v>
      </c>
      <c r="G37" s="4">
        <v>5018.0</v>
      </c>
      <c r="H37" s="4">
        <v>3273.0</v>
      </c>
      <c r="I37" s="4">
        <v>4583.0</v>
      </c>
      <c r="J37" s="4">
        <v>4330.0</v>
      </c>
      <c r="K37" s="4">
        <v>4125.0</v>
      </c>
    </row>
    <row r="38">
      <c r="E38" t="inlineStr">
        <is>
          <t>Debt</t>
        </is>
      </c>
      <c r="F38" s="4">
        <v>8049.0</v>
      </c>
      <c r="G38" s="4">
        <v>10417.0</v>
      </c>
      <c r="H38" s="4">
        <v>9676.0</v>
      </c>
      <c r="I38" s="4">
        <v>9879.0</v>
      </c>
      <c r="J38" s="4">
        <v>9987.0</v>
      </c>
      <c r="K38" s="4">
        <v>11670.0</v>
      </c>
    </row>
    <row r="39">
      <c r="E39" t="inlineStr">
        <is>
          <t>Operating Lease Liabilities</t>
        </is>
      </c>
      <c r="K39" s="4">
        <v>652.0</v>
      </c>
    </row>
    <row r="40">
      <c r="E40" t="inlineStr">
        <is>
          <t>Net Debt / (Cash)</t>
        </is>
      </c>
      <c r="F40" s="4">
        <f>F38-F36</f>
      </c>
      <c r="G40" s="4">
        <f>G38-G36</f>
      </c>
      <c r="H40" s="4">
        <f>H38-H36</f>
      </c>
      <c r="I40" s="4">
        <f>I38-I36</f>
      </c>
      <c r="J40" s="4">
        <f>J38-J36</f>
      </c>
      <c r="K40" s="4">
        <f>K38-K36</f>
      </c>
    </row>
    <row r="42">
      <c r="E42" t="inlineStr">
        <is>
          <t>TPV ($B)</t>
        </is>
      </c>
      <c r="F42" s="4">
        <v>1250</v>
      </c>
      <c r="G42" s="4">
        <v>1360</v>
      </c>
      <c r="H42" s="4">
        <v>1530</v>
      </c>
      <c r="I42" s="4">
        <v>1670</v>
      </c>
      <c r="J42" s="4">
        <v>1790</v>
      </c>
      <c r="K42" s="4">
        <v>1826</v>
      </c>
    </row>
    <row r="43">
      <c r="E43" t="inlineStr">
        <is>
          <t>Payment Transactions (B)</t>
        </is>
      </c>
      <c r="F43" s="4">
        <v>19.3</v>
      </c>
      <c r="G43" s="4">
        <v>22.3</v>
      </c>
      <c r="H43" s="4">
        <v>24.4</v>
      </c>
      <c r="I43" s="4">
        <v>26.5</v>
      </c>
      <c r="J43" s="4">
        <v>25.4</v>
      </c>
      <c r="K43" s="4">
        <v>25.8</v>
      </c>
    </row>
    <row r="44">
      <c r="E44" t="inlineStr">
        <is>
          <t>Active Accounts (mm)</t>
        </is>
      </c>
      <c r="F44" s="4">
        <v>426</v>
      </c>
      <c r="G44" s="4">
        <v>435</v>
      </c>
      <c r="H44" s="4">
        <v>426</v>
      </c>
      <c r="I44" s="4">
        <v>434</v>
      </c>
      <c r="J44" s="4">
        <v>439</v>
      </c>
      <c r="K44" s="4">
        <v>439</v>
      </c>
    </row>
    <row r="45">
      <c r="E45" t="inlineStr">
        <is>
          <t>Transactions / Active Account</t>
        </is>
      </c>
      <c r="F45" s="4">
        <v>45.4</v>
      </c>
      <c r="G45" s="4">
        <v>51.4</v>
      </c>
      <c r="H45" s="4">
        <v>57.3</v>
      </c>
      <c r="I45" s="4">
        <v>61.3</v>
      </c>
      <c r="J45" s="4">
        <v>58.8</v>
      </c>
      <c r="K45" s="4">
        <v>58.7</v>
      </c>
    </row>
    <row r="46">
      <c r="E46" t="inlineStr">
        <is>
          <t>Q1 2026 TM$</t>
        </is>
      </c>
      <c r="K46" s="4">
        <v>3810</v>
      </c>
    </row>
    <row r="47">
      <c r="E47" t="inlineStr">
        <is>
          <t>Q1 2026 TM$ ex Interest</t>
        </is>
      </c>
      <c r="K47" s="4">
        <v>3536</v>
      </c>
    </row>
    <row r="50">
      <c r="B50" t="inlineStr" s="11">
        <is>
          <t>Selected discount rate</t>
        </is>
      </c>
      <c r="C50" s="6">
        <f>WACC!B13</f>
        <v>0.105</v>
      </c>
    </row>
    <row r="51">
      <c r="B51" t="inlineStr">
        <is>
          <t>Terminal growth</t>
        </is>
      </c>
      <c r="C51" s="6">
        <v>0.025</v>
      </c>
    </row>
    <row r="52">
      <c r="B52" t="inlineStr">
        <is>
          <t>Net debt used, $m</t>
        </is>
      </c>
      <c r="C52" s="4">
        <f>C12</f>
        <v>2328.0</v>
      </c>
    </row>
    <row r="53">
      <c r="B53" t="inlineStr">
        <is>
          <t>PV explicit owner FCF, $m</t>
        </is>
      </c>
      <c r="C53" s="4">
        <f>SUM(L55:U55)</f>
      </c>
    </row>
    <row r="54">
      <c r="B54" t="inlineStr">
        <is>
          <t>Terminal value, $m</t>
        </is>
      </c>
      <c r="C54" s="4">
        <f>U33*(1+C51)/(C50-C51)</f>
      </c>
      <c r="K54" t="inlineStr" s="2">
        <is>
          <t>Discount factor</t>
        </is>
      </c>
      <c r="L54" s="6">
        <f>1/(1+$C$50)^1</f>
      </c>
      <c r="M54" s="6">
        <f>1/(1+$C$50)^2</f>
      </c>
      <c r="N54" s="6">
        <f>1/(1+$C$50)^3</f>
      </c>
      <c r="O54" s="6">
        <f>1/(1+$C$50)^4</f>
      </c>
      <c r="P54" s="6">
        <f>1/(1+$C$50)^5</f>
      </c>
      <c r="Q54" s="6">
        <f>1/(1+$C$50)^6</f>
      </c>
      <c r="R54" s="6">
        <f>1/(1+$C$50)^7</f>
      </c>
      <c r="S54" s="6">
        <f>1/(1+$C$50)^8</f>
      </c>
      <c r="T54" s="6">
        <f>1/(1+$C$50)^9</f>
      </c>
      <c r="U54" s="6">
        <f>1/(1+$C$50)^10</f>
      </c>
    </row>
    <row r="55">
      <c r="B55" t="inlineStr">
        <is>
          <t>PV terminal value, $m</t>
        </is>
      </c>
      <c r="C55" s="4">
        <f>C54/(1+C50)^10</f>
      </c>
      <c r="K55" t="inlineStr" s="2">
        <is>
          <t>PV owner FCF</t>
        </is>
      </c>
      <c r="L55" s="9">
        <f>L33*L54</f>
      </c>
      <c r="M55" s="9">
        <f>M33*M54</f>
      </c>
      <c r="N55" s="9">
        <f>N33*N54</f>
      </c>
      <c r="O55" s="9">
        <f>O33*O54</f>
      </c>
      <c r="P55" s="9">
        <f>P33*P54</f>
      </c>
      <c r="Q55" s="9">
        <f>Q33*Q54</f>
      </c>
      <c r="R55" s="9">
        <f>R33*R54</f>
      </c>
      <c r="S55" s="9">
        <f>S33*S54</f>
      </c>
      <c r="T55" s="9">
        <f>T33*T54</f>
      </c>
      <c r="U55" s="9">
        <f>U33*U54</f>
      </c>
    </row>
    <row r="56">
      <c r="B56" t="inlineStr">
        <is>
          <t>DCF enterprise value, $m</t>
        </is>
      </c>
      <c r="C56" s="4">
        <f>C53+C55</f>
      </c>
      <c r="K56" t="inlineStr" s="2">
        <is>
          <t>PV reported FCF</t>
        </is>
      </c>
      <c r="L56" s="9">
        <f>L29*L54</f>
      </c>
      <c r="M56" s="9">
        <f>M29*M54</f>
      </c>
      <c r="N56" s="9">
        <f>N29*N54</f>
      </c>
      <c r="O56" s="9">
        <f>O29*O54</f>
      </c>
      <c r="P56" s="9">
        <f>P29*P54</f>
      </c>
      <c r="Q56" s="9">
        <f>Q29*Q54</f>
      </c>
      <c r="R56" s="9">
        <f>R29*R54</f>
      </c>
      <c r="S56" s="9">
        <f>S29*S54</f>
      </c>
      <c r="T56" s="9">
        <f>T29*T54</f>
      </c>
      <c r="U56" s="9">
        <f>U29*U54</f>
      </c>
    </row>
    <row r="57">
      <c r="B57" t="inlineStr">
        <is>
          <t>Equity value, $m</t>
        </is>
      </c>
      <c r="C57" s="4">
        <f>C56-C52</f>
      </c>
    </row>
    <row r="58">
      <c r="B58" t="inlineStr">
        <is>
          <t>Diluted shares, mm</t>
        </is>
      </c>
      <c r="C58" s="4">
        <f>C6</f>
        <v>882.105493</v>
      </c>
    </row>
    <row r="59">
      <c r="B59" t="inlineStr">
        <is>
          <t>Implied price</t>
        </is>
      </c>
      <c r="C59" s="5">
        <f>C57/C58</f>
      </c>
    </row>
    <row r="60">
      <c r="B60" t="inlineStr" s="11">
        <is>
          <t>Current price</t>
        </is>
      </c>
      <c r="C60" s="5">
        <f>C4</f>
      </c>
    </row>
    <row r="61">
      <c r="B61" t="inlineStr">
        <is>
          <t>Margin of safety</t>
        </is>
      </c>
      <c r="C61" s="6">
        <f>C59/C60-1</f>
      </c>
    </row>
    <row r="62">
      <c r="B62" t="inlineStr" s="11">
        <is>
          <t>Reverse DCF terminal owner FCF margin</t>
        </is>
      </c>
      <c r="C62" s="6">
        <f>((C13-C53)*(1+C50)^10*(C50-C51)/(1+C51))/U4</f>
      </c>
    </row>
    <row r="65">
      <c r="B65" t="inlineStr" s="3">
        <is>
          <t>Implied Price Sensitivity: Discount Rate vs Terminal Growth</t>
        </is>
      </c>
    </row>
    <row r="66">
      <c r="B66" t="inlineStr" s="2">
        <is>
          <t>WACC \ TG</t>
        </is>
      </c>
      <c r="C66" s="2">
        <v>0.015</v>
      </c>
      <c r="D66" s="2">
        <v>0.02</v>
      </c>
      <c r="E66" s="2">
        <v>0.025</v>
      </c>
      <c r="F66" s="2">
        <v>0.03</v>
      </c>
      <c r="G66" s="2">
        <v>0.035</v>
      </c>
    </row>
    <row r="67">
      <c r="B67" s="2">
        <v>0.09</v>
      </c>
      <c r="C67" s="5">
        <f>((L33/(1+0.09)^1+M33/(1+0.09)^2+N33/(1+0.09)^3+O33/(1+0.09)^4+P33/(1+0.09)^5+Q33/(1+0.09)^6+R33/(1+0.09)^7+S33/(1+0.09)^8+T33/(1+0.09)^9+U33/(1+0.09)^10+U33*(1+0.015)/(0.09-0.015)/(1+0.09)^10)-$C$52)/$C$58</f>
      </c>
      <c r="D67" s="5">
        <f>((L33/(1+0.09)^1+M33/(1+0.09)^2+N33/(1+0.09)^3+O33/(1+0.09)^4+P33/(1+0.09)^5+Q33/(1+0.09)^6+R33/(1+0.09)^7+S33/(1+0.09)^8+T33/(1+0.09)^9+U33/(1+0.09)^10+U33*(1+0.02)/(0.09-0.02)/(1+0.09)^10)-$C$52)/$C$58</f>
      </c>
      <c r="E67" s="5">
        <f>((L33/(1+0.09)^1+M33/(1+0.09)^2+N33/(1+0.09)^3+O33/(1+0.09)^4+P33/(1+0.09)^5+Q33/(1+0.09)^6+R33/(1+0.09)^7+S33/(1+0.09)^8+T33/(1+0.09)^9+U33/(1+0.09)^10+U33*(1+0.025)/(0.09-0.025)/(1+0.09)^10)-$C$52)/$C$58</f>
      </c>
      <c r="F67" s="5">
        <f>((L33/(1+0.09)^1+M33/(1+0.09)^2+N33/(1+0.09)^3+O33/(1+0.09)^4+P33/(1+0.09)^5+Q33/(1+0.09)^6+R33/(1+0.09)^7+S33/(1+0.09)^8+T33/(1+0.09)^9+U33/(1+0.09)^10+U33*(1+0.03)/(0.09-0.03)/(1+0.09)^10)-$C$52)/$C$58</f>
      </c>
      <c r="G67" s="5">
        <f>((L33/(1+0.09)^1+M33/(1+0.09)^2+N33/(1+0.09)^3+O33/(1+0.09)^4+P33/(1+0.09)^5+Q33/(1+0.09)^6+R33/(1+0.09)^7+S33/(1+0.09)^8+T33/(1+0.09)^9+U33/(1+0.09)^10+U33*(1+0.035)/(0.09-0.035)/(1+0.09)^10)-$C$52)/$C$58</f>
      </c>
    </row>
    <row r="68">
      <c r="B68" s="2">
        <v>0.1</v>
      </c>
      <c r="C68" s="5">
        <f>((L33/(1+0.1)^1+M33/(1+0.1)^2+N33/(1+0.1)^3+O33/(1+0.1)^4+P33/(1+0.1)^5+Q33/(1+0.1)^6+R33/(1+0.1)^7+S33/(1+0.1)^8+T33/(1+0.1)^9+U33/(1+0.1)^10+U33*(1+0.015)/(0.1-0.015)/(1+0.1)^10)-$C$52)/$C$58</f>
      </c>
      <c r="D68" s="5">
        <f>((L33/(1+0.1)^1+M33/(1+0.1)^2+N33/(1+0.1)^3+O33/(1+0.1)^4+P33/(1+0.1)^5+Q33/(1+0.1)^6+R33/(1+0.1)^7+S33/(1+0.1)^8+T33/(1+0.1)^9+U33/(1+0.1)^10+U33*(1+0.02)/(0.1-0.02)/(1+0.1)^10)-$C$52)/$C$58</f>
      </c>
      <c r="E68" s="5">
        <f>((L33/(1+0.1)^1+M33/(1+0.1)^2+N33/(1+0.1)^3+O33/(1+0.1)^4+P33/(1+0.1)^5+Q33/(1+0.1)^6+R33/(1+0.1)^7+S33/(1+0.1)^8+T33/(1+0.1)^9+U33/(1+0.1)^10+U33*(1+0.025)/(0.1-0.025)/(1+0.1)^10)-$C$52)/$C$58</f>
      </c>
      <c r="F68" s="5">
        <f>((L33/(1+0.1)^1+M33/(1+0.1)^2+N33/(1+0.1)^3+O33/(1+0.1)^4+P33/(1+0.1)^5+Q33/(1+0.1)^6+R33/(1+0.1)^7+S33/(1+0.1)^8+T33/(1+0.1)^9+U33/(1+0.1)^10+U33*(1+0.03)/(0.1-0.03)/(1+0.1)^10)-$C$52)/$C$58</f>
      </c>
      <c r="G68" s="5">
        <f>((L33/(1+0.1)^1+M33/(1+0.1)^2+N33/(1+0.1)^3+O33/(1+0.1)^4+P33/(1+0.1)^5+Q33/(1+0.1)^6+R33/(1+0.1)^7+S33/(1+0.1)^8+T33/(1+0.1)^9+U33/(1+0.1)^10+U33*(1+0.035)/(0.1-0.035)/(1+0.1)^10)-$C$52)/$C$58</f>
      </c>
    </row>
    <row r="69">
      <c r="B69" s="2">
        <v>0.105</v>
      </c>
      <c r="C69" s="5">
        <f>((L33/(1+0.105)^1+M33/(1+0.105)^2+N33/(1+0.105)^3+O33/(1+0.105)^4+P33/(1+0.105)^5+Q33/(1+0.105)^6+R33/(1+0.105)^7+S33/(1+0.105)^8+T33/(1+0.105)^9+U33/(1+0.105)^10+U33*(1+0.015)/(0.105-0.015)/(1+0.105)^10)-$C$52)/$C$58</f>
      </c>
      <c r="D69" s="5">
        <f>((L33/(1+0.105)^1+M33/(1+0.105)^2+N33/(1+0.105)^3+O33/(1+0.105)^4+P33/(1+0.105)^5+Q33/(1+0.105)^6+R33/(1+0.105)^7+S33/(1+0.105)^8+T33/(1+0.105)^9+U33/(1+0.105)^10+U33*(1+0.02)/(0.105-0.02)/(1+0.105)^10)-$C$52)/$C$58</f>
      </c>
      <c r="E69" s="5">
        <f>((L33/(1+0.105)^1+M33/(1+0.105)^2+N33/(1+0.105)^3+O33/(1+0.105)^4+P33/(1+0.105)^5+Q33/(1+0.105)^6+R33/(1+0.105)^7+S33/(1+0.105)^8+T33/(1+0.105)^9+U33/(1+0.105)^10+U33*(1+0.025)/(0.105-0.025)/(1+0.105)^10)-$C$52)/$C$58</f>
      </c>
      <c r="F69" s="5">
        <f>((L33/(1+0.105)^1+M33/(1+0.105)^2+N33/(1+0.105)^3+O33/(1+0.105)^4+P33/(1+0.105)^5+Q33/(1+0.105)^6+R33/(1+0.105)^7+S33/(1+0.105)^8+T33/(1+0.105)^9+U33/(1+0.105)^10+U33*(1+0.03)/(0.105-0.03)/(1+0.105)^10)-$C$52)/$C$58</f>
      </c>
      <c r="G69" s="5">
        <f>((L33/(1+0.105)^1+M33/(1+0.105)^2+N33/(1+0.105)^3+O33/(1+0.105)^4+P33/(1+0.105)^5+Q33/(1+0.105)^6+R33/(1+0.105)^7+S33/(1+0.105)^8+T33/(1+0.105)^9+U33/(1+0.105)^10+U33*(1+0.035)/(0.105-0.035)/(1+0.105)^10)-$C$52)/$C$58</f>
      </c>
    </row>
    <row r="70">
      <c r="B70" s="2">
        <v>0.11</v>
      </c>
      <c r="C70" s="5">
        <f>((L33/(1+0.11)^1+M33/(1+0.11)^2+N33/(1+0.11)^3+O33/(1+0.11)^4+P33/(1+0.11)^5+Q33/(1+0.11)^6+R33/(1+0.11)^7+S33/(1+0.11)^8+T33/(1+0.11)^9+U33/(1+0.11)^10+U33*(1+0.015)/(0.11-0.015)/(1+0.11)^10)-$C$52)/$C$58</f>
      </c>
      <c r="D70" s="5">
        <f>((L33/(1+0.11)^1+M33/(1+0.11)^2+N33/(1+0.11)^3+O33/(1+0.11)^4+P33/(1+0.11)^5+Q33/(1+0.11)^6+R33/(1+0.11)^7+S33/(1+0.11)^8+T33/(1+0.11)^9+U33/(1+0.11)^10+U33*(1+0.02)/(0.11-0.02)/(1+0.11)^10)-$C$52)/$C$58</f>
      </c>
      <c r="E70" s="5">
        <f>((L33/(1+0.11)^1+M33/(1+0.11)^2+N33/(1+0.11)^3+O33/(1+0.11)^4+P33/(1+0.11)^5+Q33/(1+0.11)^6+R33/(1+0.11)^7+S33/(1+0.11)^8+T33/(1+0.11)^9+U33/(1+0.11)^10+U33*(1+0.025)/(0.11-0.025)/(1+0.11)^10)-$C$52)/$C$58</f>
      </c>
      <c r="F70" s="5">
        <f>((L33/(1+0.11)^1+M33/(1+0.11)^2+N33/(1+0.11)^3+O33/(1+0.11)^4+P33/(1+0.11)^5+Q33/(1+0.11)^6+R33/(1+0.11)^7+S33/(1+0.11)^8+T33/(1+0.11)^9+U33/(1+0.11)^10+U33*(1+0.03)/(0.11-0.03)/(1+0.11)^10)-$C$52)/$C$58</f>
      </c>
      <c r="G70" s="5">
        <f>((L33/(1+0.11)^1+M33/(1+0.11)^2+N33/(1+0.11)^3+O33/(1+0.11)^4+P33/(1+0.11)^5+Q33/(1+0.11)^6+R33/(1+0.11)^7+S33/(1+0.11)^8+T33/(1+0.11)^9+U33/(1+0.11)^10+U33*(1+0.035)/(0.11-0.035)/(1+0.11)^10)-$C$52)/$C$58</f>
      </c>
    </row>
    <row r="71">
      <c r="B71" s="2">
        <v>0.12</v>
      </c>
      <c r="C71" s="5">
        <f>((L33/(1+0.12)^1+M33/(1+0.12)^2+N33/(1+0.12)^3+O33/(1+0.12)^4+P33/(1+0.12)^5+Q33/(1+0.12)^6+R33/(1+0.12)^7+S33/(1+0.12)^8+T33/(1+0.12)^9+U33/(1+0.12)^10+U33*(1+0.015)/(0.12-0.015)/(1+0.12)^10)-$C$52)/$C$58</f>
      </c>
      <c r="D71" s="5">
        <f>((L33/(1+0.12)^1+M33/(1+0.12)^2+N33/(1+0.12)^3+O33/(1+0.12)^4+P33/(1+0.12)^5+Q33/(1+0.12)^6+R33/(1+0.12)^7+S33/(1+0.12)^8+T33/(1+0.12)^9+U33/(1+0.12)^10+U33*(1+0.02)/(0.12-0.02)/(1+0.12)^10)-$C$52)/$C$58</f>
      </c>
      <c r="E71" s="5">
        <f>((L33/(1+0.12)^1+M33/(1+0.12)^2+N33/(1+0.12)^3+O33/(1+0.12)^4+P33/(1+0.12)^5+Q33/(1+0.12)^6+R33/(1+0.12)^7+S33/(1+0.12)^8+T33/(1+0.12)^9+U33/(1+0.12)^10+U33*(1+0.025)/(0.12-0.025)/(1+0.12)^10)-$C$52)/$C$58</f>
      </c>
      <c r="F71" s="5">
        <f>((L33/(1+0.12)^1+M33/(1+0.12)^2+N33/(1+0.12)^3+O33/(1+0.12)^4+P33/(1+0.12)^5+Q33/(1+0.12)^6+R33/(1+0.12)^7+S33/(1+0.12)^8+T33/(1+0.12)^9+U33/(1+0.12)^10+U33*(1+0.03)/(0.12-0.03)/(1+0.12)^10)-$C$52)/$C$58</f>
      </c>
      <c r="G71" s="5">
        <f>((L33/(1+0.12)^1+M33/(1+0.12)^2+N33/(1+0.12)^3+O33/(1+0.12)^4+P33/(1+0.12)^5+Q33/(1+0.12)^6+R33/(1+0.12)^7+S33/(1+0.12)^8+T33/(1+0.12)^9+U33/(1+0.12)^10+U33*(1+0.035)/(0.12-0.035)/(1+0.12)^10)-$C$52)/$C$58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  <selection pane="bottomRight" activeCell="A2" sqref="A2"/>
    </sheetView>
  </sheetViews>
  <cols>
    <col min="1" max="1" width="28" customWidth="1"/>
    <col min="2" max="2" width="16" customWidth="1"/>
    <col min="3" max="3" width="92" customWidth="1"/>
  </cols>
  <sheetData>
    <row r="1">
      <c r="A1" t="inlineStr" s="1">
        <is>
          <t>WACC / Required Return Inputs</t>
        </is>
      </c>
    </row>
    <row r="2">
      <c r="A2" t="inlineStr">
        <is>
          <t>Risk-free rate</t>
        </is>
      </c>
      <c r="B2" s="6">
        <v>0.0448</v>
      </c>
      <c r="C2" t="inlineStr" s="7">
        <is>
          <t>FRED DGS10 2026-05-27 observation.</t>
        </is>
      </c>
    </row>
    <row r="3">
      <c r="A3" t="inlineStr">
        <is>
          <t>Equity risk premium</t>
        </is>
      </c>
      <c r="B3" s="6">
        <v>0.05</v>
      </c>
      <c r="C3" t="inlineStr" s="7">
        <is>
          <t>Rounded public-market ERP assumption.</t>
        </is>
      </c>
    </row>
    <row r="4">
      <c r="A4" t="inlineStr">
        <is>
          <t>Beta</t>
        </is>
      </c>
      <c r="B4" s="4">
        <v>1.394</v>
      </c>
      <c r="C4" t="inlineStr" s="7">
        <is>
          <t>StockAnalysis 5Y beta snapshot.</t>
        </is>
      </c>
    </row>
    <row r="5">
      <c r="A5" t="inlineStr" s="11">
        <is>
          <t>Cost of equity</t>
        </is>
      </c>
      <c r="B5" s="6">
        <f>B2+B3*B4</f>
        <v>0.11449999999999999</v>
      </c>
      <c r="C5" t="inlineStr" s="7">
        <is>
          <t>CAPM: risk-free + beta * ERP.</t>
        </is>
      </c>
    </row>
    <row r="6">
      <c r="A6" t="inlineStr">
        <is>
          <t>Pre-tax debt cost</t>
        </is>
      </c>
      <c r="B6" s="6">
        <v>0.045</v>
      </c>
      <c r="C6" t="inlineStr" s="7">
        <is>
          <t>Judgmental blended funding cost below current coupon stack; current credit quality and fixed notes.</t>
        </is>
      </c>
    </row>
    <row r="7">
      <c r="A7" t="inlineStr">
        <is>
          <t>Tax rate</t>
        </is>
      </c>
      <c r="B7" s="6">
        <v>0.18</v>
      </c>
      <c r="C7" t="inlineStr" s="7">
        <is>
          <t>Normalized around recent effective cash/GAAP tax rate.</t>
        </is>
      </c>
    </row>
    <row r="8">
      <c r="A8" t="inlineStr">
        <is>
          <t>Market value equity, $m</t>
        </is>
      </c>
      <c r="B8" s="4">
        <f>Model!C7</f>
        <v>39218.41021878</v>
      </c>
      <c r="C8" t="inlineStr" s="7">
        <is>
          <t>May 28 close * current shares.</t>
        </is>
      </c>
    </row>
    <row r="9">
      <c r="A9" t="inlineStr">
        <is>
          <t>Debt, $m</t>
        </is>
      </c>
      <c r="B9" s="4">
        <f>Model!C10</f>
        <v>11670.0</v>
      </c>
      <c r="C9" t="inlineStr" s="7">
        <is>
          <t>Q1 2026 company release / market-data debt bridge.</t>
        </is>
      </c>
    </row>
    <row r="10">
      <c r="A10" t="inlineStr">
        <is>
          <t>Equity weight</t>
        </is>
      </c>
      <c r="B10" s="6">
        <f>B8/(B8+B9)</f>
        <v>0.7706746988198647</v>
      </c>
      <c r="C10" t="inlineStr" s="7">
        <is>
          <t>Market equity / enterprise capital.</t>
        </is>
      </c>
    </row>
    <row r="11">
      <c r="A11" t="inlineStr">
        <is>
          <t>Debt weight</t>
        </is>
      </c>
      <c r="B11" s="6">
        <f>B9/(B8+B9)</f>
        <v>0.22932530118013533</v>
      </c>
      <c r="C11" t="inlineStr" s="7">
        <is>
          <t>Debt / enterprise capital.</t>
        </is>
      </c>
    </row>
    <row r="12">
      <c r="A12" t="inlineStr">
        <is>
          <t>Mechanical WACC</t>
        </is>
      </c>
      <c r="B12" s="6">
        <f>B10*B5+B11*B6*(1-B7)</f>
        <v>0.09670435662842149</v>
      </c>
      <c r="C12" t="inlineStr" s="7">
        <is>
          <t>Tax-adjusted blended cost of capital.</t>
        </is>
      </c>
    </row>
    <row r="13">
      <c r="A13" t="inlineStr" s="11">
        <is>
          <t>Selected discount rate</t>
        </is>
      </c>
      <c r="B13" s="6">
        <v>0.105</v>
      </c>
      <c r="C13" t="inlineStr" s="7">
        <is>
          <t>Rounded above mechanical WACC for branded-checkout turnaround, competition, execution, and consumer-credit/BNPL timing risk.</t>
        </is>
      </c>
    </row>
  </sheetData>
</worksheet>
</file>

<file path=xl/worksheets/sheet3.xml><?xml version="1.0" encoding="utf-8"?>
<worksheet xmlns="http://schemas.openxmlformats.org/spreadsheetml/2006/main">
  <dimension ref="A1:E25"/>
  <sheetViews>
    <sheetView workbookViewId="0">
      <pane xSplit="1" ySplit="3" topLeftCell="B4" activePane="bottomRight" state="frozen"/>
      <selection pane="bottomRight" activeCell="B4" sqref="B4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52" customWidth="1"/>
  </cols>
  <sheetData>
    <row r="1">
      <c r="A1" t="inlineStr" s="1">
        <is>
          <t>Bear / Base / Bull Scenario Summary</t>
        </is>
      </c>
    </row>
    <row r="3">
      <c r="A3" s="2"/>
      <c r="B3" t="inlineStr" s="2">
        <is>
          <t>Bear</t>
        </is>
      </c>
      <c r="C3" t="inlineStr" s="2">
        <is>
          <t>Base</t>
        </is>
      </c>
      <c r="D3" t="inlineStr" s="2">
        <is>
          <t>Bull</t>
        </is>
      </c>
      <c r="E3" t="inlineStr" s="2">
        <is>
          <t>Scenario interpretation</t>
        </is>
      </c>
    </row>
    <row r="4">
      <c r="A4" t="inlineStr" s="11">
        <is>
          <t>Narrative</t>
        </is>
      </c>
      <c r="B4" t="inlineStr" s="7">
        <is>
          <t>Turnaround stalls; branded checkout and Venmo improvements do not offset competitive pressure and capital return slows.</t>
        </is>
      </c>
      <c r="C4" t="inlineStr" s="7">
        <is>
          <t>Modest growth recovery, steady account base, and owner FCF margin rebuild from cost discipline and mix.</t>
        </is>
      </c>
      <c r="D4" t="inlineStr" s="7">
        <is>
          <t>Better branded checkout, Venmo monetization, and PSP mix convert TPV into higher transaction margin dollars.</t>
        </is>
      </c>
      <c r="E4" t="inlineStr" s="7">
        <is>
          <t>Five-year target-price outputs use an owner-FCF exit yield rather than terminal-growth DCF.</t>
        </is>
      </c>
    </row>
    <row r="5">
      <c r="A5" t="inlineStr">
        <is>
          <t>FY2026 revenue growth</t>
        </is>
      </c>
      <c r="B5" s="6">
        <v>0.025</v>
      </c>
      <c r="C5" s="6">
        <v>0.047</v>
      </c>
      <c r="D5" s="6">
        <v>0.065</v>
      </c>
      <c r="E5" s="7"/>
    </row>
    <row r="6">
      <c r="A6" t="inlineStr">
        <is>
          <t>FY2027-FY2030 revenue CAGR</t>
        </is>
      </c>
      <c r="B6" s="6">
        <v>0.02</v>
      </c>
      <c r="C6" s="6">
        <v>0.05</v>
      </c>
      <c r="D6" s="6">
        <v>0.07</v>
      </c>
      <c r="E6" s="7"/>
    </row>
    <row r="7">
      <c r="A7" t="inlineStr">
        <is>
          <t>FY2030 revenue</t>
        </is>
      </c>
      <c r="B7" s="4">
        <f>Model!J4*(1+B5)*(1+B6)^4</f>
      </c>
      <c r="C7" s="4">
        <f>Model!J4*(1+C5)*(1+C6)^4</f>
      </c>
      <c r="D7" s="4">
        <f>Model!J4*(1+D5)*(1+D6)^4</f>
      </c>
      <c r="E7" s="7"/>
    </row>
    <row r="8">
      <c r="A8" t="inlineStr">
        <is>
          <t>FY2030 owner FCF margin</t>
        </is>
      </c>
      <c r="B8" s="6">
        <v>0.125</v>
      </c>
      <c r="C8" s="6">
        <v>0.158</v>
      </c>
      <c r="D8" s="6">
        <v>0.18</v>
      </c>
      <c r="E8" s="7"/>
    </row>
    <row r="9">
      <c r="A9" t="inlineStr">
        <is>
          <t>FY2030 owner FCF</t>
        </is>
      </c>
      <c r="B9" s="4">
        <f>B7*B8</f>
      </c>
      <c r="C9" s="4">
        <f>C7*C8</f>
      </c>
      <c r="D9" s="4">
        <f>D7*D8</f>
      </c>
      <c r="E9" s="7"/>
    </row>
    <row r="10">
      <c r="A10" t="inlineStr">
        <is>
          <t>Exit owner FCF yield</t>
        </is>
      </c>
      <c r="B10" s="6">
        <v>0.09</v>
      </c>
      <c r="C10" s="6">
        <v>0.075</v>
      </c>
      <c r="D10" s="6">
        <v>0.065</v>
      </c>
      <c r="E10" s="7"/>
    </row>
    <row r="11">
      <c r="A11" t="inlineStr">
        <is>
          <t>Exit enterprise value</t>
        </is>
      </c>
      <c r="B11" s="4">
        <f>B9/B10</f>
      </c>
      <c r="C11" s="4">
        <f>C9/C10</f>
      </c>
      <c r="D11" s="4">
        <f>D9/D10</f>
      </c>
      <c r="E11" s="7"/>
    </row>
    <row r="12">
      <c r="A12" t="inlineStr">
        <is>
          <t>Net debt bridge</t>
        </is>
      </c>
      <c r="B12" s="4">
        <f>Model!$C$12</f>
      </c>
      <c r="C12" s="4">
        <f>Model!$C$12</f>
      </c>
      <c r="D12" s="4">
        <f>Model!$C$12</f>
      </c>
      <c r="E12" s="7"/>
    </row>
    <row r="13">
      <c r="A13" t="inlineStr">
        <is>
          <t>FY2030 shares</t>
        </is>
      </c>
      <c r="B13" s="4">
        <f>Model!$C$6*(1-0.005)^5</f>
      </c>
      <c r="C13" s="4">
        <f>Model!$C$6*(1-0.015)^5</f>
      </c>
      <c r="D13" s="4">
        <f>Model!$C$6*(1-0.02)^5</f>
      </c>
      <c r="E13" s="7"/>
    </row>
    <row r="14">
      <c r="A14" t="inlineStr" s="11">
        <is>
          <t>FY2030 target price</t>
        </is>
      </c>
      <c r="B14" s="5">
        <f>(B11-B12)/B13</f>
      </c>
      <c r="C14" s="5">
        <f>(C11-C12)/C13</f>
      </c>
      <c r="D14" s="5">
        <f>(D11-D12)/D13</f>
      </c>
      <c r="E14" s="7"/>
    </row>
    <row r="15">
      <c r="A15" t="inlineStr" s="11">
        <is>
          <t>5Y CAGR from current</t>
        </is>
      </c>
      <c r="B15" s="6">
        <f>(B14/Model!$C$4)^(1/5)-1</f>
      </c>
      <c r="C15" s="6">
        <f>(C14/Model!$C$4)^(1/5)-1</f>
      </c>
      <c r="D15" s="6">
        <f>(D14/Model!$C$4)^(1/5)-1</f>
      </c>
      <c r="E15" s="7"/>
    </row>
    <row r="19">
      <c r="A19" t="inlineStr" s="3">
        <is>
          <t>Scenario Drivers</t>
        </is>
      </c>
    </row>
    <row r="21">
      <c r="A21" t="inlineStr" s="2">
        <is>
          <t>Metric</t>
        </is>
      </c>
      <c r="B21" t="inlineStr" s="2">
        <is>
          <t>Bear</t>
        </is>
      </c>
      <c r="C21" t="inlineStr" s="2">
        <is>
          <t>Base</t>
        </is>
      </c>
      <c r="D21" t="inlineStr" s="2">
        <is>
          <t>Bull</t>
        </is>
      </c>
    </row>
    <row r="22">
      <c r="A22" t="inlineStr" s="11">
        <is>
          <t>Branded checkout / Venmo</t>
        </is>
      </c>
      <c r="B22" t="inlineStr" s="7">
        <is>
          <t>Low conversion gains; account growth flat.</t>
        </is>
      </c>
      <c r="C22" t="inlineStr" s="7">
        <is>
          <t>Checkout UX and rewards help stabilize engagement.</t>
        </is>
      </c>
      <c r="D22" t="inlineStr" s="7">
        <is>
          <t>Higher conversion and wallet utility drive better selection.</t>
        </is>
      </c>
    </row>
    <row r="23">
      <c r="A23" t="inlineStr" s="11">
        <is>
          <t>Transaction margin dollars</t>
        </is>
      </c>
      <c r="B23" t="inlineStr" s="7">
        <is>
          <t>TM$ lags TPV; PSP/Braintree mix remains dilutive.</t>
        </is>
      </c>
      <c r="C23" t="inlineStr" s="7">
        <is>
          <t>TM$ grows low-to-mid single digits with better mix.</t>
        </is>
      </c>
      <c r="D23" t="inlineStr" s="7">
        <is>
          <t>TM$ grows ahead of revenue as pricing/mix improves.</t>
        </is>
      </c>
    </row>
    <row r="24">
      <c r="A24" t="inlineStr" s="11">
        <is>
          <t>Capital return</t>
        </is>
      </c>
      <c r="B24" t="inlineStr" s="7">
        <is>
          <t>Buybacks slow after dividend and leverage/cash needs.</t>
        </is>
      </c>
      <c r="C24" t="inlineStr" s="7">
        <is>
          <t>Buybacks offset dilution and reduce shares about 1-2% annually.</t>
        </is>
      </c>
      <c r="D24" t="inlineStr" s="7">
        <is>
          <t>FCF supports larger repurchases without raising balance-sheet risk.</t>
        </is>
      </c>
    </row>
    <row r="25">
      <c r="A25" t="inlineStr" s="11">
        <is>
          <t>Valuation exit</t>
        </is>
      </c>
      <c r="B25" t="inlineStr" s="7">
        <is>
          <t>11.1x owner FCF.</t>
        </is>
      </c>
      <c r="C25" t="inlineStr" s="7">
        <is>
          <t>13.3x owner FCF.</t>
        </is>
      </c>
      <c r="D25" t="inlineStr" s="7">
        <is>
          <t>15.4x owner FCF.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49"/>
  <sheetViews>
    <sheetView workbookViewId="0">
      <pane xSplit="0" ySplit="1" topLeftCell="A2" activePane="bottomRight" state="frozen"/>
      <selection pane="bottomRight" activeCell="A2" sqref="A2"/>
    </sheetView>
  </sheetViews>
  <cols>
    <col min="1" max="1" width="26" customWidth="1"/>
    <col min="2" max="2" width="16" customWidth="1"/>
    <col min="3" max="3" width="14" customWidth="1"/>
    <col min="4" max="4" width="13" customWidth="1"/>
    <col min="5" max="5" width="14" customWidth="1"/>
    <col min="6" max="6" width="42" customWidth="1"/>
    <col min="7" max="7" width="14" customWidth="1"/>
    <col min="8" max="8" width="38" customWidth="1"/>
    <col min="9" max="9" width="58" customWidth="1"/>
    <col min="10" max="10" width="46" customWidth="1"/>
    <col min="11" max="11" width="18" customWidth="1"/>
  </cols>
  <sheetData>
    <row r="1">
      <c r="A1" t="inlineStr" s="2">
        <is>
          <t>Line item</t>
        </is>
      </c>
      <c r="B1" t="inlineStr" s="2">
        <is>
          <t>Period</t>
        </is>
      </c>
      <c r="C1" t="inlineStr" s="2">
        <is>
          <t>Model value</t>
        </is>
      </c>
      <c r="D1" t="inlineStr" s="2">
        <is>
          <t>Unit</t>
        </is>
      </c>
      <c r="E1" t="inlineStr" s="2">
        <is>
          <t>Primary value</t>
        </is>
      </c>
      <c r="F1" t="inlineStr" s="2">
        <is>
          <t>Primary source</t>
        </is>
      </c>
      <c r="G1" t="inlineStr" s="2">
        <is>
          <t>Secondary value</t>
        </is>
      </c>
      <c r="H1" t="inlineStr" s="2">
        <is>
          <t>Secondary source</t>
        </is>
      </c>
      <c r="I1" t="inlineStr" s="2">
        <is>
          <t>Second secondary / note</t>
        </is>
      </c>
      <c r="J1" t="inlineStr" s="2">
        <is>
          <t>Resolution</t>
        </is>
      </c>
      <c r="K1" t="inlineStr" s="2">
        <is>
          <t>Model cell</t>
        </is>
      </c>
    </row>
    <row r="2">
      <c r="A2" t="inlineStr" s="11">
        <is>
          <t>Revenue</t>
        </is>
      </c>
      <c r="B2" t="inlineStr">
        <is>
          <t>FY2023</t>
        </is>
      </c>
      <c r="C2" s="4">
        <v>29771.0</v>
      </c>
      <c r="D2" t="inlineStr">
        <is>
          <t>USD mm</t>
        </is>
      </c>
      <c r="E2" s="4">
        <v>29771.0</v>
      </c>
      <c r="F2" t="inlineStr" s="7">
        <is>
          <t>SEC companyfacts / FY2025 Form 10-K, filed 2026-02-03</t>
        </is>
      </c>
      <c r="G2" s="4">
        <v>29771.0</v>
      </c>
      <c r="H2" t="inlineStr" s="7">
        <is>
          <t>StockAnalysis financial tables, updated 2026-05-05</t>
        </is>
      </c>
      <c r="I2" t="inlineStr" s="7">
        <is>
          <t>CompaniesMarketCap provides revenue and pretax-income cross-checks; other lines use StockAnalysis as visible secondary financial table.</t>
        </is>
      </c>
      <c r="J2" t="inlineStr" s="7">
        <is>
          <t>Used StockAnalysis visible table where SEC taxonomy grouping differs.</t>
        </is>
      </c>
      <c r="K2" t="inlineStr" s="7">
        <is>
          <t>Model!H4</t>
        </is>
      </c>
    </row>
    <row r="3">
      <c r="A3" t="inlineStr">
        <is>
          <t>Revenue</t>
        </is>
      </c>
      <c r="B3" t="inlineStr">
        <is>
          <t>FY2024</t>
        </is>
      </c>
      <c r="C3" s="4">
        <v>31797.0</v>
      </c>
      <c r="D3" t="inlineStr">
        <is>
          <t>USD mm</t>
        </is>
      </c>
      <c r="E3" s="4">
        <v>31797.0</v>
      </c>
      <c r="F3" t="inlineStr" s="7">
        <is>
          <t>SEC companyfacts / FY2025 Form 10-K, filed 2026-02-03</t>
        </is>
      </c>
      <c r="G3" s="4">
        <v>31797.0</v>
      </c>
      <c r="H3" t="inlineStr" s="7">
        <is>
          <t>StockAnalysis financial tables, updated 2026-05-05</t>
        </is>
      </c>
      <c r="I3" t="inlineStr" s="7">
        <is>
          <t>CompaniesMarketCap provides revenue and pretax-income cross-checks; other lines use StockAnalysis as visible secondary financial table.</t>
        </is>
      </c>
      <c r="J3" t="inlineStr" s="7">
        <is>
          <t>Used StockAnalysis visible table where SEC taxonomy grouping differs.</t>
        </is>
      </c>
      <c r="K3" t="inlineStr" s="7">
        <is>
          <t>Model!I4</t>
        </is>
      </c>
    </row>
    <row r="4">
      <c r="A4" t="inlineStr">
        <is>
          <t>Revenue</t>
        </is>
      </c>
      <c r="B4" t="inlineStr">
        <is>
          <t>FY2025</t>
        </is>
      </c>
      <c r="C4" s="4">
        <v>33172.0</v>
      </c>
      <c r="D4" t="inlineStr">
        <is>
          <t>USD mm</t>
        </is>
      </c>
      <c r="E4" s="4">
        <v>33172.0</v>
      </c>
      <c r="F4" t="inlineStr" s="7">
        <is>
          <t>SEC companyfacts / FY2025 Form 10-K, filed 2026-02-03</t>
        </is>
      </c>
      <c r="G4" s="4">
        <v>33172.0</v>
      </c>
      <c r="H4" t="inlineStr" s="7">
        <is>
          <t>StockAnalysis financial tables, updated 2026-05-05</t>
        </is>
      </c>
      <c r="I4" t="inlineStr" s="7">
        <is>
          <t>CompaniesMarketCap provides revenue and pretax-income cross-checks; other lines use StockAnalysis as visible secondary financial table.</t>
        </is>
      </c>
      <c r="J4" t="inlineStr" s="7">
        <is>
          <t>Used StockAnalysis visible table where SEC taxonomy grouping differs.</t>
        </is>
      </c>
      <c r="K4" t="inlineStr" s="7">
        <is>
          <t>Model!J4</t>
        </is>
      </c>
    </row>
    <row r="5">
      <c r="A5" t="inlineStr">
        <is>
          <t>Revenue</t>
        </is>
      </c>
      <c r="B5" t="inlineStr">
        <is>
          <t>TTM 3/31/26</t>
        </is>
      </c>
      <c r="C5" s="4">
        <v>33734.0</v>
      </c>
      <c r="D5" t="inlineStr">
        <is>
          <t>USD mm</t>
        </is>
      </c>
      <c r="E5" s="4">
        <v>33734.0</v>
      </c>
      <c r="F5" t="inlineStr" s="7">
        <is>
          <t>SEC companyfacts / Q1 2026 Form 10-Q, filed 2026-05-05; TTM = FY2025 + Q1 2026 - Q1 2025</t>
        </is>
      </c>
      <c r="G5" s="4">
        <v>33734.0</v>
      </c>
      <c r="H5" t="inlineStr" s="7">
        <is>
          <t>StockAnalysis financial tables, updated 2026-05-05</t>
        </is>
      </c>
      <c r="I5" t="inlineStr" s="7">
        <is>
          <t>CompaniesMarketCap provides revenue and pretax-income cross-checks; other lines use StockAnalysis as visible secondary financial table.</t>
        </is>
      </c>
      <c r="J5" t="inlineStr" s="7">
        <is>
          <t>Used StockAnalysis visible table where SEC taxonomy grouping differs.</t>
        </is>
      </c>
      <c r="K5" t="inlineStr" s="7">
        <is>
          <t>Model!K4</t>
        </is>
      </c>
    </row>
    <row r="6">
      <c r="A6" t="inlineStr" s="11">
        <is>
          <t>Operating income</t>
        </is>
      </c>
      <c r="B6" t="inlineStr">
        <is>
          <t>FY2023</t>
        </is>
      </c>
      <c r="C6" s="4">
        <v>5028.0</v>
      </c>
      <c r="D6" t="inlineStr">
        <is>
          <t>USD mm</t>
        </is>
      </c>
      <c r="E6" s="4">
        <v>5028.0</v>
      </c>
      <c r="F6" t="inlineStr" s="7">
        <is>
          <t>SEC companyfacts / FY2025 Form 10-K, filed 2026-02-03</t>
        </is>
      </c>
      <c r="G6" s="4">
        <v>5028.0</v>
      </c>
      <c r="H6" t="inlineStr" s="7">
        <is>
          <t>StockAnalysis financial tables, updated 2026-05-05</t>
        </is>
      </c>
      <c r="I6" t="inlineStr" s="7">
        <is>
          <t>Second visible secondary unavailable or not used for this line; Yahoo endpoint returned Too Many Requests and Macrotrends was Cloudflare-blocked.</t>
        </is>
      </c>
      <c r="J6" t="inlineStr" s="7">
        <is>
          <t>Ties within rounding; SEC/company filings used as source of truth.</t>
        </is>
      </c>
      <c r="K6" t="inlineStr" s="7">
        <is>
          <t>Model!H16</t>
        </is>
      </c>
    </row>
    <row r="7">
      <c r="A7" t="inlineStr">
        <is>
          <t>Operating income</t>
        </is>
      </c>
      <c r="B7" t="inlineStr">
        <is>
          <t>FY2024</t>
        </is>
      </c>
      <c r="C7" s="4">
        <v>5325.0</v>
      </c>
      <c r="D7" t="inlineStr">
        <is>
          <t>USD mm</t>
        </is>
      </c>
      <c r="E7" s="4">
        <v>5325.0</v>
      </c>
      <c r="F7" t="inlineStr" s="7">
        <is>
          <t>SEC companyfacts / FY2025 Form 10-K, filed 2026-02-03</t>
        </is>
      </c>
      <c r="G7" s="4">
        <v>5325.0</v>
      </c>
      <c r="H7" t="inlineStr" s="7">
        <is>
          <t>StockAnalysis financial tables, updated 2026-05-05</t>
        </is>
      </c>
      <c r="I7" t="inlineStr" s="7">
        <is>
          <t>Second visible secondary unavailable or not used for this line; Yahoo endpoint returned Too Many Requests and Macrotrends was Cloudflare-blocked.</t>
        </is>
      </c>
      <c r="J7" t="inlineStr" s="7">
        <is>
          <t>Ties within rounding; SEC/company filings used as source of truth.</t>
        </is>
      </c>
      <c r="K7" t="inlineStr" s="7">
        <is>
          <t>Model!I16</t>
        </is>
      </c>
    </row>
    <row r="8">
      <c r="A8" t="inlineStr">
        <is>
          <t>Operating income</t>
        </is>
      </c>
      <c r="B8" t="inlineStr">
        <is>
          <t>FY2025</t>
        </is>
      </c>
      <c r="C8" s="4">
        <v>6065.0</v>
      </c>
      <c r="D8" t="inlineStr">
        <is>
          <t>USD mm</t>
        </is>
      </c>
      <c r="E8" s="4">
        <v>6065.0</v>
      </c>
      <c r="F8" t="inlineStr" s="7">
        <is>
          <t>SEC companyfacts / FY2025 Form 10-K, filed 2026-02-03</t>
        </is>
      </c>
      <c r="G8" s="4">
        <v>6065.0</v>
      </c>
      <c r="H8" t="inlineStr" s="7">
        <is>
          <t>StockAnalysis financial tables, updated 2026-05-05</t>
        </is>
      </c>
      <c r="I8" t="inlineStr" s="7">
        <is>
          <t>Second visible secondary unavailable or not used for this line; Yahoo endpoint returned Too Many Requests and Macrotrends was Cloudflare-blocked.</t>
        </is>
      </c>
      <c r="J8" t="inlineStr" s="7">
        <is>
          <t>Ties within rounding; SEC/company filings used as source of truth.</t>
        </is>
      </c>
      <c r="K8" t="inlineStr" s="7">
        <is>
          <t>Model!J16</t>
        </is>
      </c>
    </row>
    <row r="9">
      <c r="A9" t="inlineStr">
        <is>
          <t>Operating income</t>
        </is>
      </c>
      <c r="B9" t="inlineStr">
        <is>
          <t>TTM 3/31/26</t>
        </is>
      </c>
      <c r="C9" s="4">
        <v>6023.0</v>
      </c>
      <c r="D9" t="inlineStr">
        <is>
          <t>USD mm</t>
        </is>
      </c>
      <c r="E9" s="4">
        <v>6023.0</v>
      </c>
      <c r="F9" t="inlineStr" s="7">
        <is>
          <t>SEC companyfacts / Q1 2026 Form 10-Q, filed 2026-05-05; TTM = FY2025 + Q1 2026 - Q1 2025</t>
        </is>
      </c>
      <c r="G9" s="4">
        <v>6023.0</v>
      </c>
      <c r="H9" t="inlineStr" s="7">
        <is>
          <t>StockAnalysis financial tables, updated 2026-05-05</t>
        </is>
      </c>
      <c r="I9" t="inlineStr" s="7">
        <is>
          <t>Second visible secondary unavailable or not used for this line; Yahoo endpoint returned Too Many Requests and Macrotrends was Cloudflare-blocked.</t>
        </is>
      </c>
      <c r="J9" t="inlineStr" s="7">
        <is>
          <t>Ties within rounding; SEC/company filings used as source of truth.</t>
        </is>
      </c>
      <c r="K9" t="inlineStr" s="7">
        <is>
          <t>Model!K16</t>
        </is>
      </c>
    </row>
    <row r="10">
      <c r="A10" t="inlineStr" s="11">
        <is>
          <t>Pretax income</t>
        </is>
      </c>
      <c r="B10" t="inlineStr">
        <is>
          <t>FY2023</t>
        </is>
      </c>
      <c r="C10" s="4">
        <v>5411.0</v>
      </c>
      <c r="D10" t="inlineStr">
        <is>
          <t>USD mm</t>
        </is>
      </c>
      <c r="E10" s="4">
        <v>5411.0</v>
      </c>
      <c r="F10" t="inlineStr" s="7">
        <is>
          <t>SEC companyfacts / FY2025 Form 10-K, filed 2026-02-03</t>
        </is>
      </c>
      <c r="G10" s="4">
        <v>5411.0</v>
      </c>
      <c r="H10" t="inlineStr" s="7">
        <is>
          <t>StockAnalysis financial tables, updated 2026-05-05</t>
        </is>
      </c>
      <c r="I10" t="inlineStr" s="7">
        <is>
          <t>CompaniesMarketCap provides revenue and pretax-income cross-checks; other lines use StockAnalysis as visible secondary financial table.</t>
        </is>
      </c>
      <c r="J10" t="inlineStr" s="7">
        <is>
          <t>Used StockAnalysis visible table where SEC taxonomy grouping differs.</t>
        </is>
      </c>
      <c r="K10" t="inlineStr" s="7">
        <is>
          <t>Model!H19</t>
        </is>
      </c>
    </row>
    <row r="11">
      <c r="A11" t="inlineStr">
        <is>
          <t>Pretax income</t>
        </is>
      </c>
      <c r="B11" t="inlineStr">
        <is>
          <t>FY2024</t>
        </is>
      </c>
      <c r="C11" s="4">
        <v>5329.0</v>
      </c>
      <c r="D11" t="inlineStr">
        <is>
          <t>USD mm</t>
        </is>
      </c>
      <c r="E11" s="4">
        <v>5329.0</v>
      </c>
      <c r="F11" t="inlineStr" s="7">
        <is>
          <t>SEC companyfacts / FY2025 Form 10-K, filed 2026-02-03</t>
        </is>
      </c>
      <c r="G11" s="4">
        <v>5329.0</v>
      </c>
      <c r="H11" t="inlineStr" s="7">
        <is>
          <t>StockAnalysis financial tables, updated 2026-05-05</t>
        </is>
      </c>
      <c r="I11" t="inlineStr" s="7">
        <is>
          <t>CompaniesMarketCap provides revenue and pretax-income cross-checks; other lines use StockAnalysis as visible secondary financial table.</t>
        </is>
      </c>
      <c r="J11" t="inlineStr" s="7">
        <is>
          <t>Used StockAnalysis visible table where SEC taxonomy grouping differs.</t>
        </is>
      </c>
      <c r="K11" t="inlineStr" s="7">
        <is>
          <t>Model!I19</t>
        </is>
      </c>
    </row>
    <row r="12">
      <c r="A12" t="inlineStr">
        <is>
          <t>Pretax income</t>
        </is>
      </c>
      <c r="B12" t="inlineStr">
        <is>
          <t>FY2025</t>
        </is>
      </c>
      <c r="C12" s="4">
        <v>6292.0</v>
      </c>
      <c r="D12" t="inlineStr">
        <is>
          <t>USD mm</t>
        </is>
      </c>
      <c r="E12" s="4">
        <v>6292.0</v>
      </c>
      <c r="F12" t="inlineStr" s="7">
        <is>
          <t>SEC companyfacts / FY2025 Form 10-K, filed 2026-02-03</t>
        </is>
      </c>
      <c r="G12" s="4">
        <v>6292.0</v>
      </c>
      <c r="H12" t="inlineStr" s="7">
        <is>
          <t>StockAnalysis financial tables, updated 2026-05-05</t>
        </is>
      </c>
      <c r="I12" t="inlineStr" s="7">
        <is>
          <t>CompaniesMarketCap provides revenue and pretax-income cross-checks; other lines use StockAnalysis as visible secondary financial table.</t>
        </is>
      </c>
      <c r="J12" t="inlineStr" s="7">
        <is>
          <t>Used StockAnalysis visible table where SEC taxonomy grouping differs.</t>
        </is>
      </c>
      <c r="K12" t="inlineStr" s="7">
        <is>
          <t>Model!J19</t>
        </is>
      </c>
    </row>
    <row r="13">
      <c r="A13" t="inlineStr">
        <is>
          <t>Pretax income</t>
        </is>
      </c>
      <c r="B13" t="inlineStr">
        <is>
          <t>TTM 3/31/26</t>
        </is>
      </c>
      <c r="C13" s="4">
        <v>6082.0</v>
      </c>
      <c r="D13" t="inlineStr">
        <is>
          <t>USD mm</t>
        </is>
      </c>
      <c r="E13" s="4">
        <v>6082.0</v>
      </c>
      <c r="F13" t="inlineStr" s="7">
        <is>
          <t>SEC companyfacts / Q1 2026 Form 10-Q, filed 2026-05-05; TTM = FY2025 + Q1 2026 - Q1 2025</t>
        </is>
      </c>
      <c r="G13" s="4">
        <v>6082.0</v>
      </c>
      <c r="H13" t="inlineStr" s="7">
        <is>
          <t>StockAnalysis financial tables, updated 2026-05-05</t>
        </is>
      </c>
      <c r="I13" t="inlineStr" s="7">
        <is>
          <t>CompaniesMarketCap provides revenue and pretax-income cross-checks; other lines use StockAnalysis as visible secondary financial table.</t>
        </is>
      </c>
      <c r="J13" t="inlineStr" s="7">
        <is>
          <t>Used StockAnalysis visible table where SEC taxonomy grouping differs.</t>
        </is>
      </c>
      <c r="K13" t="inlineStr" s="7">
        <is>
          <t>Model!K19</t>
        </is>
      </c>
    </row>
    <row r="14">
      <c r="A14" t="inlineStr" s="11">
        <is>
          <t>Net income</t>
        </is>
      </c>
      <c r="B14" t="inlineStr">
        <is>
          <t>FY2023</t>
        </is>
      </c>
      <c r="C14" s="4">
        <v>4246.0</v>
      </c>
      <c r="D14" t="inlineStr">
        <is>
          <t>USD mm</t>
        </is>
      </c>
      <c r="E14" s="4">
        <v>4246.0</v>
      </c>
      <c r="F14" t="inlineStr" s="7">
        <is>
          <t>SEC companyfacts / FY2025 Form 10-K, filed 2026-02-03</t>
        </is>
      </c>
      <c r="G14" s="4">
        <v>4246.0</v>
      </c>
      <c r="H14" t="inlineStr" s="7">
        <is>
          <t>StockAnalysis financial tables, updated 2026-05-05</t>
        </is>
      </c>
      <c r="I14" t="inlineStr" s="7">
        <is>
          <t>Second visible secondary unavailable or not used for this line; Yahoo endpoint returned Too Many Requests and Macrotrends was Cloudflare-blocked.</t>
        </is>
      </c>
      <c r="J14" t="inlineStr" s="7">
        <is>
          <t>Ties within rounding; SEC/company filings used as source of truth.</t>
        </is>
      </c>
      <c r="K14" t="inlineStr" s="7">
        <is>
          <t>Model!H22</t>
        </is>
      </c>
    </row>
    <row r="15">
      <c r="A15" t="inlineStr">
        <is>
          <t>Net income</t>
        </is>
      </c>
      <c r="B15" t="inlineStr">
        <is>
          <t>FY2024</t>
        </is>
      </c>
      <c r="C15" s="4">
        <v>4147.0</v>
      </c>
      <c r="D15" t="inlineStr">
        <is>
          <t>USD mm</t>
        </is>
      </c>
      <c r="E15" s="4">
        <v>4147.0</v>
      </c>
      <c r="F15" t="inlineStr" s="7">
        <is>
          <t>SEC companyfacts / FY2025 Form 10-K, filed 2026-02-03</t>
        </is>
      </c>
      <c r="G15" s="4">
        <v>4147.0</v>
      </c>
      <c r="H15" t="inlineStr" s="7">
        <is>
          <t>StockAnalysis financial tables, updated 2026-05-05</t>
        </is>
      </c>
      <c r="I15" t="inlineStr" s="7">
        <is>
          <t>Second visible secondary unavailable or not used for this line; Yahoo endpoint returned Too Many Requests and Macrotrends was Cloudflare-blocked.</t>
        </is>
      </c>
      <c r="J15" t="inlineStr" s="7">
        <is>
          <t>Ties within rounding; SEC/company filings used as source of truth.</t>
        </is>
      </c>
      <c r="K15" t="inlineStr" s="7">
        <is>
          <t>Model!I22</t>
        </is>
      </c>
    </row>
    <row r="16">
      <c r="A16" t="inlineStr">
        <is>
          <t>Net income</t>
        </is>
      </c>
      <c r="B16" t="inlineStr">
        <is>
          <t>FY2025</t>
        </is>
      </c>
      <c r="C16" s="4">
        <v>5233.0</v>
      </c>
      <c r="D16" t="inlineStr">
        <is>
          <t>USD mm</t>
        </is>
      </c>
      <c r="E16" s="4">
        <v>5233.0</v>
      </c>
      <c r="F16" t="inlineStr" s="7">
        <is>
          <t>SEC companyfacts / FY2025 Form 10-K, filed 2026-02-03</t>
        </is>
      </c>
      <c r="G16" s="4">
        <v>5233.0</v>
      </c>
      <c r="H16" t="inlineStr" s="7">
        <is>
          <t>StockAnalysis financial tables, updated 2026-05-05</t>
        </is>
      </c>
      <c r="I16" t="inlineStr" s="7">
        <is>
          <t>Second visible secondary unavailable or not used for this line; Yahoo endpoint returned Too Many Requests and Macrotrends was Cloudflare-blocked.</t>
        </is>
      </c>
      <c r="J16" t="inlineStr" s="7">
        <is>
          <t>Ties within rounding; SEC/company filings used as source of truth.</t>
        </is>
      </c>
      <c r="K16" t="inlineStr" s="7">
        <is>
          <t>Model!J22</t>
        </is>
      </c>
    </row>
    <row r="17">
      <c r="A17" t="inlineStr">
        <is>
          <t>Net income</t>
        </is>
      </c>
      <c r="B17" t="inlineStr">
        <is>
          <t>TTM 3/31/26</t>
        </is>
      </c>
      <c r="C17" s="4">
        <v>5059.0</v>
      </c>
      <c r="D17" t="inlineStr">
        <is>
          <t>USD mm</t>
        </is>
      </c>
      <c r="E17" s="4">
        <v>5059.0</v>
      </c>
      <c r="F17" t="inlineStr" s="7">
        <is>
          <t>SEC companyfacts / Q1 2026 Form 10-Q, filed 2026-05-05; TTM = FY2025 + Q1 2026 - Q1 2025</t>
        </is>
      </c>
      <c r="G17" s="4">
        <v>5059.0</v>
      </c>
      <c r="H17" t="inlineStr" s="7">
        <is>
          <t>StockAnalysis financial tables, updated 2026-05-05</t>
        </is>
      </c>
      <c r="I17" t="inlineStr" s="7">
        <is>
          <t>Second visible secondary unavailable or not used for this line; Yahoo endpoint returned Too Many Requests and Macrotrends was Cloudflare-blocked.</t>
        </is>
      </c>
      <c r="J17" t="inlineStr" s="7">
        <is>
          <t>Ties within rounding; SEC/company filings used as source of truth.</t>
        </is>
      </c>
      <c r="K17" t="inlineStr" s="7">
        <is>
          <t>Model!K22</t>
        </is>
      </c>
    </row>
    <row r="18">
      <c r="A18" t="inlineStr" s="11">
        <is>
          <t>Operating cash flow</t>
        </is>
      </c>
      <c r="B18" t="inlineStr">
        <is>
          <t>FY2023</t>
        </is>
      </c>
      <c r="C18" s="4">
        <v>4843.0</v>
      </c>
      <c r="D18" t="inlineStr">
        <is>
          <t>USD mm</t>
        </is>
      </c>
      <c r="E18" s="4">
        <v>4843.0</v>
      </c>
      <c r="F18" t="inlineStr" s="7">
        <is>
          <t>SEC companyfacts / FY2025 Form 10-K, filed 2026-02-03</t>
        </is>
      </c>
      <c r="G18" s="4">
        <v>4843.0</v>
      </c>
      <c r="H18" t="inlineStr" s="7">
        <is>
          <t>StockAnalysis financial tables, updated 2026-05-05</t>
        </is>
      </c>
      <c r="I18" t="inlineStr" s="7">
        <is>
          <t>Second visible secondary unavailable or not used for this line; Yahoo endpoint returned Too Many Requests and Macrotrends was Cloudflare-blocked.</t>
        </is>
      </c>
      <c r="J18" t="inlineStr" s="7">
        <is>
          <t>Ties within rounding; SEC/company filings used as source of truth.</t>
        </is>
      </c>
      <c r="K18" t="inlineStr" s="7">
        <is>
          <t>Model!H27</t>
        </is>
      </c>
    </row>
    <row r="19">
      <c r="A19" t="inlineStr">
        <is>
          <t>Operating cash flow</t>
        </is>
      </c>
      <c r="B19" t="inlineStr">
        <is>
          <t>FY2024</t>
        </is>
      </c>
      <c r="C19" s="4">
        <v>7450.0</v>
      </c>
      <c r="D19" t="inlineStr">
        <is>
          <t>USD mm</t>
        </is>
      </c>
      <c r="E19" s="4">
        <v>7450.0</v>
      </c>
      <c r="F19" t="inlineStr" s="7">
        <is>
          <t>SEC companyfacts / FY2025 Form 10-K, filed 2026-02-03</t>
        </is>
      </c>
      <c r="G19" s="4">
        <v>7450.0</v>
      </c>
      <c r="H19" t="inlineStr" s="7">
        <is>
          <t>StockAnalysis financial tables, updated 2026-05-05</t>
        </is>
      </c>
      <c r="I19" t="inlineStr" s="7">
        <is>
          <t>Second visible secondary unavailable or not used for this line; Yahoo endpoint returned Too Many Requests and Macrotrends was Cloudflare-blocked.</t>
        </is>
      </c>
      <c r="J19" t="inlineStr" s="7">
        <is>
          <t>Ties within rounding; SEC/company filings used as source of truth.</t>
        </is>
      </c>
      <c r="K19" t="inlineStr" s="7">
        <is>
          <t>Model!I27</t>
        </is>
      </c>
    </row>
    <row r="20">
      <c r="A20" t="inlineStr">
        <is>
          <t>Operating cash flow</t>
        </is>
      </c>
      <c r="B20" t="inlineStr">
        <is>
          <t>FY2025</t>
        </is>
      </c>
      <c r="C20" s="4">
        <v>6416.0</v>
      </c>
      <c r="D20" t="inlineStr">
        <is>
          <t>USD mm</t>
        </is>
      </c>
      <c r="E20" s="4">
        <v>6416.0</v>
      </c>
      <c r="F20" t="inlineStr" s="7">
        <is>
          <t>SEC companyfacts / FY2025 Form 10-K, filed 2026-02-03</t>
        </is>
      </c>
      <c r="G20" s="4">
        <v>6416.0</v>
      </c>
      <c r="H20" t="inlineStr" s="7">
        <is>
          <t>StockAnalysis financial tables, updated 2026-05-05</t>
        </is>
      </c>
      <c r="I20" t="inlineStr" s="7">
        <is>
          <t>Second visible secondary unavailable or not used for this line; Yahoo endpoint returned Too Many Requests and Macrotrends was Cloudflare-blocked.</t>
        </is>
      </c>
      <c r="J20" t="inlineStr" s="7">
        <is>
          <t>Ties within rounding; SEC/company filings used as source of truth.</t>
        </is>
      </c>
      <c r="K20" t="inlineStr" s="7">
        <is>
          <t>Model!J27</t>
        </is>
      </c>
    </row>
    <row r="21">
      <c r="A21" t="inlineStr">
        <is>
          <t>Operating cash flow</t>
        </is>
      </c>
      <c r="B21" t="inlineStr">
        <is>
          <t>TTM 3/31/26</t>
        </is>
      </c>
      <c r="C21" s="4">
        <v>6390.0</v>
      </c>
      <c r="D21" t="inlineStr">
        <is>
          <t>USD mm</t>
        </is>
      </c>
      <c r="E21" s="4">
        <v>6390.0</v>
      </c>
      <c r="F21" t="inlineStr" s="7">
        <is>
          <t>SEC companyfacts / Q1 2026 Form 10-Q, filed 2026-05-05; TTM = FY2025 + Q1 2026 - Q1 2025</t>
        </is>
      </c>
      <c r="G21" s="4">
        <v>6390.0</v>
      </c>
      <c r="H21" t="inlineStr" s="7">
        <is>
          <t>StockAnalysis financial tables, updated 2026-05-05</t>
        </is>
      </c>
      <c r="I21" t="inlineStr" s="7">
        <is>
          <t>Second visible secondary unavailable or not used for this line; Yahoo endpoint returned Too Many Requests and Macrotrends was Cloudflare-blocked.</t>
        </is>
      </c>
      <c r="J21" t="inlineStr" s="7">
        <is>
          <t>Ties within rounding; SEC/company filings used as source of truth.</t>
        </is>
      </c>
      <c r="K21" t="inlineStr" s="7">
        <is>
          <t>Model!K27</t>
        </is>
      </c>
    </row>
    <row r="22">
      <c r="A22" t="inlineStr" s="11">
        <is>
          <t>Capex</t>
        </is>
      </c>
      <c r="B22" t="inlineStr">
        <is>
          <t>FY2023</t>
        </is>
      </c>
      <c r="C22" s="4">
        <v>-623.0</v>
      </c>
      <c r="D22" t="inlineStr">
        <is>
          <t>USD mm</t>
        </is>
      </c>
      <c r="E22" s="4">
        <v>-623.0</v>
      </c>
      <c r="F22" t="inlineStr" s="7">
        <is>
          <t>SEC companyfacts / FY2025 Form 10-K, filed 2026-02-03</t>
        </is>
      </c>
      <c r="G22" s="4">
        <v>-623.0</v>
      </c>
      <c r="H22" t="inlineStr" s="7">
        <is>
          <t>StockAnalysis financial tables, updated 2026-05-05</t>
        </is>
      </c>
      <c r="I22" t="inlineStr" s="7">
        <is>
          <t>Second visible secondary unavailable or not used for this line; Yahoo endpoint returned Too Many Requests and Macrotrends was Cloudflare-blocked.</t>
        </is>
      </c>
      <c r="J22" t="inlineStr" s="7">
        <is>
          <t>Ties within rounding; SEC/company filings used as source of truth.</t>
        </is>
      </c>
      <c r="K22" t="inlineStr" s="7">
        <is>
          <t>Model!H28</t>
        </is>
      </c>
    </row>
    <row r="23">
      <c r="A23" t="inlineStr">
        <is>
          <t>Capex</t>
        </is>
      </c>
      <c r="B23" t="inlineStr">
        <is>
          <t>FY2024</t>
        </is>
      </c>
      <c r="C23" s="4">
        <v>-683.0</v>
      </c>
      <c r="D23" t="inlineStr">
        <is>
          <t>USD mm</t>
        </is>
      </c>
      <c r="E23" s="4">
        <v>-683.0</v>
      </c>
      <c r="F23" t="inlineStr" s="7">
        <is>
          <t>SEC companyfacts / FY2025 Form 10-K, filed 2026-02-03</t>
        </is>
      </c>
      <c r="G23" s="4">
        <v>-683.0</v>
      </c>
      <c r="H23" t="inlineStr" s="7">
        <is>
          <t>StockAnalysis financial tables, updated 2026-05-05</t>
        </is>
      </c>
      <c r="I23" t="inlineStr" s="7">
        <is>
          <t>Second visible secondary unavailable or not used for this line; Yahoo endpoint returned Too Many Requests and Macrotrends was Cloudflare-blocked.</t>
        </is>
      </c>
      <c r="J23" t="inlineStr" s="7">
        <is>
          <t>Ties within rounding; SEC/company filings used as source of truth.</t>
        </is>
      </c>
      <c r="K23" t="inlineStr" s="7">
        <is>
          <t>Model!I28</t>
        </is>
      </c>
    </row>
    <row r="24">
      <c r="A24" t="inlineStr">
        <is>
          <t>Capex</t>
        </is>
      </c>
      <c r="B24" t="inlineStr">
        <is>
          <t>FY2025</t>
        </is>
      </c>
      <c r="C24" s="4">
        <v>-852.0</v>
      </c>
      <c r="D24" t="inlineStr">
        <is>
          <t>USD mm</t>
        </is>
      </c>
      <c r="E24" s="4">
        <v>-852.0</v>
      </c>
      <c r="F24" t="inlineStr" s="7">
        <is>
          <t>SEC companyfacts / FY2025 Form 10-K, filed 2026-02-03</t>
        </is>
      </c>
      <c r="G24" s="4">
        <v>-852.0</v>
      </c>
      <c r="H24" t="inlineStr" s="7">
        <is>
          <t>StockAnalysis financial tables, updated 2026-05-05</t>
        </is>
      </c>
      <c r="I24" t="inlineStr" s="7">
        <is>
          <t>Second visible secondary unavailable or not used for this line; Yahoo endpoint returned Too Many Requests and Macrotrends was Cloudflare-blocked.</t>
        </is>
      </c>
      <c r="J24" t="inlineStr" s="7">
        <is>
          <t>Ties within rounding; SEC/company filings used as source of truth.</t>
        </is>
      </c>
      <c r="K24" t="inlineStr" s="7">
        <is>
          <t>Model!J28</t>
        </is>
      </c>
    </row>
    <row r="25">
      <c r="A25" t="inlineStr">
        <is>
          <t>Capex</t>
        </is>
      </c>
      <c r="B25" t="inlineStr">
        <is>
          <t>TTM 3/31/26</t>
        </is>
      </c>
      <c r="C25" s="4">
        <v>-887.0</v>
      </c>
      <c r="D25" t="inlineStr">
        <is>
          <t>USD mm</t>
        </is>
      </c>
      <c r="E25" s="4">
        <v>-887.0</v>
      </c>
      <c r="F25" t="inlineStr" s="7">
        <is>
          <t>SEC companyfacts / Q1 2026 Form 10-Q, filed 2026-05-05; TTM = FY2025 + Q1 2026 - Q1 2025</t>
        </is>
      </c>
      <c r="G25" s="4">
        <v>-887.0</v>
      </c>
      <c r="H25" t="inlineStr" s="7">
        <is>
          <t>StockAnalysis financial tables, updated 2026-05-05</t>
        </is>
      </c>
      <c r="I25" t="inlineStr" s="7">
        <is>
          <t>Second visible secondary unavailable or not used for this line; Yahoo endpoint returned Too Many Requests and Macrotrends was Cloudflare-blocked.</t>
        </is>
      </c>
      <c r="J25" t="inlineStr" s="7">
        <is>
          <t>Ties within rounding; SEC/company filings used as source of truth.</t>
        </is>
      </c>
      <c r="K25" t="inlineStr" s="7">
        <is>
          <t>Model!K28</t>
        </is>
      </c>
    </row>
    <row r="26">
      <c r="A26" t="inlineStr" s="11">
        <is>
          <t>Free cash flow</t>
        </is>
      </c>
      <c r="B26" t="inlineStr">
        <is>
          <t>FY2023</t>
        </is>
      </c>
      <c r="C26" s="4">
        <v>4220.0</v>
      </c>
      <c r="D26" t="inlineStr">
        <is>
          <t>USD mm</t>
        </is>
      </c>
      <c r="E26" s="4">
        <v>4220.0</v>
      </c>
      <c r="F26" t="inlineStr" s="7">
        <is>
          <t>SEC companyfacts / FY2025 Form 10-K, filed 2026-02-03</t>
        </is>
      </c>
      <c r="G26" s="4">
        <v>4220.0</v>
      </c>
      <c r="H26" t="inlineStr" s="7">
        <is>
          <t>StockAnalysis financial tables, updated 2026-05-05</t>
        </is>
      </c>
      <c r="I26" t="inlineStr" s="7">
        <is>
          <t>Second visible secondary unavailable or not used for this line; Yahoo endpoint returned Too Many Requests and Macrotrends was Cloudflare-blocked.</t>
        </is>
      </c>
      <c r="J26" t="inlineStr" s="7">
        <is>
          <t>Ties within rounding; SEC/company filings used as source of truth.</t>
        </is>
      </c>
      <c r="K26" t="inlineStr" s="7">
        <is>
          <t>Model!H29</t>
        </is>
      </c>
    </row>
    <row r="27">
      <c r="A27" t="inlineStr">
        <is>
          <t>Free cash flow</t>
        </is>
      </c>
      <c r="B27" t="inlineStr">
        <is>
          <t>FY2024</t>
        </is>
      </c>
      <c r="C27" s="4">
        <v>6767.0</v>
      </c>
      <c r="D27" t="inlineStr">
        <is>
          <t>USD mm</t>
        </is>
      </c>
      <c r="E27" s="4">
        <v>6767.0</v>
      </c>
      <c r="F27" t="inlineStr" s="7">
        <is>
          <t>SEC companyfacts / FY2025 Form 10-K, filed 2026-02-03</t>
        </is>
      </c>
      <c r="G27" s="4">
        <v>6767.0</v>
      </c>
      <c r="H27" t="inlineStr" s="7">
        <is>
          <t>StockAnalysis financial tables, updated 2026-05-05</t>
        </is>
      </c>
      <c r="I27" t="inlineStr" s="7">
        <is>
          <t>Second visible secondary unavailable or not used for this line; Yahoo endpoint returned Too Many Requests and Macrotrends was Cloudflare-blocked.</t>
        </is>
      </c>
      <c r="J27" t="inlineStr" s="7">
        <is>
          <t>Ties within rounding; SEC/company filings used as source of truth.</t>
        </is>
      </c>
      <c r="K27" t="inlineStr" s="7">
        <is>
          <t>Model!I29</t>
        </is>
      </c>
    </row>
    <row r="28">
      <c r="A28" t="inlineStr">
        <is>
          <t>Free cash flow</t>
        </is>
      </c>
      <c r="B28" t="inlineStr">
        <is>
          <t>FY2025</t>
        </is>
      </c>
      <c r="C28" s="4">
        <v>5564.0</v>
      </c>
      <c r="D28" t="inlineStr">
        <is>
          <t>USD mm</t>
        </is>
      </c>
      <c r="E28" s="4">
        <v>5564.0</v>
      </c>
      <c r="F28" t="inlineStr" s="7">
        <is>
          <t>SEC companyfacts / FY2025 Form 10-K, filed 2026-02-03</t>
        </is>
      </c>
      <c r="G28" s="4">
        <v>5564.0</v>
      </c>
      <c r="H28" t="inlineStr" s="7">
        <is>
          <t>StockAnalysis financial tables, updated 2026-05-05</t>
        </is>
      </c>
      <c r="I28" t="inlineStr" s="7">
        <is>
          <t>Second visible secondary unavailable or not used for this line; Yahoo endpoint returned Too Many Requests and Macrotrends was Cloudflare-blocked.</t>
        </is>
      </c>
      <c r="J28" t="inlineStr" s="7">
        <is>
          <t>Ties within rounding; SEC/company filings used as source of truth.</t>
        </is>
      </c>
      <c r="K28" t="inlineStr" s="7">
        <is>
          <t>Model!J29</t>
        </is>
      </c>
    </row>
    <row r="29">
      <c r="A29" t="inlineStr">
        <is>
          <t>Free cash flow</t>
        </is>
      </c>
      <c r="B29" t="inlineStr">
        <is>
          <t>TTM 3/31/26</t>
        </is>
      </c>
      <c r="C29" s="4">
        <v>5503.0</v>
      </c>
      <c r="D29" t="inlineStr">
        <is>
          <t>USD mm</t>
        </is>
      </c>
      <c r="E29" s="4">
        <v>5503.0</v>
      </c>
      <c r="F29" t="inlineStr" s="7">
        <is>
          <t>SEC companyfacts / Q1 2026 Form 10-Q, filed 2026-05-05; TTM = FY2025 + Q1 2026 - Q1 2025</t>
        </is>
      </c>
      <c r="G29" s="4">
        <v>5503.0</v>
      </c>
      <c r="H29" t="inlineStr" s="7">
        <is>
          <t>StockAnalysis financial tables, updated 2026-05-05</t>
        </is>
      </c>
      <c r="I29" t="inlineStr" s="7">
        <is>
          <t>Second visible secondary unavailable or not used for this line; Yahoo endpoint returned Too Many Requests and Macrotrends was Cloudflare-blocked.</t>
        </is>
      </c>
      <c r="J29" t="inlineStr" s="7">
        <is>
          <t>Ties within rounding; SEC/company filings used as source of truth.</t>
        </is>
      </c>
      <c r="K29" t="inlineStr" s="7">
        <is>
          <t>Model!K29</t>
        </is>
      </c>
    </row>
    <row r="30">
      <c r="A30" t="inlineStr" s="11">
        <is>
          <t>SBC</t>
        </is>
      </c>
      <c r="B30" t="inlineStr">
        <is>
          <t>FY2023</t>
        </is>
      </c>
      <c r="C30" s="4">
        <v>1475.0</v>
      </c>
      <c r="D30" t="inlineStr">
        <is>
          <t>USD mm</t>
        </is>
      </c>
      <c r="E30" s="4">
        <v>1475.0</v>
      </c>
      <c r="F30" t="inlineStr" s="7">
        <is>
          <t>SEC companyfacts / FY2025 Form 10-K, filed 2026-02-03</t>
        </is>
      </c>
      <c r="G30" s="4">
        <v>1475.0</v>
      </c>
      <c r="H30" t="inlineStr" s="7">
        <is>
          <t>StockAnalysis financial tables, updated 2026-05-05</t>
        </is>
      </c>
      <c r="I30" t="inlineStr" s="7">
        <is>
          <t>Second visible secondary unavailable or not used for this line; Yahoo endpoint returned Too Many Requests and Macrotrends was Cloudflare-blocked.</t>
        </is>
      </c>
      <c r="J30" t="inlineStr" s="7">
        <is>
          <t>Ties within rounding; SEC/company filings used as source of truth.</t>
        </is>
      </c>
      <c r="K30" t="inlineStr" s="7">
        <is>
          <t>Model!H31</t>
        </is>
      </c>
    </row>
    <row r="31">
      <c r="A31" t="inlineStr">
        <is>
          <t>SBC</t>
        </is>
      </c>
      <c r="B31" t="inlineStr">
        <is>
          <t>FY2024</t>
        </is>
      </c>
      <c r="C31" s="4">
        <v>1230.0</v>
      </c>
      <c r="D31" t="inlineStr">
        <is>
          <t>USD mm</t>
        </is>
      </c>
      <c r="E31" s="4">
        <v>1230.0</v>
      </c>
      <c r="F31" t="inlineStr" s="7">
        <is>
          <t>SEC companyfacts / FY2025 Form 10-K, filed 2026-02-03</t>
        </is>
      </c>
      <c r="G31" s="4">
        <v>1230.0</v>
      </c>
      <c r="H31" t="inlineStr" s="7">
        <is>
          <t>StockAnalysis financial tables, updated 2026-05-05</t>
        </is>
      </c>
      <c r="I31" t="inlineStr" s="7">
        <is>
          <t>Second visible secondary unavailable or not used for this line; Yahoo endpoint returned Too Many Requests and Macrotrends was Cloudflare-blocked.</t>
        </is>
      </c>
      <c r="J31" t="inlineStr" s="7">
        <is>
          <t>Ties within rounding; SEC/company filings used as source of truth.</t>
        </is>
      </c>
      <c r="K31" t="inlineStr" s="7">
        <is>
          <t>Model!I31</t>
        </is>
      </c>
    </row>
    <row r="32">
      <c r="A32" t="inlineStr">
        <is>
          <t>SBC</t>
        </is>
      </c>
      <c r="B32" t="inlineStr">
        <is>
          <t>FY2025</t>
        </is>
      </c>
      <c r="C32" s="4">
        <v>1002.0</v>
      </c>
      <c r="D32" t="inlineStr">
        <is>
          <t>USD mm</t>
        </is>
      </c>
      <c r="E32" s="4">
        <v>1002.0</v>
      </c>
      <c r="F32" t="inlineStr" s="7">
        <is>
          <t>SEC companyfacts / FY2025 Form 10-K, filed 2026-02-03</t>
        </is>
      </c>
      <c r="G32" s="4">
        <v>1002.0</v>
      </c>
      <c r="H32" t="inlineStr" s="7">
        <is>
          <t>StockAnalysis financial tables, updated 2026-05-05</t>
        </is>
      </c>
      <c r="I32" t="inlineStr" s="7">
        <is>
          <t>Second visible secondary unavailable or not used for this line; Yahoo endpoint returned Too Many Requests and Macrotrends was Cloudflare-blocked.</t>
        </is>
      </c>
      <c r="J32" t="inlineStr" s="7">
        <is>
          <t>Ties within rounding; SEC/company filings used as source of truth.</t>
        </is>
      </c>
      <c r="K32" t="inlineStr" s="7">
        <is>
          <t>Model!J31</t>
        </is>
      </c>
    </row>
    <row r="33">
      <c r="A33" t="inlineStr">
        <is>
          <t>SBC</t>
        </is>
      </c>
      <c r="B33" t="inlineStr">
        <is>
          <t>TTM 3/31/26</t>
        </is>
      </c>
      <c r="C33" s="4">
        <v>1012.0</v>
      </c>
      <c r="D33" t="inlineStr">
        <is>
          <t>USD mm</t>
        </is>
      </c>
      <c r="E33" s="4">
        <v>1012.0</v>
      </c>
      <c r="F33" t="inlineStr" s="7">
        <is>
          <t>SEC companyfacts / Q1 2026 Form 10-Q, filed 2026-05-05; TTM = FY2025 + Q1 2026 - Q1 2025</t>
        </is>
      </c>
      <c r="G33" s="4">
        <v>1012.0</v>
      </c>
      <c r="H33" t="inlineStr" s="7">
        <is>
          <t>StockAnalysis financial tables, updated 2026-05-05</t>
        </is>
      </c>
      <c r="I33" t="inlineStr" s="7">
        <is>
          <t>Second visible secondary unavailable or not used for this line; Yahoo endpoint returned Too Many Requests and Macrotrends was Cloudflare-blocked.</t>
        </is>
      </c>
      <c r="J33" t="inlineStr" s="7">
        <is>
          <t>Ties within rounding; SEC/company filings used as source of truth.</t>
        </is>
      </c>
      <c r="K33" t="inlineStr" s="7">
        <is>
          <t>Model!K31</t>
        </is>
      </c>
    </row>
    <row r="34">
      <c r="A34" t="inlineStr" s="11">
        <is>
          <t>Diluted shares</t>
        </is>
      </c>
      <c r="B34" t="inlineStr">
        <is>
          <t>FY2023</t>
        </is>
      </c>
      <c r="C34" s="4">
        <v>1107.0</v>
      </c>
      <c r="D34" t="inlineStr">
        <is>
          <t>mm shares</t>
        </is>
      </c>
      <c r="E34" s="4">
        <v>1107.0</v>
      </c>
      <c r="F34" t="inlineStr" s="7">
        <is>
          <t>SEC companyfacts / FY2025 Form 10-K, filed 2026-02-03</t>
        </is>
      </c>
      <c r="G34" s="4">
        <v>1107.0</v>
      </c>
      <c r="H34" t="inlineStr" s="7">
        <is>
          <t>StockAnalysis financial tables, updated 2026-05-05</t>
        </is>
      </c>
      <c r="I34" t="inlineStr" s="7">
        <is>
          <t>Second visible secondary unavailable or not used for this line; Yahoo endpoint returned Too Many Requests and Macrotrends was Cloudflare-blocked.</t>
        </is>
      </c>
      <c r="J34" t="inlineStr" s="7">
        <is>
          <t>Ties within rounding; SEC/company filings used as source of truth.</t>
        </is>
      </c>
      <c r="K34" t="inlineStr" s="7">
        <is>
          <t>Model!H24</t>
        </is>
      </c>
    </row>
    <row r="35">
      <c r="A35" t="inlineStr">
        <is>
          <t>Diluted shares</t>
        </is>
      </c>
      <c r="B35" t="inlineStr">
        <is>
          <t>FY2024</t>
        </is>
      </c>
      <c r="C35" s="4">
        <v>1039.0</v>
      </c>
      <c r="D35" t="inlineStr">
        <is>
          <t>mm shares</t>
        </is>
      </c>
      <c r="E35" s="4">
        <v>1039.0</v>
      </c>
      <c r="F35" t="inlineStr" s="7">
        <is>
          <t>SEC companyfacts / FY2025 Form 10-K, filed 2026-02-03</t>
        </is>
      </c>
      <c r="G35" s="4">
        <v>1039.0</v>
      </c>
      <c r="H35" t="inlineStr" s="7">
        <is>
          <t>StockAnalysis financial tables, updated 2026-05-05</t>
        </is>
      </c>
      <c r="I35" t="inlineStr" s="7">
        <is>
          <t>Second visible secondary unavailable or not used for this line; Yahoo endpoint returned Too Many Requests and Macrotrends was Cloudflare-blocked.</t>
        </is>
      </c>
      <c r="J35" t="inlineStr" s="7">
        <is>
          <t>Ties within rounding; SEC/company filings used as source of truth.</t>
        </is>
      </c>
      <c r="K35" t="inlineStr" s="7">
        <is>
          <t>Model!I24</t>
        </is>
      </c>
    </row>
    <row r="36">
      <c r="A36" t="inlineStr">
        <is>
          <t>Diluted shares</t>
        </is>
      </c>
      <c r="B36" t="inlineStr">
        <is>
          <t>FY2025</t>
        </is>
      </c>
      <c r="C36" s="4">
        <v>968.0</v>
      </c>
      <c r="D36" t="inlineStr">
        <is>
          <t>mm shares</t>
        </is>
      </c>
      <c r="E36" s="4">
        <v>968.0</v>
      </c>
      <c r="F36" t="inlineStr" s="7">
        <is>
          <t>SEC companyfacts / FY2025 Form 10-K, filed 2026-02-03</t>
        </is>
      </c>
      <c r="G36" s="4">
        <v>968.0</v>
      </c>
      <c r="H36" t="inlineStr" s="7">
        <is>
          <t>StockAnalysis financial tables, updated 2026-05-05</t>
        </is>
      </c>
      <c r="I36" t="inlineStr" s="7">
        <is>
          <t>Second visible secondary unavailable or not used for this line; Yahoo endpoint returned Too Many Requests and Macrotrends was Cloudflare-blocked.</t>
        </is>
      </c>
      <c r="J36" t="inlineStr" s="7">
        <is>
          <t>Ties within rounding; SEC/company filings used as source of truth.</t>
        </is>
      </c>
      <c r="K36" t="inlineStr" s="7">
        <is>
          <t>Model!J24</t>
        </is>
      </c>
    </row>
    <row r="37">
      <c r="A37" t="inlineStr">
        <is>
          <t>Diluted shares</t>
        </is>
      </c>
      <c r="B37" t="inlineStr">
        <is>
          <t>TTM 3/31/26</t>
        </is>
      </c>
      <c r="C37" s="4">
        <v>949.0</v>
      </c>
      <c r="D37" t="inlineStr">
        <is>
          <t>mm shares</t>
        </is>
      </c>
      <c r="E37" s="4">
        <v>949.0</v>
      </c>
      <c r="F37" t="inlineStr" s="7">
        <is>
          <t>SEC companyfacts / Q1 2026 Form 10-Q, filed 2026-05-05; TTM = FY2025 + Q1 2026 - Q1 2025</t>
        </is>
      </c>
      <c r="G37" s="4">
        <v>949.0</v>
      </c>
      <c r="H37" t="inlineStr" s="7">
        <is>
          <t>StockAnalysis financial tables, updated 2026-05-05</t>
        </is>
      </c>
      <c r="I37" t="inlineStr" s="7">
        <is>
          <t>Second visible secondary unavailable or not used for this line; Yahoo endpoint returned Too Many Requests and Macrotrends was Cloudflare-blocked.</t>
        </is>
      </c>
      <c r="J37" t="inlineStr" s="7">
        <is>
          <t>Ties within rounding; SEC/company filings used as source of truth.</t>
        </is>
      </c>
      <c r="K37" t="inlineStr" s="7">
        <is>
          <t>Model!K24</t>
        </is>
      </c>
    </row>
    <row r="38">
      <c r="A38" t="inlineStr">
        <is>
          <t>Cash + ST investments</t>
        </is>
      </c>
      <c r="B38" t="inlineStr">
        <is>
          <t>Latest quarter</t>
        </is>
      </c>
      <c r="C38" s="4">
        <v>9342.0</v>
      </c>
      <c r="D38" t="inlineStr">
        <is>
          <t>USD mm</t>
        </is>
      </c>
      <c r="E38" s="4">
        <v>9342.0</v>
      </c>
      <c r="F38" t="inlineStr" s="7">
        <is>
          <t>StockAnalysis financial tables, updated 2026-05-05</t>
        </is>
      </c>
      <c r="G38" t="inlineStr">
        <is>
          <t>9.34B</t>
        </is>
      </c>
      <c r="H38" t="inlineStr" s="7">
        <is>
          <t>StockAnalysis stats/balance sheet</t>
        </is>
      </c>
      <c r="I38" t="inlineStr" s="7">
        <is>
          <t>Q1 release reported cash, cash equivalents, and investments of approx. $13.5B including longer-term investments.</t>
        </is>
      </c>
      <c r="J38" t="inlineStr" s="7">
        <is>
          <t>Conservative EV bridge subtracts cash/ST only.</t>
        </is>
      </c>
      <c r="K38" t="inlineStr" s="7">
        <is>
          <t>Model!C8</t>
        </is>
      </c>
    </row>
    <row r="39">
      <c r="A39" t="inlineStr">
        <is>
          <t>Long-term investments</t>
        </is>
      </c>
      <c r="B39" t="inlineStr">
        <is>
          <t>Latest quarter</t>
        </is>
      </c>
      <c r="C39" s="4">
        <v>4125.0</v>
      </c>
      <c r="D39" t="inlineStr">
        <is>
          <t>USD mm</t>
        </is>
      </c>
      <c r="E39" s="4">
        <v>4125.0</v>
      </c>
      <c r="F39" t="inlineStr" s="7">
        <is>
          <t>Q1 2026 Form 10-Q / StockAnalysis balance sheet</t>
        </is>
      </c>
      <c r="G39" t="inlineStr">
        <is>
          <t>4.13B</t>
        </is>
      </c>
      <c r="H39" t="inlineStr" s="7">
        <is>
          <t>StockAnalysis balance sheet</t>
        </is>
      </c>
      <c r="I39" t="inlineStr" s="7">
        <is>
          <t>Used as memorandum line, not subtracted in headline EV.</t>
        </is>
      </c>
      <c r="J39" t="inlineStr" s="7">
        <is>
          <t>Recorded separately to show alternate EV bridge.</t>
        </is>
      </c>
      <c r="K39" t="inlineStr" s="7">
        <is>
          <t>Model!C9</t>
        </is>
      </c>
    </row>
    <row r="40">
      <c r="A40" t="inlineStr">
        <is>
          <t>Debt</t>
        </is>
      </c>
      <c r="B40" t="inlineStr">
        <is>
          <t>Latest quarter</t>
        </is>
      </c>
      <c r="C40" s="4">
        <v>11670.0</v>
      </c>
      <c r="D40" t="inlineStr">
        <is>
          <t>USD mm</t>
        </is>
      </c>
      <c r="E40" s="4">
        <v>11670.0</v>
      </c>
      <c r="F40" t="inlineStr" s="7">
        <is>
          <t>PayPal Q1 2026 earnings release, filed as 8-K Exhibit 99.1 on 2026-05-05</t>
        </is>
      </c>
      <c r="G40" t="inlineStr">
        <is>
          <t>11.67B</t>
        </is>
      </c>
      <c r="H40" t="inlineStr" s="7">
        <is>
          <t>StockAnalysis stats</t>
        </is>
      </c>
      <c r="I40" t="inlineStr" s="7">
        <is>
          <t>Market-data EV bridge rounds to $11.67B; Q1 release rounds to $11.6B.</t>
        </is>
      </c>
      <c r="J40" t="inlineStr" s="7">
        <is>
          <t>Uses market-data rounded value for EV bridge.</t>
        </is>
      </c>
      <c r="K40" t="inlineStr" s="7">
        <is>
          <t>Model!C10</t>
        </is>
      </c>
    </row>
    <row r="41">
      <c r="A41" t="inlineStr">
        <is>
          <t>Market cap</t>
        </is>
      </c>
      <c r="B41" t="inlineStr">
        <is>
          <t>Latest quote</t>
        </is>
      </c>
      <c r="C41" s="4">
        <v>39218.41021878</v>
      </c>
      <c r="D41" t="inlineStr">
        <is>
          <t>USD mm</t>
        </is>
      </c>
      <c r="E41" s="4">
        <v>39218.41021878</v>
      </c>
      <c r="F41" t="inlineStr" s="7">
        <is>
          <t>Stooq / StockAnalysis quote snapshot</t>
        </is>
      </c>
      <c r="G41" t="inlineStr">
        <is>
          <t>39.21B</t>
        </is>
      </c>
      <c r="H41" t="inlineStr" s="7">
        <is>
          <t>CompaniesMarketCap / Nasdaq retrieval shown on page</t>
        </is>
      </c>
      <c r="I41" t="inlineStr" s="7">
        <is>
          <t>May 28 close used; May 29 pre-market noted.</t>
        </is>
      </c>
      <c r="J41" t="inlineStr" s="7">
        <is>
          <t>Ties within rounding.</t>
        </is>
      </c>
      <c r="K41" t="inlineStr" s="7">
        <is>
          <t>Model!C7</t>
        </is>
      </c>
    </row>
    <row r="42">
      <c r="A42" t="inlineStr">
        <is>
          <t>Shares outstanding</t>
        </is>
      </c>
      <c r="B42" t="inlineStr">
        <is>
          <t>Latest quote</t>
        </is>
      </c>
      <c r="C42" s="4">
        <v>882.105493</v>
      </c>
      <c r="D42" t="inlineStr">
        <is>
          <t>mm shares</t>
        </is>
      </c>
      <c r="E42" s="4">
        <v>882.105493</v>
      </c>
      <c r="F42" t="inlineStr" s="7">
        <is>
          <t>StockAnalysis statistics page</t>
        </is>
      </c>
      <c r="G42" t="inlineStr">
        <is>
          <t>882.11M</t>
        </is>
      </c>
      <c r="H42" t="inlineStr" s="7">
        <is>
          <t>StockAnalysis statistics page</t>
        </is>
      </c>
      <c r="I42" t="inlineStr" s="7">
        <is>
          <t>Current share-class count used for per-share valuation, not diluted average shares.</t>
        </is>
      </c>
      <c r="J42" t="inlineStr" s="7">
        <is>
          <t>Ties within rounding.</t>
        </is>
      </c>
      <c r="K42" t="inlineStr" s="7">
        <is>
          <t>Model!C6</t>
        </is>
      </c>
    </row>
    <row r="43">
      <c r="A43" t="inlineStr">
        <is>
          <t>Q1 2026 net revenues</t>
        </is>
      </c>
      <c r="B43" t="inlineStr">
        <is>
          <t>Q1 2026</t>
        </is>
      </c>
      <c r="C43" s="4">
        <v>8353</v>
      </c>
      <c r="D43" t="inlineStr">
        <is>
          <t>USD mm</t>
        </is>
      </c>
      <c r="E43" s="4">
        <v>8353</v>
      </c>
      <c r="F43" t="inlineStr" s="7">
        <is>
          <t>PayPal Q1 2026 earnings release, filed as 8-K Exhibit 99.1 on 2026-05-05</t>
        </is>
      </c>
      <c r="G43" t="inlineStr">
        <is>
          <t>8.4B</t>
        </is>
      </c>
      <c r="H43" t="inlineStr" s="7">
        <is>
          <t>PayPal Q1 release summary</t>
        </is>
      </c>
      <c r="I43" t="inlineStr" s="7">
        <is>
          <t>Company release reports 7% growth / 5% FX-neutral.</t>
        </is>
      </c>
      <c r="J43" t="inlineStr" s="7">
        <is>
          <t>Used for TTM roll-forward support.</t>
        </is>
      </c>
      <c r="K43" t="inlineStr" s="7">
        <is>
          <t>Sources!A4</t>
        </is>
      </c>
    </row>
    <row r="44">
      <c r="A44" t="inlineStr">
        <is>
          <t>Q1 2026 TPV</t>
        </is>
      </c>
      <c r="B44" t="inlineStr">
        <is>
          <t>Q1 2026</t>
        </is>
      </c>
      <c r="C44" s="4">
        <v>464000</v>
      </c>
      <c r="D44" t="inlineStr">
        <is>
          <t>USD mm</t>
        </is>
      </c>
      <c r="E44" s="4">
        <v>464000</v>
      </c>
      <c r="F44" t="inlineStr" s="7">
        <is>
          <t>PayPal Q1 2026 earnings release, filed as 8-K Exhibit 99.1 on 2026-05-05</t>
        </is>
      </c>
      <c r="G44" t="inlineStr">
        <is>
          <t>464.0B</t>
        </is>
      </c>
      <c r="H44" t="inlineStr" s="7">
        <is>
          <t>PayPal Q1 release summary</t>
        </is>
      </c>
      <c r="I44" t="inlineStr" s="7">
        <is>
          <t>TPV grew 11%; 8% FX-neutral.</t>
        </is>
      </c>
      <c r="J44" t="inlineStr" s="7">
        <is>
          <t>Used as business driver, not DCF line item.</t>
        </is>
      </c>
      <c r="K44" t="inlineStr" s="7">
        <is>
          <t>Model!K42</t>
        </is>
      </c>
    </row>
    <row r="45">
      <c r="A45" t="inlineStr">
        <is>
          <t>Q1 2026 active accounts</t>
        </is>
      </c>
      <c r="B45" t="inlineStr">
        <is>
          <t>Q1 2026</t>
        </is>
      </c>
      <c r="C45" s="4">
        <v>439</v>
      </c>
      <c r="D45" t="inlineStr">
        <is>
          <t>mm accounts</t>
        </is>
      </c>
      <c r="E45" s="4">
        <v>439</v>
      </c>
      <c r="F45" t="inlineStr" s="7">
        <is>
          <t>PayPal Q1 2026 earnings release, filed as 8-K Exhibit 99.1 on 2026-05-05</t>
        </is>
      </c>
      <c r="G45" t="inlineStr">
        <is>
          <t>439M</t>
        </is>
      </c>
      <c r="H45" t="inlineStr" s="7">
        <is>
          <t>PayPal Q1 release summary</t>
        </is>
      </c>
      <c r="I45" t="inlineStr" s="7">
        <is>
          <t>Active accounts increased 1%; sequentially down 0.2M.</t>
        </is>
      </c>
      <c r="J45" t="inlineStr" s="7">
        <is>
          <t>Used as business driver, not DCF line item.</t>
        </is>
      </c>
      <c r="K45" t="inlineStr" s="7">
        <is>
          <t>Model!K44</t>
        </is>
      </c>
    </row>
    <row r="46">
      <c r="A46" t="inlineStr">
        <is>
          <t>Dividend</t>
        </is>
      </c>
      <c r="B46" t="inlineStr">
        <is>
          <t>Q1 2026</t>
        </is>
      </c>
      <c r="C46" s="4">
        <v>0.14</v>
      </c>
      <c r="D46" t="inlineStr">
        <is>
          <t>USD/share</t>
        </is>
      </c>
      <c r="E46" s="4">
        <v>0.14</v>
      </c>
      <c r="F46" t="inlineStr" s="7">
        <is>
          <t>PayPal Q1 2026 earnings release, filed as 8-K Exhibit 99.1 on 2026-05-05</t>
        </is>
      </c>
      <c r="G46" t="inlineStr">
        <is>
          <t>0.14</t>
        </is>
      </c>
      <c r="H46" t="inlineStr" s="7">
        <is>
          <t>PayPal Q1 release summary</t>
        </is>
      </c>
      <c r="I46" t="inlineStr" s="7">
        <is>
          <t>First cash dividend payable 2026-06-25 to holders as of 2026-06-04.</t>
        </is>
      </c>
      <c r="J46" t="inlineStr" s="7">
        <is>
          <t>Recorded for capital-return context.</t>
        </is>
      </c>
      <c r="K46" t="inlineStr" s="7">
        <is>
          <t>Questions!B8</t>
        </is>
      </c>
    </row>
    <row r="48">
      <c r="A48" t="inlineStr" s="3">
        <is>
          <t>Data limitations</t>
        </is>
      </c>
    </row>
    <row r="49">
      <c r="A49" t="inlineStr" s="7">
        <is>
          <t>Yahoo quoteSummary endpoint returned Too Many Requests; Macrotrends was Cloudflare-blocked. No paid analyst consensus source was used; forecast assumptions are explicit model assumptions, not consensus.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xSplit="0" ySplit="1" topLeftCell="A2" activePane="bottomRight" state="frozen"/>
      <selection pane="bottomRight" activeCell="A2" sqref="A2"/>
    </sheetView>
  </sheetViews>
  <cols>
    <col min="1" max="1" width="8" customWidth="1"/>
    <col min="2" max="2" width="120" customWidth="1"/>
  </cols>
  <sheetData>
    <row r="1">
      <c r="A1" t="inlineStr" s="1">
        <is>
          <t>Q Bank</t>
        </is>
      </c>
    </row>
    <row r="2">
      <c r="A2" s="4">
        <v>1</v>
      </c>
      <c r="B2" t="inlineStr" s="7">
        <is>
          <t>Is branded checkout actually improving conversion and selection, or is TPV growth increasingly PSP/Braintree mix with weaker unit economics?</t>
        </is>
      </c>
    </row>
    <row r="3">
      <c r="A3" s="4">
        <v>2</v>
      </c>
      <c r="B3" t="inlineStr" s="7">
        <is>
          <t>Can transaction margin dollars grow faster than revenue after excluding interest on customer balances?</t>
        </is>
      </c>
    </row>
    <row r="4">
      <c r="A4" s="4">
        <v>3</v>
      </c>
      <c r="B4" t="inlineStr" s="7">
        <is>
          <t>Are Venmo, PayPal Rewards, debit/credit cards, and omnichannel wallet usage creating daily-use engagement, or only subsidized activity?</t>
        </is>
      </c>
    </row>
    <row r="5">
      <c r="A5" s="4">
        <v>4</v>
      </c>
      <c r="B5" t="inlineStr" s="7">
        <is>
          <t>How should BNPL receivable sale timing be normalized when converting reported FCF into owner earnings?</t>
        </is>
      </c>
    </row>
    <row r="6">
      <c r="A6" s="4">
        <v>5</v>
      </c>
      <c r="B6" t="inlineStr" s="7">
        <is>
          <t>Does the dividend plus buyback cadence constrain reinvestment, or is the balance sheet still overcapitalized after customer-funds separation?</t>
        </is>
      </c>
    </row>
    <row r="7">
      <c r="A7" s="4">
        <v>6</v>
      </c>
      <c r="B7" t="inlineStr" s="7">
        <is>
          <t>What evidence would show that new leadership is improving execution rather than just taking cost out?</t>
        </is>
      </c>
    </row>
    <row r="8">
      <c r="A8" s="4">
        <v>7</v>
      </c>
      <c r="B8" t="inlineStr" s="7">
        <is>
          <t>What is the normalized owner FCF margin after SBC, credit losses, transaction expense, and customer-balance interest normalize?</t>
        </is>
      </c>
    </row>
    <row r="9">
      <c r="A9" s="4">
        <v>8</v>
      </c>
      <c r="B9" t="inlineStr" s="7">
        <is>
          <t>Which metrics should be watched quarterly: branded checkout TPV, TM$ ex-interest, active accounts, TPA ex-PSP, Venmo monetization, and share count?</t>
        </is>
      </c>
    </row>
    <row r="10">
      <c r="A10" s="4">
        <v>9</v>
      </c>
      <c r="B10" t="inlineStr" s="7">
        <is>
          <t>At what exit owner FCF yield does the stock stop being cheap if revenue grows only low single digits?</t>
        </is>
      </c>
    </row>
    <row r="11">
      <c r="A11" s="4">
        <v>10</v>
      </c>
      <c r="B11" t="inlineStr" s="7">
        <is>
          <t>How much strategic-investment / crypto mark-to-market noise should be ignored in EPS and WACC assumptions?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xSplit="0" ySplit="1" topLeftCell="A2" activePane="bottomRight" state="frozen"/>
      <selection pane="bottomRight" activeCell="A2" sqref="A2"/>
    </sheetView>
  </sheetViews>
  <cols>
    <col min="1" max="1" width="34" customWidth="1"/>
    <col min="2" max="2" width="25" customWidth="1"/>
    <col min="3" max="3" width="24" customWidth="1"/>
    <col min="4" max="4" width="55" customWidth="1"/>
    <col min="5" max="5" width="95" customWidth="1"/>
  </cols>
  <sheetData>
    <row r="1">
      <c r="A1" t="inlineStr" s="2">
        <is>
          <t>Source</t>
        </is>
      </c>
      <c r="B1" t="inlineStr" s="2">
        <is>
          <t>Type</t>
        </is>
      </c>
      <c r="C1" t="inlineStr" s="2">
        <is>
          <t>Date / as-of</t>
        </is>
      </c>
      <c r="D1" t="inlineStr" s="2">
        <is>
          <t>Usage</t>
        </is>
      </c>
      <c r="E1" t="inlineStr" s="2">
        <is>
          <t>URL / note</t>
        </is>
      </c>
    </row>
    <row r="2">
      <c r="A2" t="inlineStr">
        <is>
          <t>SEC companyfacts API</t>
        </is>
      </c>
      <c r="B2" t="inlineStr">
        <is>
          <t>Primary filing data</t>
        </is>
      </c>
      <c r="C2" t="inlineStr" s="7">
        <is>
          <t>Pulled 2026-05-29</t>
        </is>
      </c>
      <c r="D2" t="inlineStr" s="7">
        <is>
          <t>Historical actuals and TTM roll-forward</t>
        </is>
      </c>
      <c r="E2" t="inlineStr" s="7">
        <is>
          <t>https://data.sec.gov/api/xbrl/companyfacts/CIK0001633917.json</t>
        </is>
      </c>
    </row>
    <row r="3">
      <c r="A3" t="inlineStr">
        <is>
          <t>PayPal FY2025 Form 10-K</t>
        </is>
      </c>
      <c r="B3" t="inlineStr">
        <is>
          <t>Primary filing</t>
        </is>
      </c>
      <c r="C3" t="inlineStr" s="7">
        <is>
          <t>Filed 2026-02-03</t>
        </is>
      </c>
      <c r="D3" t="inlineStr" s="7">
        <is>
          <t>FY2025 annual actuals, historical comparative table, key metrics, liquidity and debt notes</t>
        </is>
      </c>
      <c r="E3" t="inlineStr" s="7">
        <is>
          <t>https://www.sec.gov/Archives/edgar/data/1633917/000163391726000024/pypl-20251231.htm</t>
        </is>
      </c>
    </row>
    <row r="4">
      <c r="A4" t="inlineStr">
        <is>
          <t>PayPal Q1 2026 Form 10-Q</t>
        </is>
      </c>
      <c r="B4" t="inlineStr">
        <is>
          <t>Primary filing</t>
        </is>
      </c>
      <c r="C4" t="inlineStr" s="7">
        <is>
          <t>Filed 2026-05-05</t>
        </is>
      </c>
      <c r="D4" t="inlineStr" s="7">
        <is>
          <t>Q1 2026 actuals and TTM roll-forward</t>
        </is>
      </c>
      <c r="E4" t="inlineStr" s="7">
        <is>
          <t>https://www.sec.gov/Archives/edgar/data/1633917/000163391726000067/pypl-20260331.htm</t>
        </is>
      </c>
    </row>
    <row r="5">
      <c r="A5" t="inlineStr">
        <is>
          <t>PayPal Q1 2026 earnings release</t>
        </is>
      </c>
      <c r="B5" t="inlineStr">
        <is>
          <t>Company release</t>
        </is>
      </c>
      <c r="C5" t="inlineStr" s="7">
        <is>
          <t>Filed 2026-05-05 as 8-K Exhibit 99.1</t>
        </is>
      </c>
      <c r="D5" t="inlineStr" s="7">
        <is>
          <t>Q1 headline metrics, TM$, TPV, active accounts, FCF, cash/debt, dividend, guidance</t>
        </is>
      </c>
      <c r="E5" t="inlineStr" s="7">
        <is>
          <t>https://www.sec.gov/Archives/edgar/data/1633917/000163391726000065/pypl1q-26earningsrelease.htm</t>
        </is>
      </c>
    </row>
    <row r="6">
      <c r="A6" t="inlineStr">
        <is>
          <t>StockAnalysis overview/statistics/financials</t>
        </is>
      </c>
      <c r="B6" t="inlineStr">
        <is>
          <t>Market and secondary financial data</t>
        </is>
      </c>
      <c r="C6" t="inlineStr" s="7">
        <is>
          <t>May 28 close / updated 2026-05-05</t>
        </is>
      </c>
      <c r="D6" t="inlineStr" s="7">
        <is>
          <t>Quote, shares, market cap, EV bridge, beta, financial statement cross-checks</t>
        </is>
      </c>
      <c r="E6" t="inlineStr" s="7">
        <is>
          <t>https://stockanalysis.com/stocks/pypl/</t>
        </is>
      </c>
    </row>
    <row r="7">
      <c r="A7" t="inlineStr">
        <is>
          <t>Stooq quote CSV</t>
        </is>
      </c>
      <c r="B7" t="inlineStr">
        <is>
          <t>Market quote</t>
        </is>
      </c>
      <c r="C7" t="inlineStr" s="7">
        <is>
          <t>2026-05-28 close</t>
        </is>
      </c>
      <c r="D7" t="inlineStr" s="7">
        <is>
          <t>Independent close-price check: 44.46</t>
        </is>
      </c>
      <c r="E7" t="inlineStr" s="7">
        <is>
          <t>https://stooq.com/q/l/?s=pypl.us&amp;f=sd2t2ohlcv&amp;h&amp;e=csv</t>
        </is>
      </c>
    </row>
    <row r="8">
      <c r="A8" t="inlineStr">
        <is>
          <t>CompaniesMarketCap revenue/earnings/market cap</t>
        </is>
      </c>
      <c r="B8" t="inlineStr">
        <is>
          <t>Secondary financial / market check</t>
        </is>
      </c>
      <c r="C8" t="inlineStr" s="7">
        <is>
          <t>May 2026</t>
        </is>
      </c>
      <c r="D8" t="inlineStr" s="7">
        <is>
          <t>Revenue, pretax income, market-cap cross-check</t>
        </is>
      </c>
      <c r="E8" t="inlineStr" s="7">
        <is>
          <t>https://companiesmarketcap.com/paypal/revenue/</t>
        </is>
      </c>
    </row>
    <row r="9">
      <c r="A9" t="inlineStr">
        <is>
          <t>FRED DGS10</t>
        </is>
      </c>
      <c r="B9" t="inlineStr">
        <is>
          <t>Rate source</t>
        </is>
      </c>
      <c r="C9" t="inlineStr" s="7">
        <is>
          <t>2026-05-27</t>
        </is>
      </c>
      <c r="D9" t="inlineStr" s="7">
        <is>
          <t>10-year Treasury risk-free rate: 4.48%</t>
        </is>
      </c>
      <c r="E9" t="inlineStr" s="7">
        <is>
          <t>https://fred.stlouisfed.org/series/DGS10</t>
        </is>
      </c>
    </row>
    <row r="10">
      <c r="A10" t="inlineStr">
        <is>
          <t>Blocked / limited sources</t>
        </is>
      </c>
      <c r="B10" t="inlineStr">
        <is>
          <t>Data limitation</t>
        </is>
      </c>
      <c r="C10" t="inlineStr" s="7">
        <is>
          <t>2026-05-29</t>
        </is>
      </c>
      <c r="D10" t="inlineStr" s="7">
        <is>
          <t>Yahoo quoteSummary endpoint returned Too Many Requests; Macrotrends Cloudflare-blocked.</t>
        </is>
      </c>
      <c r="E10" t="inlineStr" s="7">
        <is>
          <t>No values were taken from blocked pages.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OOXML Writer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</vt:lpstr>
      <vt:lpstr>WACC</vt:lpstr>
      <vt:lpstr>Scenarios</vt:lpstr>
      <vt:lpstr>Actuals Source Audit</vt:lpstr>
      <vt:lpstr>Questions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dcf-model</dc:creator>
  <cp:lastModifiedBy>Codex dcf-model</cp:lastModifiedBy>
  <dcterms:created xsi:type="dcterms:W3CDTF">2026-05-29T12:41:10Z</dcterms:created>
  <dcterms:modified xsi:type="dcterms:W3CDTF">2026-05-29T12:41:10Z</dcterms:modified>
  <dc:title>PYPL DCF Model</dc:title>
</cp:coreProperties>
</file>