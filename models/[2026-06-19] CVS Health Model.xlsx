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CVS Health Corporation (CVS) — Valuation Summary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Comment</t>
        </is>
      </c>
    </row>
    <row r="3">
      <c r="A3" t="inlineStr">
        <is>
          <t>Company</t>
        </is>
      </c>
      <c r="B3" t="inlineStr">
        <is>
          <t>CVS Health Corporation</t>
        </is>
      </c>
    </row>
    <row r="4">
      <c r="A4" t="inlineStr">
        <is>
          <t>Ticker</t>
        </is>
      </c>
      <c r="B4" t="inlineStr">
        <is>
          <t>NYSE: CVS</t>
        </is>
      </c>
    </row>
    <row r="5">
      <c r="A5" t="inlineStr">
        <is>
          <t>Date</t>
        </is>
      </c>
      <c r="B5" t="inlineStr">
        <is>
          <t>2026-06-18</t>
        </is>
      </c>
    </row>
    <row r="6">
      <c r="A6" t="inlineStr">
        <is>
          <t>Price</t>
        </is>
      </c>
      <c r="B6" t="inlineStr">
        <is>
          <t>$98.32</t>
        </is>
      </c>
    </row>
    <row r="7">
      <c r="A7" t="inlineStr">
        <is>
          <t>Shares Outstanding</t>
        </is>
      </c>
      <c r="B7" t="inlineStr">
        <is>
          <t>1,274.75M (diluted avg)</t>
        </is>
      </c>
    </row>
    <row r="8">
      <c r="A8" t="inlineStr">
        <is>
          <t>Market Cap</t>
        </is>
      </c>
      <c r="B8" t="inlineStr">
        <is>
          <t>$125.45B</t>
        </is>
      </c>
    </row>
    <row r="9">
      <c r="A9" t="inlineStr">
        <is>
          <t>Enterprise Value</t>
        </is>
      </c>
      <c r="B9" t="inlineStr">
        <is>
          <t>$191.99B</t>
        </is>
      </c>
    </row>
    <row r="10">
      <c r="A10" t="inlineStr">
        <is>
          <t>Primary Lens</t>
        </is>
      </c>
      <c r="B10" t="inlineStr">
        <is>
          <t>Forward P/E, EV/Revenue, PEG, scenario FCF multiples</t>
        </is>
      </c>
    </row>
    <row r="11">
      <c r="A11" t="inlineStr">
        <is>
          <t>Stance</t>
        </is>
      </c>
      <c r="B11" t="inlineStr">
        <is>
          <t>Pass — thin margins, massive debt load, forward multiple offers limited upside vs. analyst consensus</t>
        </is>
      </c>
    </row>
    <row r="14">
      <c r="A14" s="3" t="inlineStr">
        <is>
          <t>Valuation Metrics</t>
        </is>
      </c>
    </row>
    <row r="15">
      <c r="A15" t="inlineStr">
        <is>
          <t>Metric</t>
        </is>
      </c>
      <c r="B15" t="inlineStr">
        <is>
          <t>Value</t>
        </is>
      </c>
      <c r="C15" t="inlineStr">
        <is>
          <t>Comment</t>
        </is>
      </c>
    </row>
    <row r="16">
      <c r="A16" t="inlineStr">
        <is>
          <t>Trailing P/E</t>
        </is>
      </c>
      <c r="B16" t="inlineStr">
        <is>
          <t>43.12x</t>
        </is>
      </c>
      <c r="C16" t="inlineStr">
        <is>
          <t>TTM EPS $2.28. Thin margins inflate ratio relative to revenue scale.</t>
        </is>
      </c>
    </row>
    <row r="17">
      <c r="A17" t="inlineStr">
        <is>
          <t>Forward P/E</t>
        </is>
      </c>
      <c r="B17" t="inlineStr">
        <is>
          <t>13.33x</t>
        </is>
      </c>
      <c r="C17" t="inlineStr">
        <is>
          <t>Reasonable multiple but priced near analyst average target already.</t>
        </is>
      </c>
    </row>
    <row r="18">
      <c r="A18" t="inlineStr">
        <is>
          <t>PEG Ratio (5yr expected)</t>
        </is>
      </c>
      <c r="B18" t="inlineStr">
        <is>
          <t>0.28</t>
        </is>
      </c>
      <c r="C18" t="inlineStr">
        <is>
          <t>Attractive on paper but depends on earnings recovery materializing.</t>
        </is>
      </c>
    </row>
    <row r="19">
      <c r="A19" t="inlineStr">
        <is>
          <t>Price/Sales (TTM)</t>
        </is>
      </c>
      <c r="B19" t="inlineStr">
        <is>
          <t>0.31x</t>
        </is>
      </c>
      <c r="C19" t="inlineStr">
        <is>
          <t>Very cheap on revenue — reflects industry-wide margin compression.</t>
        </is>
      </c>
    </row>
    <row r="20">
      <c r="A20" t="inlineStr">
        <is>
          <t>Price/Book (MRQ)</t>
        </is>
      </c>
      <c r="B20" t="inlineStr">
        <is>
          <t>1.62x</t>
        </is>
      </c>
      <c r="C20" t="inlineStr">
        <is>
          <t>Moderate premium to book — equity of $75.4B supports valuation.</t>
        </is>
      </c>
    </row>
    <row r="21">
      <c r="A21" t="inlineStr">
        <is>
          <t>EV/Revenue</t>
        </is>
      </c>
      <c r="B21" t="inlineStr">
        <is>
          <t>0.47x</t>
        </is>
      </c>
      <c r="C21" t="inlineStr">
        <is>
          <t>Cheap on top-line but EV includes ~$66.5B debt load.</t>
        </is>
      </c>
    </row>
    <row r="22">
      <c r="A22" t="inlineStr">
        <is>
          <t>EV/EBITDA</t>
        </is>
      </c>
      <c r="B22" t="inlineStr">
        <is>
          <t>17.25x</t>
        </is>
      </c>
      <c r="C22" t="inlineStr">
        <is>
          <t>Elevated for a healthcare services company with 0.72% profit margin.</t>
        </is>
      </c>
    </row>
    <row r="23">
      <c r="A23" t="inlineStr">
        <is>
          <t>Dividend Yield</t>
        </is>
      </c>
      <c r="B23" t="inlineStr">
        <is>
          <t>2.64%</t>
        </is>
      </c>
      <c r="C23" t="inlineStr">
        <is>
          <t>$2.66/share. Provides modest income cushion.</t>
        </is>
      </c>
    </row>
    <row r="24">
      <c r="A24" t="inlineStr">
        <is>
          <t>1Y Analyst Target</t>
        </is>
      </c>
      <c r="B24" t="inlineStr">
        <is>
          <t>$105.00</t>
        </is>
      </c>
      <c r="C24" t="inlineStr">
        <is>
          <t>Only 6.8% upside from current price. 8/27/2026 Mizuho upgrade to $115.</t>
        </is>
      </c>
    </row>
    <row r="25">
      <c r="A25" t="inlineStr">
        <is>
          <t>Beta (5Y Monthly)</t>
        </is>
      </c>
      <c r="B25" t="inlineStr">
        <is>
          <t>0.62</t>
        </is>
      </c>
      <c r="C25" t="inlineStr">
        <is>
          <t>Low volatility — defensive healthcare play.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Calculation</t>
        </is>
      </c>
    </row>
    <row r="2">
      <c r="A2" s="2" t="inlineStr">
        <is>
          <t>Component</t>
        </is>
      </c>
      <c r="B2" s="2" t="inlineStr">
        <is>
          <t>Value</t>
        </is>
      </c>
      <c r="C2" s="2" t="inlineStr">
        <is>
          <t>Source/Notes</t>
        </is>
      </c>
    </row>
    <row r="3">
      <c r="A3" t="inlineStr">
        <is>
          <t>Risk-Free Rate (10Y)</t>
        </is>
      </c>
      <c r="B3" t="inlineStr">
        <is>
          <t>4.49%</t>
        </is>
      </c>
      <c r="C3" t="inlineStr">
        <is>
          <t>FRED DGS10, June 17 2026</t>
        </is>
      </c>
    </row>
    <row r="4">
      <c r="A4" t="inlineStr">
        <is>
          <t>Equity Risk Premium</t>
        </is>
      </c>
      <c r="B4" t="inlineStr">
        <is>
          <t>5.00%</t>
        </is>
      </c>
      <c r="C4" t="inlineStr">
        <is>
          <t>Historical average</t>
        </is>
      </c>
    </row>
    <row r="5">
      <c r="A5" t="inlineStr">
        <is>
          <t>Beta (5Y Monthly)</t>
        </is>
      </c>
      <c r="B5" t="inlineStr">
        <is>
          <t>0.62</t>
        </is>
      </c>
      <c r="C5" t="inlineStr">
        <is>
          <t>Yahoo Finance Key Statistics</t>
        </is>
      </c>
    </row>
    <row r="6">
      <c r="A6" t="inlineStr">
        <is>
          <t>Cost of Equity (CAPM)</t>
        </is>
      </c>
      <c r="B6" t="inlineStr">
        <is>
          <t>7.59%</t>
        </is>
      </c>
      <c r="C6">
        <f> 4.49% + 0.62 * 5.00%</f>
        <v/>
      </c>
    </row>
    <row r="7">
      <c r="A7" t="inlineStr">
        <is>
          <t>Pre-tax Cost of Debt</t>
        </is>
      </c>
      <c r="B7" t="inlineStr">
        <is>
          <t>5.50%</t>
        </is>
      </c>
      <c r="C7" t="inlineStr">
        <is>
          <t>Imputed from interest expense of $3.1B / $66.5B debt</t>
        </is>
      </c>
    </row>
    <row r="8">
      <c r="A8" t="inlineStr">
        <is>
          <t>Tax Rate</t>
        </is>
      </c>
      <c r="B8" t="inlineStr">
        <is>
          <t>21.00%</t>
        </is>
      </c>
      <c r="C8" t="inlineStr">
        <is>
          <t>US corporate rate</t>
        </is>
      </c>
    </row>
    <row r="9">
      <c r="A9" t="inlineStr">
        <is>
          <t>After-tax Cost of Debt</t>
        </is>
      </c>
      <c r="B9" t="inlineStr">
        <is>
          <t>4.35%</t>
        </is>
      </c>
      <c r="C9">
        <f> 5.50% * (1 - 0.21)</f>
        <v/>
      </c>
    </row>
    <row r="10">
      <c r="A10" t="inlineStr">
        <is>
          <t>Market Cap (Equity)</t>
        </is>
      </c>
      <c r="B10" t="inlineStr">
        <is>
          <t>$125.45B</t>
        </is>
      </c>
      <c r="C10" t="inlineStr">
        <is>
          <t>Yahoo Finance, June 18 2026</t>
        </is>
      </c>
    </row>
    <row r="11">
      <c r="A11" t="inlineStr">
        <is>
          <t>Total Debt</t>
        </is>
      </c>
      <c r="B11" t="inlineStr">
        <is>
          <t>$66.54B</t>
        </is>
      </c>
      <c r="C11" t="inlineStr">
        <is>
          <t>EV $191.99B - MC $125.45B = $66.54B total debt</t>
        </is>
      </c>
    </row>
    <row r="12">
      <c r="A12" t="inlineStr">
        <is>
          <t>Total Capitalization</t>
        </is>
      </c>
      <c r="B12" t="inlineStr">
        <is>
          <t>$191.99B</t>
        </is>
      </c>
      <c r="C12">
        <f> MC + Debt</f>
        <v/>
      </c>
    </row>
    <row r="13">
      <c r="A13" t="inlineStr">
        <is>
          <t>Equity Weight</t>
        </is>
      </c>
      <c r="B13" t="inlineStr">
        <is>
          <t>65.34%</t>
        </is>
      </c>
      <c r="C13">
        <f> 125.45 / 191.99</f>
        <v/>
      </c>
    </row>
    <row r="14">
      <c r="A14" t="inlineStr">
        <is>
          <t>Debt Weight</t>
        </is>
      </c>
      <c r="B14" t="inlineStr">
        <is>
          <t>34.66%</t>
        </is>
      </c>
      <c r="C14">
        <f> 66.54 / 191.99</f>
        <v/>
      </c>
    </row>
    <row r="15">
      <c r="A15" t="inlineStr">
        <is>
          <t>WACC</t>
        </is>
      </c>
      <c r="B15" t="inlineStr">
        <is>
          <t>6.65%</t>
        </is>
      </c>
      <c r="C15">
        <f> 0.6534*7.59% + 0.3466*4.35%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Analysis — Bear / Base / Bull</t>
        </is>
      </c>
    </row>
    <row r="2">
      <c r="A2" s="2" t="inlineStr">
        <is>
          <t>Metric</t>
        </is>
      </c>
      <c r="B2" s="2" t="inlineStr">
        <is>
          <t>Bear</t>
        </is>
      </c>
      <c r="C2" s="2" t="inlineStr">
        <is>
          <t>Base</t>
        </is>
      </c>
      <c r="D2" s="2" t="inlineStr">
        <is>
          <t>Bull</t>
        </is>
      </c>
    </row>
    <row r="3">
      <c r="A3" t="inlineStr">
        <is>
          <t>Revenue CAGR (5Y)</t>
        </is>
      </c>
      <c r="B3" t="inlineStr">
        <is>
          <t>2%</t>
        </is>
      </c>
      <c r="C3" t="inlineStr">
        <is>
          <t>5%</t>
        </is>
      </c>
      <c r="D3" t="inlineStr">
        <is>
          <t>8%</t>
        </is>
      </c>
    </row>
    <row r="4">
      <c r="A4" t="inlineStr">
        <is>
          <t>Terminal Revenue (2031)</t>
        </is>
      </c>
      <c r="B4" t="inlineStr">
        <is>
          <t>$470B</t>
        </is>
      </c>
      <c r="C4" t="inlineStr">
        <is>
          <t>$518B</t>
        </is>
      </c>
      <c r="D4" t="inlineStr">
        <is>
          <t>$595B</t>
        </is>
      </c>
    </row>
    <row r="5">
      <c r="A5" t="inlineStr">
        <is>
          <t>Terminal Adj FCF Margin</t>
        </is>
      </c>
      <c r="B5" t="inlineStr">
        <is>
          <t>1.2%</t>
        </is>
      </c>
      <c r="C5" t="inlineStr">
        <is>
          <t>1.8%</t>
        </is>
      </c>
      <c r="D5" t="inlineStr">
        <is>
          <t>2.5%</t>
        </is>
      </c>
    </row>
    <row r="6">
      <c r="A6" t="inlineStr">
        <is>
          <t>Terminal FCF</t>
        </is>
      </c>
      <c r="B6" t="inlineStr">
        <is>
          <t>$5.64B</t>
        </is>
      </c>
      <c r="C6" t="inlineStr">
        <is>
          <t>$9.32B</t>
        </is>
      </c>
      <c r="D6" t="inlineStr">
        <is>
          <t>$14.88B</t>
        </is>
      </c>
    </row>
    <row r="7">
      <c r="A7" t="inlineStr">
        <is>
          <t>Exit P/E Multiple</t>
        </is>
      </c>
      <c r="B7" t="inlineStr">
        <is>
          <t>10x</t>
        </is>
      </c>
      <c r="C7" t="inlineStr">
        <is>
          <t>13x</t>
        </is>
      </c>
      <c r="D7" t="inlineStr">
        <is>
          <t>17x</t>
        </is>
      </c>
    </row>
    <row r="8">
      <c r="A8" t="inlineStr">
        <is>
          <t>Implied EPS (Terminal)</t>
        </is>
      </c>
      <c r="B8" t="inlineStr">
        <is>
          <t>$2.93</t>
        </is>
      </c>
      <c r="C8" t="inlineStr">
        <is>
          <t>$4.11</t>
        </is>
      </c>
      <c r="D8" t="inlineStr">
        <is>
          <t>$6.16</t>
        </is>
      </c>
    </row>
    <row r="9">
      <c r="A9" t="inlineStr">
        <is>
          <t>Implied Share Price</t>
        </is>
      </c>
      <c r="B9" t="inlineStr">
        <is>
          <t>$29.30</t>
        </is>
      </c>
      <c r="C9" t="inlineStr">
        <is>
          <t>$53.43</t>
        </is>
      </c>
      <c r="D9" t="inlineStr">
        <is>
          <t>$104.72</t>
        </is>
      </c>
    </row>
    <row r="10">
      <c r="A10" t="inlineStr">
        <is>
          <t>Up/Downside from Current</t>
        </is>
      </c>
      <c r="B10" t="inlineStr">
        <is>
          <t>-70.2%</t>
        </is>
      </c>
      <c r="C10" t="inlineStr">
        <is>
          <t>-45.6%</t>
        </is>
      </c>
      <c r="D10" t="inlineStr">
        <is>
          <t>+6.5%</t>
        </is>
      </c>
    </row>
    <row r="11">
      <c r="A11" t="inlineStr">
        <is>
          <t>Scenario Weight</t>
        </is>
      </c>
      <c r="B11" t="inlineStr">
        <is>
          <t>15%</t>
        </is>
      </c>
      <c r="C11" t="inlineStr">
        <is>
          <t>65%</t>
        </is>
      </c>
      <c r="D11" t="inlineStr">
        <is>
          <t>20%</t>
        </is>
      </c>
    </row>
    <row r="12">
      <c r="A12" t="inlineStr">
        <is>
          <t>Weighted Value/Share</t>
        </is>
      </c>
      <c r="B12" t="inlineStr">
        <is>
          <t>$4.40</t>
        </is>
      </c>
      <c r="C12" t="inlineStr">
        <is>
          <t>$34.73</t>
        </is>
      </c>
      <c r="D12" t="inlineStr">
        <is>
          <t>$20.94</t>
        </is>
      </c>
    </row>
    <row r="13">
      <c r="A13" t="inlineStr">
        <is>
          <t>Total Probability-Weighted FV</t>
        </is>
      </c>
      <c r="B13" t="inlineStr">
        <is>
          <t>$60.07</t>
        </is>
      </c>
      <c r="C13" t="inlineStr"/>
      <c r="D13" t="inlineStr"/>
    </row>
    <row r="14">
      <c r="A14" t="inlineStr">
        <is>
          <t>Upside from Current Price</t>
        </is>
      </c>
      <c r="B14" t="inlineStr">
        <is>
          <t>-38.8%</t>
        </is>
      </c>
      <c r="C14" t="inlineStr"/>
      <c r="D14" t="inlineStr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 Audit</t>
        </is>
      </c>
    </row>
    <row r="2">
      <c r="A2" s="2" t="inlineStr">
        <is>
          <t>Data Point</t>
        </is>
      </c>
      <c r="B2" s="2" t="inlineStr">
        <is>
          <t>Value</t>
        </is>
      </c>
      <c r="C2" s="2" t="inlineStr">
        <is>
          <t>Source</t>
        </is>
      </c>
      <c r="D2" s="2" t="inlineStr">
        <is>
          <t>Date</t>
        </is>
      </c>
    </row>
    <row r="3">
      <c r="A3" t="inlineStr">
        <is>
          <t>Stock Price</t>
        </is>
      </c>
      <c r="B3" t="inlineStr">
        <is>
          <t>$98.32</t>
        </is>
      </c>
      <c r="C3" t="inlineStr">
        <is>
          <t>Yahoo Finance</t>
        </is>
      </c>
      <c r="D3" t="inlineStr">
        <is>
          <t>2026-06-18</t>
        </is>
      </c>
    </row>
    <row r="4">
      <c r="A4" t="inlineStr">
        <is>
          <t>Market Cap</t>
        </is>
      </c>
      <c r="B4" t="inlineStr">
        <is>
          <t>$125.45B</t>
        </is>
      </c>
      <c r="C4" t="inlineStr">
        <is>
          <t>Yahoo Finance Stats</t>
        </is>
      </c>
      <c r="D4" t="inlineStr">
        <is>
          <t>2026-06-18</t>
        </is>
      </c>
    </row>
    <row r="5">
      <c r="A5" t="inlineStr">
        <is>
          <t>Enterprise Value</t>
        </is>
      </c>
      <c r="B5" t="inlineStr">
        <is>
          <t>$191.99B</t>
        </is>
      </c>
      <c r="C5" t="inlineStr">
        <is>
          <t>Yahoo Finance Stats</t>
        </is>
      </c>
      <c r="D5" t="inlineStr">
        <is>
          <t>2026-06-18</t>
        </is>
      </c>
    </row>
    <row r="6">
      <c r="A6" t="inlineStr">
        <is>
          <t>Diluted Avg Shares</t>
        </is>
      </c>
      <c r="B6" t="inlineStr">
        <is>
          <t>1,274.75M</t>
        </is>
      </c>
      <c r="C6" t="inlineStr">
        <is>
          <t>Yahoo Finance Income Stmt</t>
        </is>
      </c>
      <c r="D6" t="inlineStr">
        <is>
          <t>TTM</t>
        </is>
      </c>
    </row>
    <row r="7">
      <c r="A7" t="inlineStr">
        <is>
          <t>Revenue (TTM)</t>
        </is>
      </c>
      <c r="B7" t="inlineStr">
        <is>
          <t>$407.9B</t>
        </is>
      </c>
      <c r="C7" t="inlineStr">
        <is>
          <t>Yahoo Finance Income Statement</t>
        </is>
      </c>
      <c r="D7" t="inlineStr">
        <is>
          <t>TTM as of Q1 FY26</t>
        </is>
      </c>
    </row>
    <row r="8">
      <c r="A8" t="inlineStr">
        <is>
          <t>Revenue (FY2025)</t>
        </is>
      </c>
      <c r="B8" t="inlineStr">
        <is>
          <t>$402.1B</t>
        </is>
      </c>
      <c r="C8" t="inlineStr">
        <is>
          <t>Yahoo Finance</t>
        </is>
      </c>
      <c r="D8" t="inlineStr">
        <is>
          <t>12/31/2025</t>
        </is>
      </c>
    </row>
    <row r="9">
      <c r="A9" t="inlineStr">
        <is>
          <t>Revenue (FY2024)</t>
        </is>
      </c>
      <c r="B9" t="inlineStr">
        <is>
          <t>$372.8B</t>
        </is>
      </c>
      <c r="C9" t="inlineStr">
        <is>
          <t>Yahoo Finance</t>
        </is>
      </c>
      <c r="D9" t="inlineStr">
        <is>
          <t>12/31/2024</t>
        </is>
      </c>
    </row>
    <row r="10">
      <c r="A10" t="inlineStr">
        <is>
          <t>Revenue (FY2023)</t>
        </is>
      </c>
      <c r="B10" t="inlineStr">
        <is>
          <t>$357.8B</t>
        </is>
      </c>
      <c r="C10" t="inlineStr">
        <is>
          <t>Yahoo Finance</t>
        </is>
      </c>
      <c r="D10" t="inlineStr">
        <is>
          <t>12/31/2023</t>
        </is>
      </c>
    </row>
    <row r="11">
      <c r="A11" t="inlineStr">
        <is>
          <t>Revenue (FY2022)</t>
        </is>
      </c>
      <c r="B11" t="inlineStr">
        <is>
          <t>$322.5B</t>
        </is>
      </c>
      <c r="C11" t="inlineStr">
        <is>
          <t>Yahoo Finance</t>
        </is>
      </c>
      <c r="D11" t="inlineStr">
        <is>
          <t>12/31/2022</t>
        </is>
      </c>
    </row>
    <row r="12">
      <c r="A12" t="inlineStr">
        <is>
          <t>Q1 FY26 Revenue</t>
        </is>
      </c>
      <c r="B12" t="inlineStr">
        <is>
          <t>$100.43B</t>
        </is>
      </c>
      <c r="C12" t="inlineStr">
        <is>
          <t>Yahoo Finance</t>
        </is>
      </c>
      <c r="D12" t="inlineStr">
        <is>
          <t>Q1 FY26</t>
        </is>
      </c>
    </row>
    <row r="13">
      <c r="A13" t="inlineStr">
        <is>
          <t>Gross Profit (TTM)</t>
        </is>
      </c>
      <c r="B13" t="inlineStr">
        <is>
          <t>$56.6B</t>
        </is>
      </c>
      <c r="C13" t="inlineStr">
        <is>
          <t>Yahoo Finance</t>
        </is>
      </c>
      <c r="D13" t="inlineStr">
        <is>
          <t>TTM</t>
        </is>
      </c>
    </row>
    <row r="14">
      <c r="A14" t="inlineStr">
        <is>
          <t>Operating Income (TTM)</t>
        </is>
      </c>
      <c r="B14" t="inlineStr">
        <is>
          <t>$11.7B</t>
        </is>
      </c>
      <c r="C14" t="inlineStr">
        <is>
          <t>Yahoo Finance</t>
        </is>
      </c>
      <c r="D14" t="inlineStr">
        <is>
          <t>TTM</t>
        </is>
      </c>
    </row>
    <row r="15">
      <c r="A15" t="inlineStr">
        <is>
          <t>Net Income (TTM)</t>
        </is>
      </c>
      <c r="B15" t="inlineStr">
        <is>
          <t>$2.93B</t>
        </is>
      </c>
      <c r="C15" t="inlineStr">
        <is>
          <t>Yahoo Finance</t>
        </is>
      </c>
      <c r="D15" t="inlineStr">
        <is>
          <t>TTM</t>
        </is>
      </c>
    </row>
    <row r="16">
      <c r="A16" t="inlineStr">
        <is>
          <t>EPS Diluted (TTM)</t>
        </is>
      </c>
      <c r="B16" t="inlineStr">
        <is>
          <t>$2.28</t>
        </is>
      </c>
      <c r="C16" t="inlineStr">
        <is>
          <t>Yahoo Finance</t>
        </is>
      </c>
      <c r="D16" t="inlineStr">
        <is>
          <t>TTM</t>
        </is>
      </c>
    </row>
    <row r="17">
      <c r="A17" t="inlineStr">
        <is>
          <t>EPS Basic (TTM)</t>
        </is>
      </c>
      <c r="B17" t="inlineStr">
        <is>
          <t>$2.30</t>
        </is>
      </c>
      <c r="C17" t="inlineStr">
        <is>
          <t>Yahoo Finance</t>
        </is>
      </c>
      <c r="D17" t="inlineStr">
        <is>
          <t>TTM</t>
        </is>
      </c>
    </row>
    <row r="18">
      <c r="A18" t="inlineStr">
        <is>
          <t>Beta (5Y)</t>
        </is>
      </c>
      <c r="B18" t="inlineStr">
        <is>
          <t>0.62</t>
        </is>
      </c>
      <c r="C18" t="inlineStr">
        <is>
          <t>Yahoo Finance Key Stats</t>
        </is>
      </c>
      <c r="D18" t="inlineStr">
        <is>
          <t>2026-06-18</t>
        </is>
      </c>
    </row>
    <row r="19">
      <c r="A19" t="inlineStr">
        <is>
          <t>Forward P/E</t>
        </is>
      </c>
      <c r="B19" t="inlineStr">
        <is>
          <t>13.33</t>
        </is>
      </c>
      <c r="C19" t="inlineStr">
        <is>
          <t>Yahoo Finance Stats</t>
        </is>
      </c>
      <c r="D19" t="inlineStr">
        <is>
          <t>2026-06-18</t>
        </is>
      </c>
    </row>
    <row r="20">
      <c r="A20" t="inlineStr">
        <is>
          <t>PEG (5yr expected)</t>
        </is>
      </c>
      <c r="B20" t="inlineStr">
        <is>
          <t>0.28</t>
        </is>
      </c>
      <c r="C20" t="inlineStr">
        <is>
          <t>Yahoo Finance Stats</t>
        </is>
      </c>
      <c r="D20" t="inlineStr">
        <is>
          <t>2026-06-18</t>
        </is>
      </c>
    </row>
    <row r="21">
      <c r="A21" t="inlineStr">
        <is>
          <t>Total Cash (MRQ)</t>
        </is>
      </c>
      <c r="B21" t="inlineStr">
        <is>
          <t>$11.8B</t>
        </is>
      </c>
      <c r="C21" t="inlineStr">
        <is>
          <t>Yahoo Finance Stats</t>
        </is>
      </c>
      <c r="D21" t="inlineStr">
        <is>
          <t>MRQ</t>
        </is>
      </c>
    </row>
    <row r="22">
      <c r="A22" t="inlineStr">
        <is>
          <t>Total Debt (implied)</t>
        </is>
      </c>
      <c r="B22" t="inlineStr">
        <is>
          <t>$66.54B</t>
        </is>
      </c>
      <c r="C22" t="inlineStr">
        <is>
          <t>EV - MC = $191.99B - $125.45B</t>
        </is>
      </c>
      <c r="D22" t="inlineStr">
        <is>
          <t>2026-06-18</t>
        </is>
      </c>
    </row>
    <row r="23">
      <c r="A23" t="inlineStr">
        <is>
          <t>Debt/Equity (MRQ)</t>
        </is>
      </c>
      <c r="B23" t="inlineStr">
        <is>
          <t>100.91%</t>
        </is>
      </c>
      <c r="C23" t="inlineStr">
        <is>
          <t>Yahoo Finance Stats</t>
        </is>
      </c>
      <c r="D23" t="inlineStr">
        <is>
          <t>MRQ</t>
        </is>
      </c>
    </row>
    <row r="24">
      <c r="A24" t="inlineStr">
        <is>
          <t>Total Assets</t>
        </is>
      </c>
      <c r="B24" t="inlineStr">
        <is>
          <t>$253.5B</t>
        </is>
      </c>
      <c r="C24" t="inlineStr">
        <is>
          <t>Yahoo Finance Balance Sheet</t>
        </is>
      </c>
      <c r="D24" t="inlineStr">
        <is>
          <t>12/31/2025</t>
        </is>
      </c>
    </row>
    <row r="25">
      <c r="A25" t="inlineStr">
        <is>
          <t>Total Liabilities</t>
        </is>
      </c>
      <c r="B25" t="inlineStr">
        <is>
          <t>$178.2B</t>
        </is>
      </c>
      <c r="C25" t="inlineStr">
        <is>
          <t>Yahoo Finance Balance Sheet</t>
        </is>
      </c>
      <c r="D25" t="inlineStr">
        <is>
          <t>12/31/2025</t>
        </is>
      </c>
    </row>
    <row r="26">
      <c r="A26" t="inlineStr">
        <is>
          <t>Total Equity</t>
        </is>
      </c>
      <c r="B26" t="inlineStr">
        <is>
          <t>$75.4B</t>
        </is>
      </c>
      <c r="C26" t="inlineStr">
        <is>
          <t>Yahoo Finance Balance Sheet</t>
        </is>
      </c>
      <c r="D26" t="inlineStr">
        <is>
          <t>12/31/2025</t>
        </is>
      </c>
    </row>
    <row r="27">
      <c r="A27" t="inlineStr">
        <is>
          <t>Operating CF (TTM)</t>
        </is>
      </c>
      <c r="B27" t="inlineStr">
        <is>
          <t>$10.3B</t>
        </is>
      </c>
      <c r="C27" t="inlineStr">
        <is>
          <t>Yahoo Finance Cash Flow</t>
        </is>
      </c>
      <c r="D27" t="inlineStr">
        <is>
          <t>TTM</t>
        </is>
      </c>
    </row>
    <row r="28">
      <c r="A28" t="inlineStr">
        <is>
          <t>Free Cash Flow (TTM)</t>
        </is>
      </c>
      <c r="B28" t="inlineStr">
        <is>
          <t>$7.4B</t>
        </is>
      </c>
      <c r="C28" t="inlineStr">
        <is>
          <t>Yahoo Finance Cash Flow</t>
        </is>
      </c>
      <c r="D28" t="inlineStr">
        <is>
          <t>TTM</t>
        </is>
      </c>
    </row>
    <row r="29">
      <c r="A29" t="inlineStr">
        <is>
          <t>CapEx (TTM)</t>
        </is>
      </c>
      <c r="B29" t="inlineStr">
        <is>
          <t>$2.94B</t>
        </is>
      </c>
      <c r="C29" t="inlineStr">
        <is>
          <t>Yahoo Finance Cash Flow</t>
        </is>
      </c>
      <c r="D29" t="inlineStr">
        <is>
          <t>TTM</t>
        </is>
      </c>
    </row>
    <row r="30">
      <c r="A30" t="inlineStr">
        <is>
          <t>Dividend Yield</t>
        </is>
      </c>
      <c r="B30" t="inlineStr">
        <is>
          <t>2.64% ($2.66)</t>
        </is>
      </c>
      <c r="C30" t="inlineStr">
        <is>
          <t>Yahoo Finance</t>
        </is>
      </c>
      <c r="D30" t="inlineStr">
        <is>
          <t>2026-06-18</t>
        </is>
      </c>
    </row>
    <row r="31">
      <c r="A31" t="inlineStr">
        <is>
          <t>Next Earnings Date</t>
        </is>
      </c>
      <c r="B31" t="inlineStr">
        <is>
          <t>July 30, 2026</t>
        </is>
      </c>
      <c r="C31" t="inlineStr">
        <is>
          <t>Yahoo Finance</t>
        </is>
      </c>
      <c r="D31" t="inlineStr">
        <is>
          <t>Estimated</t>
        </is>
      </c>
    </row>
    <row r="32">
      <c r="A32" t="inlineStr">
        <is>
          <t>1Y Analyst Target</t>
        </is>
      </c>
      <c r="B32" t="inlineStr">
        <is>
          <t>$105.00</t>
        </is>
      </c>
      <c r="C32" t="inlineStr">
        <is>
          <t>Yahoo Finance</t>
        </is>
      </c>
      <c r="D32" t="inlineStr">
        <is>
          <t>Average</t>
        </is>
      </c>
    </row>
    <row r="33">
      <c r="A33" t="inlineStr">
        <is>
          <t>10Y Treasury Rate</t>
        </is>
      </c>
      <c r="B33" t="inlineStr">
        <is>
          <t>4.49%</t>
        </is>
      </c>
      <c r="C33" t="inlineStr">
        <is>
          <t>FRED DGS10</t>
        </is>
      </c>
      <c r="D33" t="inlineStr">
        <is>
          <t>2026-06-17</t>
        </is>
      </c>
    </row>
    <row r="34">
      <c r="A34" t="inlineStr">
        <is>
          <t>Q1 FY26 EPS</t>
        </is>
      </c>
      <c r="B34" t="inlineStr">
        <is>
          <t>$2.57 actual vs $2.21 est</t>
        </is>
      </c>
      <c r="C34" t="inlineStr">
        <is>
          <t>Yahoo Finance</t>
        </is>
      </c>
      <c r="D34" t="inlineStr">
        <is>
          <t>Q1 FY26 beat</t>
        </is>
      </c>
    </row>
    <row r="35">
      <c r="A35" t="inlineStr">
        <is>
          <t>1Y Stock Return</t>
        </is>
      </c>
      <c r="B35" t="inlineStr">
        <is>
          <t>+47.10%</t>
        </is>
      </c>
      <c r="C35" t="inlineStr">
        <is>
          <t>Yahoo Finance</t>
        </is>
      </c>
      <c r="D35" t="inlineStr">
        <is>
          <t>2026-06-18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 Questions</t>
        </is>
      </c>
    </row>
    <row r="2">
      <c r="A2" s="2" t="inlineStr">
        <is>
          <t>No.</t>
        </is>
      </c>
      <c r="B2" s="2" t="inlineStr">
        <is>
          <t>Question</t>
        </is>
      </c>
    </row>
    <row r="3">
      <c r="A3" t="inlineStr">
        <is>
          <t>2.</t>
        </is>
      </c>
      <c r="B3" t="inlineStr">
        <is>
          <t>What is the trajectory of Aetna's Medicare Advantage profitability after rate cuts and regulatory pressure?</t>
        </is>
      </c>
    </row>
    <row r="4">
      <c r="A4" t="inlineStr">
        <is>
          <t>3.</t>
        </is>
      </c>
      <c r="B4" t="inlineStr">
        <is>
          <t>How much headwind from the Inflation Reduction Act drug price negotiations affects the Pharmacy segment?</t>
        </is>
      </c>
    </row>
    <row r="5">
      <c r="A5" t="inlineStr">
        <is>
          <t>4.</t>
        </is>
      </c>
      <c r="B5" t="inlineStr">
        <is>
          <t>Will PBM margin compression from government regulation continue to pressure Express Scripts?</t>
        </is>
      </c>
    </row>
    <row r="6">
      <c r="A6" t="inlineStr">
        <is>
          <t>5.</t>
        </is>
      </c>
      <c r="B6" t="inlineStr">
        <is>
          <t>What is the debt service burden at $66.5B with interest expense of $3.1B annually?</t>
        </is>
      </c>
    </row>
    <row r="7">
      <c r="A7" t="inlineStr">
        <is>
          <t>6.</t>
        </is>
      </c>
      <c r="B7" t="inlineStr">
        <is>
          <t>Can cost synergies from the Aetna acquisition materialize enough to offset margin erosion?</t>
        </is>
      </c>
    </row>
    <row r="8">
      <c r="A8" t="inlineStr">
        <is>
          <t>7.</t>
        </is>
      </c>
      <c r="B8" t="inlineStr">
        <is>
          <t>What impact will PBX (pharmacy-benefit-exchange) models and PBM disaggregation have on Express Scripts?</t>
        </is>
      </c>
    </row>
    <row r="9">
      <c r="A9" t="inlineStr">
        <is>
          <t>8.</t>
        </is>
      </c>
      <c r="B9" t="inlineStr">
        <is>
          <t>How does the company defend the 2.64% dividend yield if earnings continue to compress?</t>
        </is>
      </c>
    </row>
    <row r="10">
      <c r="A10" t="inlineStr">
        <is>
          <t>9.</t>
        </is>
      </c>
      <c r="B10" t="inlineStr">
        <is>
          <t>What is the exposure to Medicaid expansion changes under current political environment?</t>
        </is>
      </c>
    </row>
    <row r="11">
      <c r="A11" t="inlineStr">
        <is>
          <t>10.</t>
        </is>
      </c>
      <c r="B11" t="inlineStr">
        <is>
          <t>Is the Forward P/E of 13.33x genuinely attractive or does it mask a falling-earnings problem?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Sources</t>
        </is>
      </c>
    </row>
    <row r="2">
      <c r="A2" s="2" t="inlineStr">
        <is>
          <t>No.</t>
        </is>
      </c>
      <c r="B2" s="2" t="inlineStr">
        <is>
          <t>Source</t>
        </is>
      </c>
    </row>
    <row r="3">
      <c r="A3" t="inlineStr">
        <is>
          <t>2.</t>
        </is>
      </c>
      <c r="B3" t="inlineStr">
        <is>
          <t>Yahoo Finance - CVS Income Statement (annual)</t>
        </is>
      </c>
    </row>
    <row r="4">
      <c r="A4" t="inlineStr">
        <is>
          <t>3.</t>
        </is>
      </c>
      <c r="B4" t="inlineStr">
        <is>
          <t>Yahoo Finance - CVS Balance Sheet (annual)</t>
        </is>
      </c>
    </row>
    <row r="5">
      <c r="A5" t="inlineStr">
        <is>
          <t>4.</t>
        </is>
      </c>
      <c r="B5" t="inlineStr">
        <is>
          <t>Yahoo Finance - CVS Cash Flow Statement (annual)</t>
        </is>
      </c>
    </row>
    <row r="6">
      <c r="A6" t="inlineStr">
        <is>
          <t>5.</t>
        </is>
      </c>
      <c r="B6" t="inlineStr">
        <is>
          <t>Yahoo Finance - CVS Key Statistics page</t>
        </is>
      </c>
    </row>
    <row r="7">
      <c r="A7" t="inlineStr">
        <is>
          <t>6.</t>
        </is>
      </c>
      <c r="B7" t="inlineStr">
        <is>
          <t>Yahoo Finance - CVS Analysis / Analyst Estimates</t>
        </is>
      </c>
    </row>
    <row r="8">
      <c r="A8" t="inlineStr">
        <is>
          <t>7.</t>
        </is>
      </c>
      <c r="B8" t="inlineStr">
        <is>
          <t>FRED DGS10 - 10-Year Treasury Rate, June 17 2026</t>
        </is>
      </c>
    </row>
    <row r="9">
      <c r="A9" t="inlineStr">
        <is>
          <t>8.</t>
        </is>
      </c>
      <c r="B9" t="inlineStr">
        <is>
          <t>Yahoo Finance News - CVS Q1 FY26 earnings beat coverage</t>
        </is>
      </c>
    </row>
    <row r="10">
      <c r="A10" t="inlineStr">
        <is>
          <t>9.</t>
        </is>
      </c>
      <c r="B10" t="inlineStr">
        <is>
          <t>Express Scripts / PBMA lawsuit re: Tennessee PBM law (Healthcare Dive)</t>
        </is>
      </c>
    </row>
    <row r="11">
      <c r="A11" t="inlineStr">
        <is>
          <t>10.</t>
        </is>
      </c>
      <c r="B11" t="inlineStr">
        <is>
          <t>Mizuho June 8 2026 Outperform rating, $115 PT (via Yahoo Finance)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2026-06-19T11:44:17Z</dcterms:created>
  <dcterms:modified xsi:type="dcterms:W3CDTF">2026-06-19T11:44:17Z</dcterms:modified>
</cp:coreProperties>
</file>