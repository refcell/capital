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12"/>
    </font>
    <font>
      <name val="Calibri"/>
      <i val="1"/>
      <color rgb="00CC0000"/>
      <sz val="9"/>
    </font>
    <font>
      <name val="Calibri"/>
      <i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Wingstop Inc. (WING) — Valuation Summary</t>
        </is>
      </c>
    </row>
    <row r="2">
      <c r="A2" s="2" t="inlineStr">
        <is>
          <t>Fallen Angel Framework — Forward P/E Primary Lens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Source / Notes</t>
        </is>
      </c>
    </row>
    <row r="5">
      <c r="A5" s="4" t="inlineStr">
        <is>
          <t>Ticker</t>
        </is>
      </c>
      <c r="B5" s="4" t="inlineStr">
        <is>
          <t>NASDAQ: WING</t>
        </is>
      </c>
      <c r="C5" s="4" t="inlineStr"/>
    </row>
    <row r="6">
      <c r="A6" s="4" t="inlineStr">
        <is>
          <t>Date</t>
        </is>
      </c>
      <c r="B6" s="4" t="inlineStr">
        <is>
          <t>2026-08-14</t>
        </is>
      </c>
      <c r="C6" s="4" t="inlineStr"/>
    </row>
    <row r="7">
      <c r="A7" s="4" t="inlineStr">
        <is>
          <t>Price</t>
        </is>
      </c>
      <c r="B7" s="4" t="inlineStr">
        <is>
          <t>$126.12</t>
        </is>
      </c>
      <c r="C7" s="4" t="inlineStr">
        <is>
          <t>Close 14 Aug 2026</t>
        </is>
      </c>
    </row>
    <row r="8">
      <c r="A8" s="5" t="inlineStr">
        <is>
          <t>Shares Outstanding</t>
        </is>
      </c>
      <c r="B8" s="5" t="inlineStr">
        <is>
          <t>27.24M</t>
        </is>
      </c>
      <c r="C8" s="5" t="inlineStr">
        <is>
          <t>Yahoo Key Stats</t>
        </is>
      </c>
    </row>
    <row r="9">
      <c r="A9" s="4" t="inlineStr">
        <is>
          <t>Market Cap</t>
        </is>
      </c>
      <c r="B9" s="4" t="inlineStr">
        <is>
          <t>$3.44B</t>
        </is>
      </c>
      <c r="C9" s="4" t="inlineStr">
        <is>
          <t>27.24M x $126.12</t>
        </is>
      </c>
    </row>
    <row r="10">
      <c r="A10" s="5" t="inlineStr">
        <is>
          <t>Enterprise Value</t>
        </is>
      </c>
      <c r="B10" s="5" t="inlineStr">
        <is>
          <t>$4.35B</t>
        </is>
      </c>
      <c r="C10" s="5" t="inlineStr">
        <is>
          <t>Yahoo Key Stats</t>
        </is>
      </c>
    </row>
    <row r="11">
      <c r="A11" s="4" t="inlineStr">
        <is>
          <t>Total Debt</t>
        </is>
      </c>
      <c r="B11" s="4" t="inlineStr">
        <is>
          <t>$1.27B</t>
        </is>
      </c>
      <c r="C11" s="4" t="inlineStr">
        <is>
          <t>BS 12/31/2025</t>
        </is>
      </c>
    </row>
    <row r="12">
      <c r="A12" s="4" t="inlineStr">
        <is>
          <t>Cash</t>
        </is>
      </c>
      <c r="B12" s="4" t="inlineStr">
        <is>
          <t>$127.5M</t>
        </is>
      </c>
      <c r="C12" s="4" t="inlineStr">
        <is>
          <t>Key Stats MRQ</t>
        </is>
      </c>
    </row>
    <row r="13">
      <c r="A13" s="5" t="inlineStr">
        <is>
          <t>Net Debt (EV − MC)</t>
        </is>
      </c>
      <c r="B13" s="5" t="inlineStr">
        <is>
          <t>$0.91B</t>
        </is>
      </c>
      <c r="C13" s="5" t="inlineStr">
        <is>
          <t>$4.35B − $3.44B</t>
        </is>
      </c>
    </row>
    <row r="14">
      <c r="A14" s="5" t="inlineStr">
        <is>
          <t>Primary Lens</t>
        </is>
      </c>
      <c r="B14" s="5" t="inlineStr">
        <is>
          <t>Forward P/E</t>
        </is>
      </c>
      <c r="C14" s="5" t="inlineStr">
        <is>
          <t>Negative equity disqualifies P/B; FCF gray zone</t>
        </is>
      </c>
    </row>
    <row r="15">
      <c r="A15" s="4" t="inlineStr">
        <is>
          <t>Stance</t>
        </is>
      </c>
      <c r="B15" s="4" t="inlineStr">
        <is>
          <t>Watch</t>
        </is>
      </c>
      <c r="C15" s="4" t="inlineStr">
        <is>
          <t>Fallen angel — base case near current price</t>
        </is>
      </c>
    </row>
    <row r="16">
      <c r="A16" s="4" t="inlineStr">
        <is>
          <t>52-Week Range</t>
        </is>
      </c>
      <c r="B16" s="4" t="inlineStr">
        <is>
          <t>$110.44 – $345.81</t>
        </is>
      </c>
      <c r="C16" s="4" t="inlineStr">
        <is>
          <t>−63.4% from high</t>
        </is>
      </c>
    </row>
    <row r="17">
      <c r="A17" s="5" t="inlineStr">
        <is>
          <t>Beta (5Y Mo)</t>
        </is>
      </c>
      <c r="B17" s="5" t="inlineStr">
        <is>
          <t>1.81</t>
        </is>
      </c>
      <c r="C17" s="5" t="inlineStr">
        <is>
          <t>Yahoo Key Stats — high vol</t>
        </is>
      </c>
    </row>
    <row r="18">
      <c r="A18" s="5" t="inlineStr">
        <is>
          <t>Dividend Yield</t>
        </is>
      </c>
      <c r="B18" s="5" t="inlineStr">
        <is>
          <t>1.16%</t>
        </is>
      </c>
      <c r="C18" s="5" t="inlineStr">
        <is>
          <t>$1.32 forward annual</t>
        </is>
      </c>
    </row>
    <row r="20">
      <c r="A20" s="6" t="inlineStr">
        <is>
          <t>Key Valuation Metrics</t>
        </is>
      </c>
    </row>
    <row r="21">
      <c r="A21" s="3" t="inlineStr">
        <is>
          <t>Metric</t>
        </is>
      </c>
      <c r="B21" s="3" t="inlineStr">
        <is>
          <t>Value</t>
        </is>
      </c>
      <c r="C21" s="3" t="inlineStr">
        <is>
          <t>Comment</t>
        </is>
      </c>
    </row>
    <row r="22">
      <c r="A22" s="5" t="inlineStr">
        <is>
          <t>P/E Trailing</t>
        </is>
      </c>
      <c r="B22" s="5" t="inlineStr">
        <is>
          <t>27.80x</t>
        </is>
      </c>
      <c r="C22" s="5" t="inlineStr">
        <is>
          <t>From $4.23 TTM EPS</t>
        </is>
      </c>
    </row>
    <row r="23">
      <c r="A23" s="5" t="inlineStr">
        <is>
          <t>Forward P/E (FY2026)</t>
        </is>
      </c>
      <c r="B23" s="5" t="inlineStr">
        <is>
          <t>28.3x</t>
        </is>
      </c>
      <c r="C23" s="5" t="inlineStr">
        <is>
          <t>$126.12 / $4.45 consensus (28 analysts)</t>
        </is>
      </c>
    </row>
    <row r="24">
      <c r="A24" s="5" t="inlineStr">
        <is>
          <t>Forward P/E (FY2027)</t>
        </is>
      </c>
      <c r="B24" s="5" t="inlineStr">
        <is>
          <t>23.5x</t>
        </is>
      </c>
      <c r="C24" s="5" t="inlineStr">
        <is>
          <t>$126.12 / $5.36 consensus</t>
        </is>
      </c>
    </row>
    <row r="25">
      <c r="A25" s="4" t="inlineStr">
        <is>
          <t>P/S (TTM)</t>
        </is>
      </c>
      <c r="B25" s="4" t="inlineStr">
        <is>
          <t>4.51x</t>
        </is>
      </c>
      <c r="C25" s="4" t="inlineStr">
        <is>
          <t>Revenue $720.7M</t>
        </is>
      </c>
    </row>
    <row r="26">
      <c r="A26" s="4" t="inlineStr">
        <is>
          <t>EV/EBITDA</t>
        </is>
      </c>
      <c r="B26" s="4" t="inlineStr">
        <is>
          <t>18.6x</t>
        </is>
      </c>
      <c r="C26" s="4" t="inlineStr">
        <is>
          <t>S&amp;P EBITDA $234M</t>
        </is>
      </c>
    </row>
    <row r="27">
      <c r="A27" s="4" t="inlineStr">
        <is>
          <t>EV/Sales</t>
        </is>
      </c>
      <c r="B27" s="4" t="inlineStr">
        <is>
          <t>6.03x</t>
        </is>
      </c>
      <c r="C27" s="4" t="inlineStr">
        <is>
          <t>Key Stats</t>
        </is>
      </c>
    </row>
    <row r="28">
      <c r="A28" s="5" t="inlineStr">
        <is>
          <t>PEG (5yr expected)</t>
        </is>
      </c>
      <c r="B28" s="5" t="inlineStr">
        <is>
          <t>1.82x</t>
        </is>
      </c>
      <c r="C28" s="5" t="inlineStr">
        <is>
          <t>Key Stats</t>
        </is>
      </c>
    </row>
    <row r="29">
      <c r="A29" s="5" t="inlineStr">
        <is>
          <t>FCF Yield (TTM)</t>
        </is>
      </c>
      <c r="B29" s="5" t="inlineStr">
        <is>
          <t>3.74%</t>
        </is>
      </c>
      <c r="C29" s="5" t="inlineStr">
        <is>
          <t>$128.5M FCF / $3.44B MC</t>
        </is>
      </c>
    </row>
    <row r="30">
      <c r="A30" s="5" t="inlineStr">
        <is>
          <t>Dividend Yield</t>
        </is>
      </c>
      <c r="B30" s="5" t="inlineStr">
        <is>
          <t>1.16%</t>
        </is>
      </c>
      <c r="C30" s="5" t="inlineStr">
        <is>
          <t>$1.32 forward annual / $126.12</t>
        </is>
      </c>
    </row>
    <row r="31">
      <c r="A31" s="5" t="inlineStr">
        <is>
          <t>Short % of Float</t>
        </is>
      </c>
      <c r="B31" s="5" t="inlineStr">
        <is>
          <t>15.64%</t>
        </is>
      </c>
      <c r="C31" s="5" t="inlineStr">
        <is>
          <t>7/31/2026 — highly contested</t>
        </is>
      </c>
    </row>
    <row r="33">
      <c r="A33" s="6" t="inlineStr">
        <is>
          <t>Revenue History — Income Statement (annual)</t>
        </is>
      </c>
    </row>
    <row r="34">
      <c r="A34" s="3" t="inlineStr">
        <is>
          <t>Year / Period</t>
        </is>
      </c>
      <c r="B34" s="3" t="inlineStr">
        <is>
          <t>Revenue ($M)</t>
        </is>
      </c>
      <c r="C34" s="3" t="inlineStr">
        <is>
          <t>Gross Profit ($M)</t>
        </is>
      </c>
      <c r="D34" s="3" t="inlineStr">
        <is>
          <t>Op Income ($M)</t>
        </is>
      </c>
      <c r="E34" s="3" t="inlineStr">
        <is>
          <t>Net Income ($M)</t>
        </is>
      </c>
      <c r="F34" s="3" t="inlineStr">
        <is>
          <t>Diluted EPS</t>
        </is>
      </c>
    </row>
    <row r="35">
      <c r="A35" s="4" t="inlineStr">
        <is>
          <t>FY2022</t>
        </is>
      </c>
      <c r="B35" s="4" t="inlineStr">
        <is>
          <t>$357.5</t>
        </is>
      </c>
      <c r="C35" s="4" t="inlineStr">
        <is>
          <t>$171.1</t>
        </is>
      </c>
      <c r="D35" s="4" t="inlineStr">
        <is>
          <t>$93.1</t>
        </is>
      </c>
      <c r="E35" s="4" t="inlineStr">
        <is>
          <t>$52.9</t>
        </is>
      </c>
      <c r="F35" s="4" t="inlineStr">
        <is>
          <t>$1.77</t>
        </is>
      </c>
    </row>
    <row r="36">
      <c r="A36" s="4" t="inlineStr">
        <is>
          <t>FY2023</t>
        </is>
      </c>
      <c r="B36" s="4" t="inlineStr">
        <is>
          <t>$460.1</t>
        </is>
      </c>
      <c r="C36" s="4" t="inlineStr">
        <is>
          <t>$222.8</t>
        </is>
      </c>
      <c r="D36" s="4" t="inlineStr">
        <is>
          <t>$112.7</t>
        </is>
      </c>
      <c r="E36" s="4" t="inlineStr">
        <is>
          <t>$70.2</t>
        </is>
      </c>
      <c r="F36" s="4" t="inlineStr">
        <is>
          <t>$2.35</t>
        </is>
      </c>
    </row>
    <row r="37">
      <c r="A37" s="4" t="inlineStr">
        <is>
          <t>FY2024</t>
        </is>
      </c>
      <c r="B37" s="4" t="inlineStr">
        <is>
          <t>$625.8</t>
        </is>
      </c>
      <c r="C37" s="4" t="inlineStr">
        <is>
          <t>$300.9</t>
        </is>
      </c>
      <c r="D37" s="4" t="inlineStr">
        <is>
          <t>$164.6</t>
        </is>
      </c>
      <c r="E37" s="4" t="inlineStr">
        <is>
          <t>$108.7</t>
        </is>
      </c>
      <c r="F37" s="4" t="inlineStr">
        <is>
          <t>$3.70</t>
        </is>
      </c>
    </row>
    <row r="38">
      <c r="A38" s="4" t="inlineStr">
        <is>
          <t>FY2025*</t>
        </is>
      </c>
      <c r="B38" s="4" t="inlineStr">
        <is>
          <t>$696.9</t>
        </is>
      </c>
      <c r="C38" s="4" t="inlineStr">
        <is>
          <t>$339.3</t>
        </is>
      </c>
      <c r="D38" s="4" t="inlineStr">
        <is>
          <t>$185.8</t>
        </is>
      </c>
      <c r="E38" s="4" t="inlineStr">
        <is>
          <t>$174.3</t>
        </is>
      </c>
      <c r="F38" s="4" t="inlineStr">
        <is>
          <t>$6.21</t>
        </is>
      </c>
    </row>
    <row r="39">
      <c r="A39" s="4" t="inlineStr">
        <is>
          <t>TTM</t>
        </is>
      </c>
      <c r="B39" s="4" t="inlineStr">
        <is>
          <t>$720.7</t>
        </is>
      </c>
      <c r="C39" s="4" t="inlineStr">
        <is>
          <t>$356.2</t>
        </is>
      </c>
      <c r="D39" s="4" t="inlineStr">
        <is>
          <t>$200.8</t>
        </is>
      </c>
      <c r="E39" s="4" t="inlineStr">
        <is>
          <t>$116.4</t>
        </is>
      </c>
      <c r="F39" s="4" t="inlineStr">
        <is>
          <t>$4.23</t>
        </is>
      </c>
    </row>
    <row r="40">
      <c r="A40" s="7" t="inlineStr">
        <is>
          <t>* FY2025 includes $87.1M one-time gain (Other Income/Expense). Normalized NI ~$87.1M, EPS ~$3.93.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0" customWidth="1" min="3" max="3"/>
  </cols>
  <sheetData>
    <row r="1">
      <c r="A1" s="1" t="inlineStr">
        <is>
          <t>WACC — Wingstop Inc. (WING)</t>
        </is>
      </c>
    </row>
    <row r="2">
      <c r="A2" s="8" t="n"/>
    </row>
    <row r="4">
      <c r="A4" s="3" t="inlineStr">
        <is>
          <t>Component</t>
        </is>
      </c>
      <c r="B4" s="3" t="inlineStr">
        <is>
          <t>Value</t>
        </is>
      </c>
      <c r="C4" s="3" t="inlineStr">
        <is>
          <t>Calculation / Source</t>
        </is>
      </c>
    </row>
    <row r="5">
      <c r="A5" s="5" t="inlineStr">
        <is>
          <t>Risk-Free Rate (10Y US)</t>
        </is>
      </c>
      <c r="B5" s="5" t="inlineStr">
        <is>
          <t>4.69%</t>
        </is>
      </c>
      <c r="C5" s="5" t="inlineStr">
        <is>
          <t>CNBC US10Y, Aug 14 2026</t>
        </is>
      </c>
    </row>
    <row r="6">
      <c r="A6" s="5" t="inlineStr">
        <is>
          <t>Equity Risk Premium</t>
        </is>
      </c>
      <c r="B6" s="5" t="inlineStr">
        <is>
          <t>5.00%</t>
        </is>
      </c>
      <c r="C6" s="5" t="inlineStr">
        <is>
          <t>Assumed</t>
        </is>
      </c>
    </row>
    <row r="7">
      <c r="A7" s="5" t="inlineStr">
        <is>
          <t>Levered Beta (5Y Monthly)</t>
        </is>
      </c>
      <c r="B7" s="5" t="inlineStr">
        <is>
          <t>1.81</t>
        </is>
      </c>
      <c r="C7" s="5" t="inlineStr">
        <is>
          <t>Yahoo Key Stats</t>
        </is>
      </c>
    </row>
    <row r="8">
      <c r="A8" s="5" t="inlineStr">
        <is>
          <t>Cost of Equity (CAPM)</t>
        </is>
      </c>
      <c r="B8" s="5" t="inlineStr">
        <is>
          <t>13.74%</t>
        </is>
      </c>
      <c r="C8" s="5">
        <f> 4.69% + 1.81 x 5.00%</f>
        <v/>
      </c>
    </row>
    <row r="9">
      <c r="A9" s="5" t="inlineStr">
        <is>
          <t>Cost of Debt (pre-tax)</t>
        </is>
      </c>
      <c r="B9" s="5" t="inlineStr">
        <is>
          <t>3.00%</t>
        </is>
      </c>
      <c r="C9" s="5">
        <f> $38M int / $1,270M debt</f>
        <v/>
      </c>
    </row>
    <row r="10">
      <c r="A10" s="4" t="inlineStr">
        <is>
          <t>Tax Rate</t>
        </is>
      </c>
      <c r="B10" s="4" t="inlineStr">
        <is>
          <t>27.00%</t>
        </is>
      </c>
      <c r="C10" s="4" t="inlineStr">
        <is>
          <t>Blended historical</t>
        </is>
      </c>
    </row>
    <row r="11">
      <c r="A11" s="5" t="inlineStr">
        <is>
          <t>Cost of Debt (after-tax)</t>
        </is>
      </c>
      <c r="B11" s="5" t="inlineStr">
        <is>
          <t>2.19%</t>
        </is>
      </c>
      <c r="C11" s="5">
        <f> 3.00% x (1 − 0.27)</f>
        <v/>
      </c>
    </row>
    <row r="12">
      <c r="A12" s="4" t="inlineStr">
        <is>
          <t>Market Cap</t>
        </is>
      </c>
      <c r="B12" s="4" t="inlineStr">
        <is>
          <t>$3.44B</t>
        </is>
      </c>
      <c r="C12" s="4" t="inlineStr">
        <is>
          <t>27.24M x $126.12</t>
        </is>
      </c>
    </row>
    <row r="13">
      <c r="A13" s="4" t="inlineStr">
        <is>
          <t>Total Debt</t>
        </is>
      </c>
      <c r="B13" s="4" t="inlineStr">
        <is>
          <t>$1.27B</t>
        </is>
      </c>
      <c r="C13" s="4" t="inlineStr">
        <is>
          <t>BS 12/31/2025</t>
        </is>
      </c>
    </row>
    <row r="14">
      <c r="A14" s="5" t="inlineStr">
        <is>
          <t>Equity Weight</t>
        </is>
      </c>
      <c r="B14" s="5" t="inlineStr">
        <is>
          <t>73.0%</t>
        </is>
      </c>
      <c r="C14" s="5">
        <f> 3.44 / (3.44 + 1.27)</f>
        <v/>
      </c>
    </row>
    <row r="15">
      <c r="A15" s="5" t="inlineStr">
        <is>
          <t>Debt Weight</t>
        </is>
      </c>
      <c r="B15" s="5" t="inlineStr">
        <is>
          <t>27.0%</t>
        </is>
      </c>
      <c r="C15" s="5">
        <f> 1.27 / (3.44 + 1.27)</f>
        <v/>
      </c>
    </row>
    <row r="16">
      <c r="A16" s="4" t="inlineStr"/>
      <c r="B16" s="4" t="inlineStr"/>
      <c r="C16" s="4" t="inlineStr"/>
    </row>
    <row r="17">
      <c r="A17" s="4" t="inlineStr">
        <is>
          <t>WACC</t>
        </is>
      </c>
      <c r="B17" s="4" t="inlineStr">
        <is>
          <t>10.63%</t>
        </is>
      </c>
      <c r="C17" s="4">
        <f> 73.0% x 13.74% + 27.0% x 2.19%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Analysis — WING (Forward P/E Primary Framework)</t>
        </is>
      </c>
    </row>
    <row r="2">
      <c r="A2" s="9" t="inlineStr">
        <is>
          <t>Primary: Forward P/E. FCF multiples used as secondary cross-check. Negative common equity (−$737M) and debt/FCF ratio of 7.5x make FCF-multiple bear targets unreliable (implied EV &lt; net debt).</t>
        </is>
      </c>
    </row>
    <row r="4">
      <c r="A4" s="3" t="inlineStr">
        <is>
          <t>Metric</t>
        </is>
      </c>
      <c r="B4" s="3" t="inlineStr">
        <is>
          <t>Bear (20%)</t>
        </is>
      </c>
      <c r="C4" s="3" t="inlineStr">
        <is>
          <t>Base (50%)</t>
        </is>
      </c>
      <c r="D4" s="3" t="inlineStr">
        <is>
          <t>Bull (30%)</t>
        </is>
      </c>
      <c r="E4" s="3" t="inlineStr">
        <is>
          <t>Weighted</t>
        </is>
      </c>
      <c r="F4" s="3" t="inlineStr">
        <is>
          <t>Notes</t>
        </is>
      </c>
    </row>
    <row r="5">
      <c r="A5" s="5" t="inlineStr">
        <is>
          <t>Revenue CAGR (FY2027–2031)</t>
        </is>
      </c>
      <c r="B5" s="5" t="inlineStr">
        <is>
          <t>5%</t>
        </is>
      </c>
      <c r="C5" s="5" t="inlineStr">
        <is>
          <t>9%</t>
        </is>
      </c>
      <c r="D5" s="5" t="inlineStr">
        <is>
          <t>15%</t>
        </is>
      </c>
      <c r="E5" s="5" t="inlineStr"/>
      <c r="F5" s="5" t="inlineStr">
        <is>
          <t>From $887.9M FY2027 cons.</t>
        </is>
      </c>
    </row>
    <row r="6">
      <c r="A6" s="5" t="inlineStr">
        <is>
          <t>Terminal Revenue (2031, $M)</t>
        </is>
      </c>
      <c r="B6" s="5" t="inlineStr">
        <is>
          <t>$1079</t>
        </is>
      </c>
      <c r="C6" s="5" t="inlineStr">
        <is>
          <t>$1253</t>
        </is>
      </c>
      <c r="D6" s="5" t="inlineStr">
        <is>
          <t>$1553</t>
        </is>
      </c>
      <c r="E6" s="5" t="inlineStr"/>
      <c r="F6" s="5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5" t="inlineStr">
        <is>
          <t>EPS CAGR (FY2027–2031)</t>
        </is>
      </c>
      <c r="B8" s="5" t="inlineStr">
        <is>
          <t>5%</t>
        </is>
      </c>
      <c r="C8" s="5" t="inlineStr">
        <is>
          <t>9%</t>
        </is>
      </c>
      <c r="D8" s="5" t="inlineStr">
        <is>
          <t>15%</t>
        </is>
      </c>
      <c r="E8" s="5" t="inlineStr"/>
      <c r="F8" s="5" t="inlineStr">
        <is>
          <t>From $5.36 FY2027 cons.</t>
        </is>
      </c>
    </row>
    <row r="9">
      <c r="A9" s="5" t="inlineStr">
        <is>
          <t>Terminal EPS (2031)</t>
        </is>
      </c>
      <c r="B9" s="5" t="inlineStr">
        <is>
          <t>$6.52</t>
        </is>
      </c>
      <c r="C9" s="5" t="inlineStr">
        <is>
          <t>$7.57</t>
        </is>
      </c>
      <c r="D9" s="5" t="inlineStr">
        <is>
          <t>$9.37</t>
        </is>
      </c>
      <c r="E9" s="5" t="inlineStr"/>
      <c r="F9" s="5" t="inlineStr">
        <is>
          <t>Normalized — excl. FY25 one-time</t>
        </is>
      </c>
    </row>
    <row r="10">
      <c r="A10" s="5" t="inlineStr">
        <is>
          <t>Exit P/E (primary)</t>
        </is>
      </c>
      <c r="B10" s="5" t="inlineStr">
        <is>
          <t>15</t>
        </is>
      </c>
      <c r="C10" s="5" t="inlineStr">
        <is>
          <t>20</t>
        </is>
      </c>
      <c r="D10" s="5" t="inlineStr">
        <is>
          <t>27</t>
        </is>
      </c>
      <c r="E10" s="5" t="inlineStr"/>
      <c r="F10" s="5" t="inlineStr">
        <is>
          <t>Primary framework</t>
        </is>
      </c>
    </row>
    <row r="11">
      <c r="A11" s="5" t="inlineStr">
        <is>
          <t>Target Price (P/E)</t>
        </is>
      </c>
      <c r="B11" s="5" t="inlineStr">
        <is>
          <t>$97.73</t>
        </is>
      </c>
      <c r="C11" s="5" t="inlineStr">
        <is>
          <t>$151.32</t>
        </is>
      </c>
      <c r="D11" s="5" t="inlineStr">
        <is>
          <t>$253.12</t>
        </is>
      </c>
      <c r="E11" s="5" t="inlineStr"/>
      <c r="F11" s="5">
        <f> Term EPS x Exit P/E</f>
        <v/>
      </c>
    </row>
    <row r="12">
      <c r="A12" s="5" t="inlineStr">
        <is>
          <t>Upside from Current</t>
        </is>
      </c>
      <c r="B12" s="5" t="inlineStr">
        <is>
          <t>-22.5%</t>
        </is>
      </c>
      <c r="C12" s="5" t="inlineStr">
        <is>
          <t>20.0%</t>
        </is>
      </c>
      <c r="D12" s="5" t="inlineStr">
        <is>
          <t>100.7%</t>
        </is>
      </c>
      <c r="E12" s="5" t="inlineStr"/>
      <c r="F12" s="5" t="inlineStr">
        <is>
          <t>From $126.12</t>
        </is>
      </c>
    </row>
    <row r="13">
      <c r="A13" s="4" t="inlineStr">
        <is>
          <t>Weight</t>
        </is>
      </c>
      <c r="B13" s="4" t="inlineStr">
        <is>
          <t>20%</t>
        </is>
      </c>
      <c r="C13" s="4" t="inlineStr">
        <is>
          <t>50%</t>
        </is>
      </c>
      <c r="D13" s="4" t="inlineStr">
        <is>
          <t>30%</t>
        </is>
      </c>
      <c r="E13" s="4" t="inlineStr"/>
      <c r="F13" s="4" t="inlineStr"/>
    </row>
    <row r="14">
      <c r="A14" s="5" t="inlineStr">
        <is>
          <t>Weighted Value / Share</t>
        </is>
      </c>
      <c r="B14" s="5" t="inlineStr">
        <is>
          <t>$19.55</t>
        </is>
      </c>
      <c r="C14" s="5" t="inlineStr">
        <is>
          <t>$75.66</t>
        </is>
      </c>
      <c r="D14" s="5" t="inlineStr">
        <is>
          <t>$75.93</t>
        </is>
      </c>
      <c r="E14" s="5" t="inlineStr">
        <is>
          <t>$171.14</t>
        </is>
      </c>
      <c r="F14" s="5" t="inlineStr">
        <is>
          <t>Sum = weighted FV</t>
        </is>
      </c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5" t="inlineStr">
        <is>
          <t>Probability-Weighted FV</t>
        </is>
      </c>
      <c r="B16" s="5" t="inlineStr"/>
      <c r="C16" s="5" t="inlineStr"/>
      <c r="D16" s="5" t="inlineStr"/>
      <c r="E16" s="5" t="inlineStr">
        <is>
          <t>$171.14</t>
        </is>
      </c>
      <c r="F16" s="5" t="inlineStr">
        <is>
          <t>Primary estimate</t>
        </is>
      </c>
    </row>
    <row r="17">
      <c r="A17" s="5" t="inlineStr">
        <is>
          <t>Up/Downside from Current</t>
        </is>
      </c>
      <c r="B17" s="5" t="inlineStr"/>
      <c r="C17" s="5" t="inlineStr"/>
      <c r="D17" s="5" t="inlineStr"/>
      <c r="E17" s="5" t="inlineStr">
        <is>
          <t>35.7%</t>
        </is>
      </c>
      <c r="F17" s="5" t="inlineStr">
        <is>
          <t>From $126.12</t>
        </is>
      </c>
    </row>
    <row r="18">
      <c r="A18" s="4" t="inlineStr"/>
      <c r="B18" s="4" t="inlineStr"/>
      <c r="C18" s="4" t="inlineStr"/>
      <c r="D18" s="4" t="inlineStr"/>
      <c r="E18" s="4" t="inlineStr"/>
      <c r="F18" s="4" t="inlineStr"/>
    </row>
    <row r="19">
      <c r="A19" s="4" t="inlineStr">
        <is>
          <t>--- FCF Cross-Check (secondary) ---</t>
        </is>
      </c>
      <c r="B19" s="4" t="inlineStr"/>
      <c r="C19" s="4" t="inlineStr"/>
      <c r="D19" s="4" t="inlineStr"/>
      <c r="E19" s="4" t="inlineStr"/>
      <c r="F19" s="4" t="inlineStr"/>
    </row>
    <row r="20">
      <c r="A20" s="5" t="inlineStr">
        <is>
          <t>Implied FCF Margin</t>
        </is>
      </c>
      <c r="B20" s="5" t="inlineStr">
        <is>
          <t>14%</t>
        </is>
      </c>
      <c r="C20" s="5" t="inlineStr">
        <is>
          <t>18.0%</t>
        </is>
      </c>
      <c r="D20" s="5" t="inlineStr">
        <is>
          <t>22%</t>
        </is>
      </c>
      <c r="E20" s="5" t="inlineStr"/>
      <c r="F20" s="5" t="inlineStr">
        <is>
          <t>TTM = 17.8%</t>
        </is>
      </c>
    </row>
    <row r="21">
      <c r="A21" s="5" t="inlineStr">
        <is>
          <t>Terminal FCF (2031, $M)</t>
        </is>
      </c>
      <c r="B21" s="5" t="inlineStr">
        <is>
          <t>$151</t>
        </is>
      </c>
      <c r="C21" s="5" t="inlineStr">
        <is>
          <t>$226</t>
        </is>
      </c>
      <c r="D21" s="5" t="inlineStr">
        <is>
          <t>$342</t>
        </is>
      </c>
      <c r="E21" s="5" t="inlineStr"/>
      <c r="F21" s="5">
        <f> Rev x FCF margin</f>
        <v/>
      </c>
    </row>
    <row r="22">
      <c r="A22" s="5" t="inlineStr">
        <is>
          <t>Exit FCF Multiple</t>
        </is>
      </c>
      <c r="B22" s="5" t="inlineStr">
        <is>
          <t>8</t>
        </is>
      </c>
      <c r="C22" s="5" t="inlineStr">
        <is>
          <t>10</t>
        </is>
      </c>
      <c r="D22" s="5" t="inlineStr">
        <is>
          <t>14</t>
        </is>
      </c>
      <c r="E22" s="5" t="inlineStr"/>
      <c r="F22" s="5" t="inlineStr">
        <is>
          <t>Cross-check</t>
        </is>
      </c>
    </row>
    <row r="23">
      <c r="A23" s="5" t="inlineStr">
        <is>
          <t>Implied EV ($M)</t>
        </is>
      </c>
      <c r="B23" s="5" t="inlineStr">
        <is>
          <t>$1209</t>
        </is>
      </c>
      <c r="C23" s="5" t="inlineStr">
        <is>
          <t>$2256</t>
        </is>
      </c>
      <c r="D23" s="5" t="inlineStr">
        <is>
          <t>$4783</t>
        </is>
      </c>
      <c r="E23" s="5" t="inlineStr"/>
      <c r="F23" s="5">
        <f> FCF x Multiple</f>
        <v/>
      </c>
    </row>
    <row r="24">
      <c r="A24" s="5" t="inlineStr">
        <is>
          <t>Less Net Debt ($M)</t>
        </is>
      </c>
      <c r="B24" s="5" t="inlineStr">
        <is>
          <t>-$914</t>
        </is>
      </c>
      <c r="C24" s="5" t="inlineStr">
        <is>
          <t>-$914</t>
        </is>
      </c>
      <c r="D24" s="5" t="inlineStr">
        <is>
          <t>-$914</t>
        </is>
      </c>
      <c r="E24" s="5" t="inlineStr"/>
      <c r="F24" s="5" t="inlineStr">
        <is>
          <t>EV − MC</t>
        </is>
      </c>
    </row>
    <row r="25">
      <c r="A25" s="5" t="inlineStr">
        <is>
          <t>FCF Target Price</t>
        </is>
      </c>
      <c r="B25" s="5" t="inlineStr">
        <is>
          <t>$10.82</t>
        </is>
      </c>
      <c r="C25" s="5" t="inlineStr">
        <is>
          <t>$49.27</t>
        </is>
      </c>
      <c r="D25" s="5" t="inlineStr">
        <is>
          <t>$142.04</t>
        </is>
      </c>
      <c r="E25" s="5" t="inlineStr"/>
      <c r="F25" s="5" t="inlineStr">
        <is>
          <t>Cross-check only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Actuals Source Audit — WING</t>
        </is>
      </c>
    </row>
    <row r="4">
      <c r="A4" s="3" t="inlineStr">
        <is>
          <t>Data Point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Date</t>
        </is>
      </c>
      <c r="E4" s="3" t="inlineStr">
        <is>
          <t>Notes</t>
        </is>
      </c>
    </row>
    <row r="5">
      <c r="A5" s="5" t="inlineStr">
        <is>
          <t>Stock Price</t>
        </is>
      </c>
      <c r="B5" s="5" t="inlineStr">
        <is>
          <t>$126.12</t>
        </is>
      </c>
      <c r="C5" s="5" t="inlineStr">
        <is>
          <t>yahoo.com/quote/WING/</t>
        </is>
      </c>
      <c r="D5" s="5" t="inlineStr">
        <is>
          <t>2026-08-14</t>
        </is>
      </c>
      <c r="E5" s="5" t="inlineStr">
        <is>
          <t>Close; +11.05% intraday</t>
        </is>
      </c>
    </row>
    <row r="6">
      <c r="A6" s="5" t="inlineStr">
        <is>
          <t>After Hours</t>
        </is>
      </c>
      <c r="B6" s="5" t="inlineStr">
        <is>
          <t>$126.20</t>
        </is>
      </c>
      <c r="C6" s="5" t="inlineStr">
        <is>
          <t>yahoo.com/quote/WING/</t>
        </is>
      </c>
      <c r="D6" s="5" t="inlineStr">
        <is>
          <t>2026-08-14</t>
        </is>
      </c>
      <c r="E6" s="5" t="inlineStr">
        <is>
          <t>7:56 PM EDT</t>
        </is>
      </c>
    </row>
    <row r="7">
      <c r="A7" s="4" t="inlineStr">
        <is>
          <t>Market Cap</t>
        </is>
      </c>
      <c r="B7" s="4" t="inlineStr">
        <is>
          <t>$3.44B</t>
        </is>
      </c>
      <c r="C7" s="4" t="inlineStr">
        <is>
          <t>27.24M x $126.12</t>
        </is>
      </c>
      <c r="D7" s="4" t="inlineStr">
        <is>
          <t>2026-08-14</t>
        </is>
      </c>
      <c r="E7" s="4" t="inlineStr"/>
    </row>
    <row r="8">
      <c r="A8" s="5" t="inlineStr">
        <is>
          <t>Enterprise Value</t>
        </is>
      </c>
      <c r="B8" s="5" t="inlineStr">
        <is>
          <t>$4.35B</t>
        </is>
      </c>
      <c r="C8" s="5" t="inlineStr">
        <is>
          <t>yahoo.com/quote/WING/key-statistics</t>
        </is>
      </c>
      <c r="D8" s="5" t="inlineStr">
        <is>
          <t>2026-08-14</t>
        </is>
      </c>
      <c r="E8" s="5" t="inlineStr"/>
    </row>
    <row r="9">
      <c r="A9" s="5" t="inlineStr">
        <is>
          <t>Shares Outstanding (common)</t>
        </is>
      </c>
      <c r="B9" s="5" t="inlineStr">
        <is>
          <t>27.24M</t>
        </is>
      </c>
      <c r="C9" s="5" t="inlineStr">
        <is>
          <t>Key Stats</t>
        </is>
      </c>
      <c r="D9" s="5" t="inlineStr">
        <is>
          <t>2026-08-14</t>
        </is>
      </c>
      <c r="E9" s="5" t="inlineStr"/>
    </row>
    <row r="10">
      <c r="A10" s="5" t="inlineStr">
        <is>
          <t>Implied Shares Outstanding</t>
        </is>
      </c>
      <c r="B10" s="5" t="inlineStr">
        <is>
          <t>27.24M</t>
        </is>
      </c>
      <c r="C10" s="5" t="inlineStr">
        <is>
          <t>Key Stats</t>
        </is>
      </c>
      <c r="D10" s="5" t="inlineStr">
        <is>
          <t>2026-08-14</t>
        </is>
      </c>
      <c r="E10" s="5">
        <f> common; no convertibles</f>
        <v/>
      </c>
    </row>
    <row r="11">
      <c r="A11" s="4" t="inlineStr">
        <is>
          <t>52-Week High</t>
        </is>
      </c>
      <c r="B11" s="4" t="inlineStr">
        <is>
          <t>$345.81</t>
        </is>
      </c>
      <c r="C11" s="4" t="inlineStr">
        <is>
          <t>Key Stats</t>
        </is>
      </c>
      <c r="D11" s="4" t="inlineStr">
        <is>
          <t>2026-08-14</t>
        </is>
      </c>
      <c r="E11" s="4" t="inlineStr"/>
    </row>
    <row r="12">
      <c r="A12" s="4" t="inlineStr">
        <is>
          <t>52-Week Low</t>
        </is>
      </c>
      <c r="B12" s="4" t="inlineStr">
        <is>
          <t>$110.44</t>
        </is>
      </c>
      <c r="C12" s="4" t="inlineStr">
        <is>
          <t>Key Stats</t>
        </is>
      </c>
      <c r="D12" s="4" t="inlineStr">
        <is>
          <t>2026-08-14</t>
        </is>
      </c>
      <c r="E12" s="4" t="inlineStr">
        <is>
          <t>Near current price</t>
        </is>
      </c>
    </row>
    <row r="13">
      <c r="A13" s="5" t="inlineStr">
        <is>
          <t>Beta (5Y Monthly)</t>
        </is>
      </c>
      <c r="B13" s="5" t="inlineStr">
        <is>
          <t>1.81</t>
        </is>
      </c>
      <c r="C13" s="5" t="inlineStr">
        <is>
          <t>Key Stats</t>
        </is>
      </c>
      <c r="D13" s="5" t="inlineStr">
        <is>
          <t>2026-08-14</t>
        </is>
      </c>
      <c r="E13" s="5" t="inlineStr">
        <is>
          <t>High vol; amplified drawdown</t>
        </is>
      </c>
    </row>
    <row r="14">
      <c r="A14" s="5" t="inlineStr">
        <is>
          <t>Forward P/E</t>
        </is>
      </c>
      <c r="B14" s="5" t="inlineStr">
        <is>
          <t>27.17x</t>
        </is>
      </c>
      <c r="C14" s="5" t="inlineStr">
        <is>
          <t>Key Stats</t>
        </is>
      </c>
      <c r="D14" s="5" t="inlineStr">
        <is>
          <t>2026-08-14</t>
        </is>
      </c>
      <c r="E14" s="5" t="inlineStr"/>
    </row>
    <row r="15">
      <c r="A15" s="5" t="inlineStr">
        <is>
          <t>Trailing P/E</t>
        </is>
      </c>
      <c r="B15" s="5" t="inlineStr">
        <is>
          <t>27.80x</t>
        </is>
      </c>
      <c r="C15" s="5" t="inlineStr">
        <is>
          <t>Key Stats</t>
        </is>
      </c>
      <c r="D15" s="5" t="inlineStr">
        <is>
          <t>2026-08-14</t>
        </is>
      </c>
      <c r="E15" s="5" t="inlineStr">
        <is>
          <t>On TTM EPS $4.23</t>
        </is>
      </c>
    </row>
    <row r="16">
      <c r="A16" s="5" t="inlineStr">
        <is>
          <t>PEG (5yr expected)</t>
        </is>
      </c>
      <c r="B16" s="5" t="inlineStr">
        <is>
          <t>1.82x</t>
        </is>
      </c>
      <c r="C16" s="5" t="inlineStr">
        <is>
          <t>Key Stats</t>
        </is>
      </c>
      <c r="D16" s="5" t="inlineStr">
        <is>
          <t>2026-08-14</t>
        </is>
      </c>
      <c r="E16" s="5" t="inlineStr"/>
    </row>
    <row r="17">
      <c r="A17" s="5" t="inlineStr">
        <is>
          <t>Short % of Float</t>
        </is>
      </c>
      <c r="B17" s="5" t="inlineStr">
        <is>
          <t>15.64%</t>
        </is>
      </c>
      <c r="C17" s="5" t="inlineStr">
        <is>
          <t>Key Stats</t>
        </is>
      </c>
      <c r="D17" s="5" t="inlineStr">
        <is>
          <t>2026-08-14</t>
        </is>
      </c>
      <c r="E17" s="5" t="inlineStr">
        <is>
          <t>7/31/2026</t>
        </is>
      </c>
    </row>
    <row r="18">
      <c r="A18" s="4" t="inlineStr"/>
      <c r="B18" s="4" t="inlineStr"/>
      <c r="C18" s="4" t="inlineStr"/>
      <c r="D18" s="4" t="inlineStr"/>
      <c r="E18" s="4" t="inlineStr"/>
    </row>
    <row r="19">
      <c r="A19" s="5" t="inlineStr">
        <is>
          <t>Revenue TTM</t>
        </is>
      </c>
      <c r="B19" s="5" t="inlineStr">
        <is>
          <t>$720.7M</t>
        </is>
      </c>
      <c r="C19" s="5" t="inlineStr">
        <is>
          <t>IS page</t>
        </is>
      </c>
      <c r="D19" s="5" t="inlineStr">
        <is>
          <t>2026-08-14</t>
        </is>
      </c>
      <c r="E19" s="5" t="inlineStr">
        <is>
          <t>720,719K</t>
        </is>
      </c>
    </row>
    <row r="20">
      <c r="A20" s="5" t="inlineStr">
        <is>
          <t>Revenue FY2025</t>
        </is>
      </c>
      <c r="B20" s="5" t="inlineStr">
        <is>
          <t>$696.9M</t>
        </is>
      </c>
      <c r="C20" s="5" t="inlineStr">
        <is>
          <t>IS page</t>
        </is>
      </c>
      <c r="D20" s="5" t="inlineStr">
        <is>
          <t>2026-08-14</t>
        </is>
      </c>
      <c r="E20" s="5" t="inlineStr">
        <is>
          <t>12/31/2025</t>
        </is>
      </c>
    </row>
    <row r="21">
      <c r="A21" s="5" t="inlineStr">
        <is>
          <t>Revenue FY2024</t>
        </is>
      </c>
      <c r="B21" s="5" t="inlineStr">
        <is>
          <t>$625.8M</t>
        </is>
      </c>
      <c r="C21" s="5" t="inlineStr">
        <is>
          <t>IS page</t>
        </is>
      </c>
      <c r="D21" s="5" t="inlineStr">
        <is>
          <t>2026-08-14</t>
        </is>
      </c>
      <c r="E21" s="5" t="inlineStr">
        <is>
          <t>12/31/2024</t>
        </is>
      </c>
    </row>
    <row r="22">
      <c r="A22" s="5" t="inlineStr">
        <is>
          <t>Revenue FY2023</t>
        </is>
      </c>
      <c r="B22" s="5" t="inlineStr">
        <is>
          <t>$460.1M</t>
        </is>
      </c>
      <c r="C22" s="5" t="inlineStr">
        <is>
          <t>IS page</t>
        </is>
      </c>
      <c r="D22" s="5" t="inlineStr">
        <is>
          <t>2026-08-14</t>
        </is>
      </c>
      <c r="E22" s="5" t="inlineStr">
        <is>
          <t>12/31/2023</t>
        </is>
      </c>
    </row>
    <row r="23">
      <c r="A23" s="5" t="inlineStr">
        <is>
          <t>Revenue FY2022</t>
        </is>
      </c>
      <c r="B23" s="5" t="inlineStr">
        <is>
          <t>$357.5M</t>
        </is>
      </c>
      <c r="C23" s="5" t="inlineStr">
        <is>
          <t>IS page</t>
        </is>
      </c>
      <c r="D23" s="5" t="inlineStr">
        <is>
          <t>2026-08-14</t>
        </is>
      </c>
      <c r="E23" s="5" t="inlineStr">
        <is>
          <t>12/31/2022</t>
        </is>
      </c>
    </row>
    <row r="24">
      <c r="A24" s="5" t="inlineStr">
        <is>
          <t>Revenue 3Y CAGR</t>
        </is>
      </c>
      <c r="B24" s="5" t="inlineStr">
        <is>
          <t>+32.6%</t>
        </is>
      </c>
      <c r="C24" s="5" t="inlineStr">
        <is>
          <t>Calculated</t>
        </is>
      </c>
      <c r="D24" s="5" t="inlineStr">
        <is>
          <t>2026-08-14</t>
        </is>
      </c>
      <c r="E24" s="5" t="inlineStr">
        <is>
          <t>$357.5M → $696.9M</t>
        </is>
      </c>
    </row>
    <row r="25">
      <c r="A25" s="5" t="inlineStr">
        <is>
          <t>Diluted EPS TTM</t>
        </is>
      </c>
      <c r="B25" s="5" t="inlineStr">
        <is>
          <t>$4.23</t>
        </is>
      </c>
      <c r="C25" s="5" t="inlineStr">
        <is>
          <t>IS / Key Stats</t>
        </is>
      </c>
      <c r="D25" s="5" t="inlineStr">
        <is>
          <t>2026-08-14</t>
        </is>
      </c>
      <c r="E25" s="5" t="inlineStr"/>
    </row>
    <row r="26">
      <c r="A26" s="5" t="inlineStr">
        <is>
          <t>Diluted EPS FY2025</t>
        </is>
      </c>
      <c r="B26" s="5" t="inlineStr">
        <is>
          <t>$6.21</t>
        </is>
      </c>
      <c r="C26" s="5" t="inlineStr">
        <is>
          <t>IS page</t>
        </is>
      </c>
      <c r="D26" s="5" t="inlineStr">
        <is>
          <t>2026-08-14</t>
        </is>
      </c>
      <c r="E26" s="5" t="inlineStr">
        <is>
          <t>Inflated by $87.1M one-time gain</t>
        </is>
      </c>
    </row>
    <row r="27">
      <c r="A27" s="5" t="inlineStr">
        <is>
          <t>Diluted EPS FY2024</t>
        </is>
      </c>
      <c r="B27" s="5" t="inlineStr">
        <is>
          <t>$3.70</t>
        </is>
      </c>
      <c r="C27" s="5" t="inlineStr">
        <is>
          <t>IS page</t>
        </is>
      </c>
      <c r="D27" s="5" t="inlineStr">
        <is>
          <t>2026-08-14</t>
        </is>
      </c>
      <c r="E27" s="5" t="inlineStr"/>
    </row>
    <row r="28">
      <c r="A28" s="5" t="inlineStr">
        <is>
          <t>Diluted EPS FY2023</t>
        </is>
      </c>
      <c r="B28" s="5" t="inlineStr">
        <is>
          <t>$2.35</t>
        </is>
      </c>
      <c r="C28" s="5" t="inlineStr">
        <is>
          <t>IS page</t>
        </is>
      </c>
      <c r="D28" s="5" t="inlineStr">
        <is>
          <t>2026-08-14</t>
        </is>
      </c>
      <c r="E28" s="5" t="inlineStr"/>
    </row>
    <row r="29">
      <c r="A29" s="5" t="inlineStr">
        <is>
          <t>Net Income FY2025</t>
        </is>
      </c>
      <c r="B29" s="5" t="inlineStr">
        <is>
          <t>$174.3M</t>
        </is>
      </c>
      <c r="C29" s="5" t="inlineStr">
        <is>
          <t>IS page</t>
        </is>
      </c>
      <c r="D29" s="5" t="inlineStr">
        <is>
          <t>2026-08-14</t>
        </is>
      </c>
      <c r="E29" s="5" t="inlineStr">
        <is>
          <t>Before-tax $237.2M includes $87.1M other income</t>
        </is>
      </c>
    </row>
    <row r="30">
      <c r="A30" s="5" t="inlineStr">
        <is>
          <t>Op Income FY2025</t>
        </is>
      </c>
      <c r="B30" s="5" t="inlineStr">
        <is>
          <t>$185.8M</t>
        </is>
      </c>
      <c r="C30" s="5" t="inlineStr">
        <is>
          <t>IS page</t>
        </is>
      </c>
      <c r="D30" s="5" t="inlineStr">
        <is>
          <t>2026-08-14</t>
        </is>
      </c>
      <c r="E30" s="5" t="inlineStr"/>
    </row>
    <row r="31">
      <c r="A31" s="5" t="inlineStr">
        <is>
          <t>Interest Expense TTM</t>
        </is>
      </c>
      <c r="B31" s="5" t="inlineStr">
        <is>
          <t>$38.0M</t>
        </is>
      </c>
      <c r="C31" s="5" t="inlineStr">
        <is>
          <t>IS page</t>
        </is>
      </c>
      <c r="D31" s="5" t="inlineStr">
        <is>
          <t>2026-08-14</t>
        </is>
      </c>
      <c r="E31" s="5" t="inlineStr">
        <is>
          <t>Up from $21.2M FY2022</t>
        </is>
      </c>
    </row>
    <row r="32">
      <c r="A32" s="4" t="inlineStr">
        <is>
          <t>EBITDA TTM</t>
        </is>
      </c>
      <c r="B32" s="4" t="inlineStr">
        <is>
          <t>$227.1M</t>
        </is>
      </c>
      <c r="C32" s="4" t="inlineStr">
        <is>
          <t>IS page</t>
        </is>
      </c>
      <c r="D32" s="4" t="inlineStr">
        <is>
          <t>2026-08-14</t>
        </is>
      </c>
      <c r="E32" s="4" t="inlineStr">
        <is>
          <t>Normalized $227.5M</t>
        </is>
      </c>
    </row>
    <row r="33">
      <c r="A33" s="4" t="inlineStr"/>
      <c r="B33" s="4" t="inlineStr"/>
      <c r="C33" s="4" t="inlineStr"/>
      <c r="D33" s="4" t="inlineStr"/>
      <c r="E33" s="4" t="inlineStr"/>
    </row>
    <row r="34">
      <c r="A34" s="4" t="inlineStr">
        <is>
          <t>Total Debt</t>
        </is>
      </c>
      <c r="B34" s="4" t="inlineStr">
        <is>
          <t>$1.27B</t>
        </is>
      </c>
      <c r="C34" s="4" t="inlineStr">
        <is>
          <t>BS page</t>
        </is>
      </c>
      <c r="D34" s="4" t="inlineStr">
        <is>
          <t>2026-08-14</t>
        </is>
      </c>
      <c r="E34" s="4" t="inlineStr">
        <is>
          <t>12/31/2025: $1,270,406K</t>
        </is>
      </c>
    </row>
    <row r="35">
      <c r="A35" s="5" t="inlineStr">
        <is>
          <t>Capital Lease Obligations</t>
        </is>
      </c>
      <c r="B35" s="5" t="inlineStr">
        <is>
          <t>$61.3M</t>
        </is>
      </c>
      <c r="C35" s="5" t="inlineStr">
        <is>
          <t>BS page</t>
        </is>
      </c>
      <c r="D35" s="5" t="inlineStr">
        <is>
          <t>2026-08-14</t>
        </is>
      </c>
      <c r="E35" s="5" t="inlineStr">
        <is>
          <t>From $2.3M FY2022</t>
        </is>
      </c>
    </row>
    <row r="36">
      <c r="A36" s="4" t="inlineStr">
        <is>
          <t>Total Cash</t>
        </is>
      </c>
      <c r="B36" s="4" t="inlineStr">
        <is>
          <t>$127.5M</t>
        </is>
      </c>
      <c r="C36" s="4" t="inlineStr">
        <is>
          <t>Key Stats</t>
        </is>
      </c>
      <c r="D36" s="4" t="inlineStr">
        <is>
          <t>2026-08-14</t>
        </is>
      </c>
      <c r="E36" s="4" t="inlineStr">
        <is>
          <t>MRQ</t>
        </is>
      </c>
    </row>
    <row r="37">
      <c r="A37" s="5" t="inlineStr">
        <is>
          <t>Common Stock Equity</t>
        </is>
      </c>
      <c r="B37" s="5" t="inlineStr">
        <is>
          <t>−$736.8M</t>
        </is>
      </c>
      <c r="C37" s="5" t="inlineStr">
        <is>
          <t>BS page</t>
        </is>
      </c>
      <c r="D37" s="5" t="inlineStr">
        <is>
          <t>2026-08-14</t>
        </is>
      </c>
      <c r="E37" s="5" t="inlineStr">
        <is>
          <t>NEGATIVE — buyback driven</t>
        </is>
      </c>
    </row>
    <row r="38">
      <c r="A38" s="5" t="inlineStr">
        <is>
          <t>Net Tangible Assets</t>
        </is>
      </c>
      <c r="B38" s="5" t="inlineStr">
        <is>
          <t>−$853.3M</t>
        </is>
      </c>
      <c r="C38" s="5" t="inlineStr">
        <is>
          <t>BS page</t>
        </is>
      </c>
      <c r="D38" s="5" t="inlineStr">
        <is>
          <t>2026-08-14</t>
        </is>
      </c>
      <c r="E38" s="5" t="inlineStr">
        <is>
          <t>Goodwill + intangibles heavy</t>
        </is>
      </c>
    </row>
    <row r="39">
      <c r="A39" s="5" t="inlineStr">
        <is>
          <t>Total Liabilities</t>
        </is>
      </c>
      <c r="B39" s="5" t="inlineStr">
        <is>
          <t>$1,430M</t>
        </is>
      </c>
      <c r="C39" s="5" t="inlineStr">
        <is>
          <t>BS page</t>
        </is>
      </c>
      <c r="D39" s="5" t="inlineStr">
        <is>
          <t>2026-08-14</t>
        </is>
      </c>
      <c r="E39" s="5" t="inlineStr"/>
    </row>
    <row r="40">
      <c r="A40" s="5" t="inlineStr">
        <is>
          <t>Current Ratio</t>
        </is>
      </c>
      <c r="B40" s="5" t="inlineStr">
        <is>
          <t>2.97</t>
        </is>
      </c>
      <c r="C40" s="5" t="inlineStr">
        <is>
          <t>Key Stats</t>
        </is>
      </c>
      <c r="D40" s="5" t="inlineStr">
        <is>
          <t>2026-08-14</t>
        </is>
      </c>
      <c r="E40" s="5" t="inlineStr"/>
    </row>
    <row r="41">
      <c r="A41" s="4" t="inlineStr"/>
      <c r="B41" s="4" t="inlineStr"/>
      <c r="C41" s="4" t="inlineStr"/>
      <c r="D41" s="4" t="inlineStr"/>
      <c r="E41" s="4" t="inlineStr"/>
    </row>
    <row r="42">
      <c r="A42" s="5" t="inlineStr">
        <is>
          <t>Operating Cash Flow TTM</t>
        </is>
      </c>
      <c r="B42" s="5" t="inlineStr">
        <is>
          <t>$189.5M</t>
        </is>
      </c>
      <c r="C42" s="5" t="inlineStr">
        <is>
          <t>CF page</t>
        </is>
      </c>
      <c r="D42" s="5" t="inlineStr">
        <is>
          <t>2026-08-14</t>
        </is>
      </c>
      <c r="E42" s="5" t="inlineStr">
        <is>
          <t>189,490K</t>
        </is>
      </c>
    </row>
    <row r="43">
      <c r="A43" s="4" t="inlineStr">
        <is>
          <t>CapEx TTM</t>
        </is>
      </c>
      <c r="B43" s="4" t="inlineStr">
        <is>
          <t>$61.0M</t>
        </is>
      </c>
      <c r="C43" s="4" t="inlineStr">
        <is>
          <t>CF page</t>
        </is>
      </c>
      <c r="D43" s="4" t="inlineStr">
        <is>
          <t>2026-08-14</t>
        </is>
      </c>
      <c r="E43" s="4" t="inlineStr">
        <is>
          <t>60,996K</t>
        </is>
      </c>
    </row>
    <row r="44">
      <c r="A44" s="5" t="inlineStr">
        <is>
          <t>FCF (OCF-CapEx) TTM</t>
        </is>
      </c>
      <c r="B44" s="5" t="inlineStr">
        <is>
          <t>$128.5M</t>
        </is>
      </c>
      <c r="C44" s="5" t="inlineStr">
        <is>
          <t>Computed</t>
        </is>
      </c>
      <c r="D44" s="5" t="inlineStr">
        <is>
          <t>2026-08-14</t>
        </is>
      </c>
      <c r="E44" s="5" t="inlineStr">
        <is>
          <t>189.5 − 61.0</t>
        </is>
      </c>
    </row>
    <row r="45">
      <c r="A45" s="5" t="inlineStr">
        <is>
          <t>Repurchase of Stock TTM</t>
        </is>
      </c>
      <c r="B45" s="5" t="inlineStr">
        <is>
          <t>−$179.6M</t>
        </is>
      </c>
      <c r="C45" s="5" t="inlineStr">
        <is>
          <t>CF page</t>
        </is>
      </c>
      <c r="D45" s="5" t="inlineStr">
        <is>
          <t>2026-08-14</t>
        </is>
      </c>
      <c r="E45" s="5" t="inlineStr">
        <is>
          <t>Aggressive; 179,605K</t>
        </is>
      </c>
    </row>
    <row r="46">
      <c r="A46" s="5" t="inlineStr">
        <is>
          <t>Issuance of Debt FY2025</t>
        </is>
      </c>
      <c r="B46" s="5" t="inlineStr">
        <is>
          <t>+$500M</t>
        </is>
      </c>
      <c r="C46" s="5" t="inlineStr">
        <is>
          <t>CF page</t>
        </is>
      </c>
      <c r="D46" s="5" t="inlineStr">
        <is>
          <t>2026-08-14</t>
        </is>
      </c>
      <c r="E46" s="5" t="inlineStr">
        <is>
          <t>Funds buybacks / growth</t>
        </is>
      </c>
    </row>
    <row r="47">
      <c r="A47" s="4" t="inlineStr"/>
      <c r="B47" s="4" t="inlineStr"/>
      <c r="C47" s="4" t="inlineStr"/>
      <c r="D47" s="4" t="inlineStr"/>
      <c r="E47" s="4" t="inlineStr"/>
    </row>
    <row r="48">
      <c r="A48" s="5" t="inlineStr">
        <is>
          <t>Rev Estimate FY2026</t>
        </is>
      </c>
      <c r="B48" s="5" t="inlineStr">
        <is>
          <t>$765.7M</t>
        </is>
      </c>
      <c r="C48" s="5" t="inlineStr">
        <is>
          <t>Analysis</t>
        </is>
      </c>
      <c r="D48" s="5" t="inlineStr">
        <is>
          <t>2026-08-14</t>
        </is>
      </c>
      <c r="E48" s="5" t="inlineStr">
        <is>
          <t>26 analysts</t>
        </is>
      </c>
    </row>
    <row r="49">
      <c r="A49" s="5" t="inlineStr">
        <is>
          <t>Rev Estimate FY2027</t>
        </is>
      </c>
      <c r="B49" s="5" t="inlineStr">
        <is>
          <t>$887.9M</t>
        </is>
      </c>
      <c r="C49" s="5" t="inlineStr">
        <is>
          <t>Analysis</t>
        </is>
      </c>
      <c r="D49" s="5" t="inlineStr">
        <is>
          <t>2026-08-14</t>
        </is>
      </c>
      <c r="E49" s="5" t="inlineStr">
        <is>
          <t>28 analysts</t>
        </is>
      </c>
    </row>
    <row r="50">
      <c r="A50" s="5" t="inlineStr">
        <is>
          <t>EPS Estimate FY2026</t>
        </is>
      </c>
      <c r="B50" s="5" t="inlineStr">
        <is>
          <t>$4.45</t>
        </is>
      </c>
      <c r="C50" s="5" t="inlineStr">
        <is>
          <t>Analysis</t>
        </is>
      </c>
      <c r="D50" s="5" t="inlineStr">
        <is>
          <t>2026-08-14</t>
        </is>
      </c>
      <c r="E50" s="5" t="inlineStr">
        <is>
          <t>28 analysts</t>
        </is>
      </c>
    </row>
    <row r="51">
      <c r="A51" s="5" t="inlineStr">
        <is>
          <t>EPS Estimate FY2027</t>
        </is>
      </c>
      <c r="B51" s="5" t="inlineStr">
        <is>
          <t>$5.36</t>
        </is>
      </c>
      <c r="C51" s="5" t="inlineStr">
        <is>
          <t>Analysis</t>
        </is>
      </c>
      <c r="D51" s="5" t="inlineStr">
        <is>
          <t>2026-08-14</t>
        </is>
      </c>
      <c r="E51" s="5" t="inlineStr">
        <is>
          <t>28 analysts</t>
        </is>
      </c>
    </row>
    <row r="52">
      <c r="A52" s="5" t="inlineStr">
        <is>
          <t>EPS Revisions (30d down)</t>
        </is>
      </c>
      <c r="B52" s="5" t="inlineStr">
        <is>
          <t>20–24 analysts</t>
        </is>
      </c>
      <c r="C52" s="5" t="inlineStr">
        <is>
          <t>Analysis</t>
        </is>
      </c>
      <c r="D52" s="5" t="inlineStr">
        <is>
          <t>2026-08-14</t>
        </is>
      </c>
      <c r="E52" s="5" t="inlineStr">
        <is>
          <t>Sharp downward revision trend</t>
        </is>
      </c>
    </row>
    <row r="53">
      <c r="A53" s="5" t="inlineStr">
        <is>
          <t>Quarterly EPS Beats (last 4Q)</t>
        </is>
      </c>
      <c r="B53" s="5" t="inlineStr">
        <is>
          <t>4 consecutive beats</t>
        </is>
      </c>
      <c r="C53" s="5" t="inlineStr">
        <is>
          <t>Analysis</t>
        </is>
      </c>
      <c r="D53" s="5" t="inlineStr">
        <is>
          <t>2026-08-14</t>
        </is>
      </c>
      <c r="E53" s="5" t="inlineStr">
        <is>
          <t>+15% to +20% avg surprise</t>
        </is>
      </c>
    </row>
    <row r="54">
      <c r="A54" s="5" t="inlineStr">
        <is>
          <t>Dividend Forward Annual</t>
        </is>
      </c>
      <c r="B54" s="5" t="inlineStr">
        <is>
          <t>$1.32</t>
        </is>
      </c>
      <c r="C54" s="5" t="inlineStr">
        <is>
          <t>Key Stats</t>
        </is>
      </c>
      <c r="D54" s="5" t="inlineStr">
        <is>
          <t>2026-08-14</t>
        </is>
      </c>
      <c r="E54" s="5" t="inlineStr">
        <is>
          <t>Yield 1.16%</t>
        </is>
      </c>
    </row>
    <row r="55">
      <c r="A55" s="5" t="inlineStr">
        <is>
          <t>Dividend Payout Ratio</t>
        </is>
      </c>
      <c r="B55" s="5" t="inlineStr">
        <is>
          <t>28.37%</t>
        </is>
      </c>
      <c r="C55" s="5" t="inlineStr">
        <is>
          <t>Key Stats</t>
        </is>
      </c>
      <c r="D55" s="5" t="inlineStr">
        <is>
          <t>2026-08-14</t>
        </is>
      </c>
      <c r="E55" s="5" t="inlineStr"/>
    </row>
    <row r="56">
      <c r="A56" s="4" t="inlineStr">
        <is>
          <t>10Y Treasury Rate</t>
        </is>
      </c>
      <c r="B56" s="4" t="inlineStr">
        <is>
          <t>4.69%</t>
        </is>
      </c>
      <c r="C56" s="4" t="inlineStr">
        <is>
          <t>cnbc.com/quotes/US10Y</t>
        </is>
      </c>
      <c r="D56" s="4" t="inlineStr">
        <is>
          <t>2026-08-14</t>
        </is>
      </c>
      <c r="E56" s="4" t="inlineStr">
        <is>
          <t>5:05 PM EDT</t>
        </is>
      </c>
    </row>
    <row r="57">
      <c r="A57" s="5" t="inlineStr">
        <is>
          <t>Last Earnings Date</t>
        </is>
      </c>
      <c r="B57" s="5" t="inlineStr">
        <is>
          <t>Jul 29, 2026</t>
        </is>
      </c>
      <c r="C57" s="5" t="inlineStr">
        <is>
          <t>Key Stats</t>
        </is>
      </c>
      <c r="D57" s="5" t="inlineStr">
        <is>
          <t>2026-08-14</t>
        </is>
      </c>
      <c r="E57" s="5" t="inlineStr">
        <is>
          <t>Q2 FY26</t>
        </is>
      </c>
    </row>
    <row r="58">
      <c r="A58" s="5" t="inlineStr">
        <is>
          <t>Next Earnings (est)</t>
        </is>
      </c>
      <c r="B58" s="5" t="inlineStr">
        <is>
          <t>Oct 2026</t>
        </is>
      </c>
      <c r="C58" s="5" t="inlineStr">
        <is>
          <t>Inferred</t>
        </is>
      </c>
      <c r="D58" s="5" t="inlineStr">
        <is>
          <t>2026-08-14</t>
        </is>
      </c>
      <c r="E58" s="5" t="inlineStr">
        <is>
          <t>Q3 FY26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75" customWidth="1" min="2" max="2"/>
    <col width="65" customWidth="1" min="3" max="3"/>
  </cols>
  <sheetData>
    <row r="1">
      <c r="A1" s="1" t="inlineStr">
        <is>
          <t>Open Questions — WING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Why It Matters</t>
        </is>
      </c>
    </row>
    <row r="5">
      <c r="A5" s="4" t="inlineStr">
        <is>
          <t>Q1</t>
        </is>
      </c>
      <c r="B5" s="4" t="inlineStr">
        <is>
          <t>What was the $87.1M one-time gain in FY2025 'Other Income/Expense'? Sale of investments, insurance recovery, or accounting adjustment?</t>
        </is>
      </c>
      <c r="C5" s="4" t="inlineStr">
        <is>
          <t>Defines the normalized earnings baseline. Without it, FY2025 EPS of $6.21 overstates true operating performance by 58%.</t>
        </is>
      </c>
    </row>
    <row r="6">
      <c r="A6" s="4" t="inlineStr">
        <is>
          <t>Q2</t>
        </is>
      </c>
      <c r="B6" s="4" t="inlineStr">
        <is>
          <t>Why the debt surge: $1.27B total (from $732.5M FY2023)? CF shows $500M issued FY2024, $500M FY2025. Used for buybacks or store expansion?</t>
        </is>
      </c>
      <c r="C6" s="4" t="inlineStr">
        <is>
          <t>If debt funded buybacks at $200–$345/share (peak prices), up to $400–600M of intrinsic shareholder value was destroyed. If funding growth capex, trajectory changes.</t>
        </is>
      </c>
    </row>
    <row r="7">
      <c r="A7" s="4" t="inlineStr">
        <is>
          <t>Q3</t>
        </is>
      </c>
      <c r="B7" s="4" t="inlineStr">
        <is>
          <t>Common equity is −$737M — what accounts for the negative retained earnings? WING generates $189.5M OCF, $128.5M FCF TTM.</t>
        </is>
      </c>
      <c r="C7" s="4" t="inlineStr">
        <is>
          <t>Negative equity disqualifies P/B. Cumulative ~$842M in buybacks (FY2023: $125M, FY2024: $315M, FY2025: $222M, TTM: $180M) drove it. Key question is buyback price vs. value created per share.</t>
        </is>
      </c>
    </row>
    <row r="8">
      <c r="A8" s="4" t="inlineStr">
        <is>
          <t>Q4</t>
        </is>
      </c>
      <c r="B8" s="4" t="inlineStr">
        <is>
          <t>15.64% short interest (7/31/2026) — positioning for further downside or priced in?</t>
        </is>
      </c>
      <c r="C8" s="4" t="inlineStr">
        <is>
          <t>High short interest can fuel short squeezes (WING +11% today) but also indicates significant bear conviction. The underlying thesis of deceleration + multiple compression may remain valid.</t>
        </is>
      </c>
    </row>
    <row r="9">
      <c r="A9" s="4" t="inlineStr">
        <is>
          <t>Q5</t>
        </is>
      </c>
      <c r="B9" s="4" t="inlineStr">
        <is>
          <t>What is the same-store sales trajectory? Q2 FY2026 revenue growth was +6.4% YoY — is this decelerating from the prior 15–20% growth that drove the $345 high?</t>
        </is>
      </c>
      <c r="C9" s="4" t="inlineStr">
        <is>
          <t>Wingstop's entire prior valuation depended on high-single-to-double-digit sss growth. A deceleration to 5–8% fundamentally changes the EPS trajectory and supports multiple compression.</t>
        </is>
      </c>
    </row>
    <row r="10">
      <c r="A10" s="4" t="inlineStr">
        <is>
          <t>Q6</t>
        </is>
      </c>
      <c r="B10" s="4" t="inlineStr">
        <is>
          <t>International exposure and franchise vs. company-owned mix?</t>
        </is>
      </c>
      <c r="C10" s="4" t="inlineStr">
        <is>
          <t>International growth often outpaces US but with different unit economics. Company-owned has higher margin but higher capex. Mix shift affects FCF trajectory.</t>
        </is>
      </c>
    </row>
    <row r="11">
      <c r="A11" s="4" t="inlineStr">
        <is>
          <t>Q7</t>
        </is>
      </c>
      <c r="B11" s="4" t="inlineStr">
        <is>
          <t>Poultry/chicken cost inflation impact on gross margin? TTM gross margin = 49.4% — is this pressured vs. FY2024 levels?</t>
        </is>
      </c>
      <c r="C11" s="4" t="inlineStr">
        <is>
          <t>Food cost drives variable COGS. Prior QSR weakness was partly cost-driven. If menu price increases lag commodity inflation, GM compression drives multiple contraction.</t>
        </is>
      </c>
    </row>
    <row r="12">
      <c r="A12" s="4" t="inlineStr">
        <is>
          <t>Q8</t>
        </is>
      </c>
      <c r="B12" s="4" t="inlineStr">
        <is>
          <t>20–24 analysts cut estimates in 30 days. Q3 FY26 EPS estimate dropped $1.19 → $1.07 in 90 days (10%). Macro QSR slowdown or WING-specific?</t>
        </is>
      </c>
      <c r="C12" s="4" t="inlineStr">
        <is>
          <t>Structurally significant. Combined with consecutive quarterly beats (+15–20% surprise) over the past 4 quarters, the revision pattern suggests either a macro deceleration cycle or an internal inflection.</t>
        </is>
      </c>
    </row>
    <row r="13">
      <c r="A13" s="4" t="inlineStr">
        <is>
          <t>Q9</t>
        </is>
      </c>
      <c r="B13" s="4" t="inlineStr">
        <is>
          <t>Capital lease obligations up 26x: $2.3M (FY2022) → $61.3M (FY2025). What does this signal for real estate / store expansion?</t>
        </is>
      </c>
      <c r="C13" s="4" t="inlineStr">
        <is>
          <t>Likely reflects shift from leased to company-owned real estate. Positive long-term for margins, but increases leverage. Standard QSR expansion pattern.</t>
        </is>
      </c>
    </row>
    <row r="14">
      <c r="A14" s="4" t="inlineStr">
        <is>
          <t>Q10</t>
        </is>
      </c>
      <c r="B14" s="4" t="inlineStr">
        <is>
          <t>Is buyback deployment at $126/share more accretive than prior rounds at $200+? 27.24M shares now vs. 29.97M in FY2022 (9%/share dilution offset by buybacks).</t>
        </is>
      </c>
      <c r="C14" s="4" t="inlineStr">
        <is>
          <t>Management has a proven track record of returning capital. The question is whether the $126 price represents better value creation than $250–345 buybacks. If management continues buybacks at current levels, per-share accretion could be significant.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Sources — WING</t>
        </is>
      </c>
    </row>
    <row r="4">
      <c r="A4" s="3" t="inlineStr">
        <is>
          <t>#</t>
        </is>
      </c>
      <c r="B4" s="3" t="inlineStr">
        <is>
          <t>Source</t>
        </is>
      </c>
      <c r="C4" s="3" t="inlineStr">
        <is>
          <t>URL</t>
        </is>
      </c>
      <c r="D4" s="3" t="inlineStr">
        <is>
          <t>Date</t>
        </is>
      </c>
    </row>
    <row r="5">
      <c r="A5" s="4" t="inlineStr">
        <is>
          <t>1</t>
        </is>
      </c>
      <c r="B5" s="4" t="inlineStr">
        <is>
          <t>Summary / Price</t>
        </is>
      </c>
      <c r="C5" s="4" t="inlineStr">
        <is>
          <t>finance.yahoo.com/quote/WING/</t>
        </is>
      </c>
      <c r="D5" s="4" t="inlineStr">
        <is>
          <t>2026-08-14</t>
        </is>
      </c>
    </row>
    <row r="6">
      <c r="A6" s="4" t="inlineStr">
        <is>
          <t>2</t>
        </is>
      </c>
      <c r="B6" s="4" t="inlineStr">
        <is>
          <t>Income Statement</t>
        </is>
      </c>
      <c r="C6" s="4" t="inlineStr">
        <is>
          <t>finance.yahoo.com/quote/WING/financials/</t>
        </is>
      </c>
      <c r="D6" s="4" t="inlineStr">
        <is>
          <t>2026-08-14</t>
        </is>
      </c>
    </row>
    <row r="7">
      <c r="A7" s="4" t="inlineStr">
        <is>
          <t>3</t>
        </is>
      </c>
      <c r="B7" s="4" t="inlineStr">
        <is>
          <t>Balance Sheet</t>
        </is>
      </c>
      <c r="C7" s="4" t="inlineStr">
        <is>
          <t>finance.yahoo.com/quote/WING/balance-sheet/</t>
        </is>
      </c>
      <c r="D7" s="4" t="inlineStr">
        <is>
          <t>2026-08-14</t>
        </is>
      </c>
    </row>
    <row r="8">
      <c r="A8" s="4" t="inlineStr">
        <is>
          <t>4</t>
        </is>
      </c>
      <c r="B8" s="4" t="inlineStr">
        <is>
          <t>Cash Flow</t>
        </is>
      </c>
      <c r="C8" s="4" t="inlineStr">
        <is>
          <t>finance.yahoo.com/quote/WING/cash-flow/</t>
        </is>
      </c>
      <c r="D8" s="4" t="inlineStr">
        <is>
          <t>2026-08-14</t>
        </is>
      </c>
    </row>
    <row r="9">
      <c r="A9" s="4" t="inlineStr">
        <is>
          <t>5</t>
        </is>
      </c>
      <c r="B9" s="4" t="inlineStr">
        <is>
          <t>Key Statistics</t>
        </is>
      </c>
      <c r="C9" s="4" t="inlineStr">
        <is>
          <t>finance.yahoo.com/quote/WING/key-statistics/</t>
        </is>
      </c>
      <c r="D9" s="4" t="inlineStr">
        <is>
          <t>2026-08-14</t>
        </is>
      </c>
    </row>
    <row r="10">
      <c r="A10" s="4" t="inlineStr">
        <is>
          <t>6</t>
        </is>
      </c>
      <c r="B10" s="4" t="inlineStr">
        <is>
          <t>Analysis / Estimates</t>
        </is>
      </c>
      <c r="C10" s="4" t="inlineStr">
        <is>
          <t>finance.yahoo.com/quote/WING/analysis/</t>
        </is>
      </c>
      <c r="D10" s="4" t="inlineStr">
        <is>
          <t>2026-08-14</t>
        </is>
      </c>
    </row>
    <row r="11">
      <c r="A11" s="4" t="inlineStr">
        <is>
          <t>7</t>
        </is>
      </c>
      <c r="B11" s="4" t="inlineStr">
        <is>
          <t>Company Profile</t>
        </is>
      </c>
      <c r="C11" s="4" t="inlineStr">
        <is>
          <t>finance.yahoo.com/quote/WING/profile/</t>
        </is>
      </c>
      <c r="D11" s="4" t="inlineStr">
        <is>
          <t>2026-08-14</t>
        </is>
      </c>
    </row>
    <row r="12">
      <c r="A12" s="4" t="inlineStr">
        <is>
          <t>8</t>
        </is>
      </c>
      <c r="B12" s="4" t="inlineStr">
        <is>
          <t>10-Year Treasury Yield</t>
        </is>
      </c>
      <c r="C12" s="4" t="inlineStr">
        <is>
          <t>cnbc.com/quotes/US10Y</t>
        </is>
      </c>
      <c r="D12" s="4" t="inlineStr">
        <is>
          <t>2026-08-14</t>
        </is>
      </c>
    </row>
    <row r="13">
      <c r="A13" s="4" t="inlineStr">
        <is>
          <t>9</t>
        </is>
      </c>
      <c r="B13" s="4" t="inlineStr">
        <is>
          <t>StockAnalysis.com (404)</t>
        </is>
      </c>
      <c r="C13" s="4" t="inlineStr">
        <is>
          <t>stockanalysis.com/quote/WING/</t>
        </is>
      </c>
      <c r="D13" s="4" t="inlineStr">
        <is>
          <t>2026-08-14</t>
        </is>
      </c>
    </row>
    <row r="14">
      <c r="A14" s="4" t="inlineStr">
        <is>
          <t>10</t>
        </is>
      </c>
      <c r="B14" s="4" t="inlineStr">
        <is>
          <t>Peer Tickers (SHAK, DPZ, TXRH, EAT, DRI, PZZA, CAVA, YUM, QSR)</t>
        </is>
      </c>
      <c r="C14" s="4" t="inlineStr">
        <is>
          <t>Key Stats — Related</t>
        </is>
      </c>
      <c r="D14" s="4" t="inlineStr">
        <is>
          <t>2026-08-14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2026-08-15T03:41:34Z</dcterms:created>
  <dcterms:modified xsi:type="dcterms:W3CDTF">2026-08-15T03:41:34Z</dcterms:modified>
</cp:coreProperties>
</file>