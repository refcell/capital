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x"/>
  </numFmts>
  <fonts count="6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b val="1"/>
      <color rgb="00374151"/>
      <sz val="11"/>
    </font>
    <font>
      <name val="Calibri"/>
      <sz val="10"/>
    </font>
    <font>
      <name val="Calibri"/>
      <b val="1"/>
      <color rgb="00F9FAFB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65" customWidth="1" min="3" max="3"/>
  </cols>
  <sheetData>
    <row r="1">
      <c r="A1" s="1" t="inlineStr">
        <is>
          <t>Post Holdings, Inc. — Valuation Model</t>
        </is>
      </c>
    </row>
    <row r="3">
      <c r="A3" s="2" t="inlineStr">
        <is>
          <t>Ticker</t>
        </is>
      </c>
      <c r="B3" s="3" t="inlineStr">
        <is>
          <t>NYSE: POST</t>
        </is>
      </c>
    </row>
    <row r="4">
      <c r="A4" s="2" t="inlineStr">
        <is>
          <t>Company</t>
        </is>
      </c>
      <c r="B4" s="3" t="inlineStr">
        <is>
          <t>Post Holdings, Inc.</t>
        </is>
      </c>
    </row>
    <row r="5">
      <c r="A5" s="2" t="inlineStr">
        <is>
          <t>Sector / Industry</t>
        </is>
      </c>
      <c r="B5" s="3" t="inlineStr">
        <is>
          <t>Consumer Defensive / Packaged Foods</t>
        </is>
      </c>
    </row>
    <row r="6">
      <c r="A6" s="2" t="inlineStr">
        <is>
          <t>Date</t>
        </is>
      </c>
      <c r="B6" s="3" t="inlineStr">
        <is>
          <t>2026-07-13</t>
        </is>
      </c>
    </row>
    <row r="7">
      <c r="A7" s="2" t="inlineStr">
        <is>
          <t>Price</t>
        </is>
      </c>
      <c r="B7" s="4" t="n">
        <v>86.7</v>
      </c>
    </row>
    <row r="8">
      <c r="A8" s="2" t="inlineStr">
        <is>
          <t>Shares Outstanding</t>
        </is>
      </c>
      <c r="B8" s="3" t="inlineStr">
        <is>
          <t>52.8M basic / 58.9M diluted</t>
        </is>
      </c>
    </row>
    <row r="9">
      <c r="A9" s="2" t="inlineStr">
        <is>
          <t>Market Cap</t>
        </is>
      </c>
      <c r="B9" s="2" t="inlineStr">
        <is>
          <t>$3.93B</t>
        </is>
      </c>
    </row>
    <row r="10">
      <c r="A10" s="2" t="inlineStr">
        <is>
          <t>Enterprise Value</t>
        </is>
      </c>
      <c r="B10" s="2" t="inlineStr">
        <is>
          <t>$11.27B</t>
        </is>
      </c>
    </row>
    <row r="11">
      <c r="A11" s="2" t="inlineStr">
        <is>
          <t>Primary Valuation Lens</t>
        </is>
      </c>
      <c r="B11" s="3" t="inlineStr">
        <is>
          <t>Forward P/E (analyst consensus) — FCF framework insufficient: net debt $7.3B &gt; FCF × 10</t>
        </is>
      </c>
    </row>
    <row r="12">
      <c r="A12" s="2" t="inlineStr">
        <is>
          <t>Current Stance</t>
        </is>
      </c>
      <c r="B12" s="3" t="inlineStr">
        <is>
          <t>Watch — attractive on surface multiples but net debt is heavy; FV slightly above current price depends on margins</t>
        </is>
      </c>
    </row>
    <row r="14">
      <c r="A14" s="5" t="inlineStr">
        <is>
          <t>Metric</t>
        </is>
      </c>
      <c r="B14" s="5" t="inlineStr">
        <is>
          <t>Value</t>
        </is>
      </c>
      <c r="C14" s="5" t="inlineStr">
        <is>
          <t>Comment</t>
        </is>
      </c>
    </row>
    <row r="15">
      <c r="A15" s="6" t="inlineStr">
        <is>
          <t>Trailing P/E</t>
        </is>
      </c>
      <c r="B15" s="6" t="inlineStr">
        <is>
          <t>14.5x</t>
        </is>
      </c>
      <c r="C15" s="6" t="inlineStr">
        <is>
          <t>TTM diluted EPS $5.96; relatively cheap by CPG standards</t>
        </is>
      </c>
    </row>
    <row r="16">
      <c r="A16" s="6" t="inlineStr">
        <is>
          <t>Forward P/E (FY26)</t>
        </is>
      </c>
      <c r="B16" s="6" t="inlineStr">
        <is>
          <t>11.2x</t>
        </is>
      </c>
      <c r="C16" s="6" t="inlineStr">
        <is>
          <t>Using FY26 consensus EPS $7.71; reasonable for CPG</t>
        </is>
      </c>
    </row>
    <row r="17">
      <c r="A17" s="6" t="inlineStr">
        <is>
          <t>Forward P/E (FY27)</t>
        </is>
      </c>
      <c r="B17" s="6" t="inlineStr">
        <is>
          <t>10.0x</t>
        </is>
      </c>
      <c r="C17" s="6" t="inlineStr">
        <is>
          <t>Using FY27 consensus EPS $8.69; implies significant value</t>
        </is>
      </c>
    </row>
    <row r="18">
      <c r="A18" s="6" t="inlineStr">
        <is>
          <t>P/S (TTM)</t>
        </is>
      </c>
      <c r="B18" s="6" t="inlineStr">
        <is>
          <t>0.54x</t>
        </is>
      </c>
      <c r="C18" s="6" t="inlineStr">
        <is>
          <t>TTM revenue $$8.45B; very cheap revenue multiple</t>
        </is>
      </c>
    </row>
    <row r="19">
      <c r="A19" s="6" t="inlineStr">
        <is>
          <t>P/B (MRQ)</t>
        </is>
      </c>
      <c r="B19" s="6" t="inlineStr">
        <is>
          <t>1.22x</t>
        </is>
      </c>
      <c r="C19" s="6" t="inlineStr">
        <is>
          <t>Market value vs book — modest premium, normal for CPG</t>
        </is>
      </c>
    </row>
    <row r="20">
      <c r="A20" s="6" t="inlineStr">
        <is>
          <t>EV/Revenue</t>
        </is>
      </c>
      <c r="B20" s="6" t="inlineStr">
        <is>
          <t>1.33x</t>
        </is>
      </c>
      <c r="C20" s="6" t="inlineStr">
        <is>
          <t>Enterprise value multiple on revenue — compression vs peers</t>
        </is>
      </c>
    </row>
    <row r="21">
      <c r="A21" s="6" t="inlineStr">
        <is>
          <t>EV/EBITDA</t>
        </is>
      </c>
      <c r="B21" s="6" t="inlineStr">
        <is>
          <t>7.95x</t>
        </is>
      </c>
      <c r="C21" s="6" t="inlineStr">
        <is>
          <t>TTM EBITDA $$1.42B; reasonable for the sector</t>
        </is>
      </c>
    </row>
    <row r="22">
      <c r="A22" s="6" t="inlineStr">
        <is>
          <t>EV/FCF</t>
        </is>
      </c>
      <c r="B22" s="6" t="inlineStr">
        <is>
          <t>21.7x</t>
        </is>
      </c>
      <c r="C22" s="6" t="inlineStr">
        <is>
          <t>TTM FCF $$0.52B; EXPENSIVE — debt weight distorts this multiple</t>
        </is>
      </c>
    </row>
    <row r="23">
      <c r="A23" s="6" t="inlineStr">
        <is>
          <t>FCF Yield (Unlevered)</t>
        </is>
      </c>
      <c r="B23" s="6" t="inlineStr">
        <is>
          <t>13.2%</t>
        </is>
      </c>
      <c r="C23" s="6" t="inlineStr">
        <is>
          <t>$520M FCF / $3930M MC; decent cash-generation per share</t>
        </is>
      </c>
    </row>
    <row r="24">
      <c r="A24" s="6" t="inlineStr">
        <is>
          <t>FCF Yield (Levered)</t>
        </is>
      </c>
      <c r="B24" s="6" t="inlineStr">
        <is>
          <t>8.0%</t>
        </is>
      </c>
      <c r="C24" s="6" t="inlineStr">
        <is>
          <t>After debt service and interest — lower free-cash return</t>
        </is>
      </c>
    </row>
    <row r="25">
      <c r="A25" s="6" t="inlineStr">
        <is>
          <t>PEG (5yr expected)</t>
        </is>
      </c>
      <c r="B25" s="6" t="inlineStr">
        <is>
          <t>N/A</t>
        </is>
      </c>
      <c r="C25" s="6" t="inlineStr">
        <is>
          <t>Growth too flat to meaningfully assess PEG</t>
        </is>
      </c>
    </row>
    <row r="26">
      <c r="A26" s="6" t="inlineStr">
        <is>
          <t>Dividend Yield</t>
        </is>
      </c>
      <c r="B26" s="6" t="inlineStr">
        <is>
          <t>N/A</t>
        </is>
      </c>
      <c r="C26" s="6" t="inlineStr">
        <is>
          <t>No dividend currently declared</t>
        </is>
      </c>
    </row>
    <row r="27">
      <c r="A27" s="6" t="inlineStr">
        <is>
          <t>EV - MC (Net Debt $)</t>
        </is>
      </c>
      <c r="B27" s="6" t="inlineStr">
        <is>
          <t>$7.34B</t>
        </is>
      </c>
      <c r="C27" s="6" t="inlineStr">
        <is>
          <t>Significant net debt position from leveraged buyout and ongoing buybacks</t>
        </is>
      </c>
    </row>
    <row r="28">
      <c r="A28" s="6" t="inlineStr">
        <is>
          <t>Debt/Equity</t>
        </is>
      </c>
      <c r="B28" s="6" t="inlineStr">
        <is>
          <t>238.09%</t>
        </is>
      </c>
      <c r="C28" s="6" t="inlineStr">
        <is>
          <t>Very high leverage — primary risk factor</t>
        </is>
      </c>
    </row>
    <row r="29">
      <c r="A29" s="6" t="inlineStr">
        <is>
          <t>Interest Coverage (EBIT/Int)</t>
        </is>
      </c>
      <c r="B29" s="6" t="inlineStr">
        <is>
          <t>2.1x</t>
        </is>
      </c>
      <c r="C29" s="6" t="inlineStr">
        <is>
          <t>EBIT $850M / Interest $400M — adequate but tight</t>
        </is>
      </c>
    </row>
    <row r="30">
      <c r="A30" s="6" t="inlineStr">
        <is>
          <t>WACC</t>
        </is>
      </c>
      <c r="B30" s="6" t="inlineStr">
        <is>
          <t>4.7%</t>
        </is>
      </c>
      <c r="C30" s="6" t="inlineStr">
        <is>
          <t>Low because beta is 0.33; CP defensiive stock with stable cash flows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5" customWidth="1" min="3" max="3"/>
  </cols>
  <sheetData>
    <row r="1">
      <c r="A1" s="1" t="inlineStr">
        <is>
          <t>WACC Calculation — CAPM</t>
        </is>
      </c>
    </row>
    <row r="2">
      <c r="A2" s="5" t="inlineStr">
        <is>
          <t>Component</t>
        </is>
      </c>
      <c r="B2" s="5" t="inlineStr">
        <is>
          <t>Value</t>
        </is>
      </c>
      <c r="C2" s="5" t="inlineStr">
        <is>
          <t>Source / Notes</t>
        </is>
      </c>
    </row>
    <row r="3">
      <c r="A3" s="6" t="inlineStr">
        <is>
          <t>Risk-Free Rate (10Y US)</t>
        </is>
      </c>
      <c r="B3" s="6" t="inlineStr">
        <is>
          <t>4.62%</t>
        </is>
      </c>
      <c r="C3" s="6" t="inlineStr">
        <is>
          <t>CNBC US10Y as of July 13, 2026</t>
        </is>
      </c>
    </row>
    <row r="4">
      <c r="A4" s="6" t="inlineStr">
        <is>
          <t>Equity Risk Premium</t>
        </is>
      </c>
      <c r="B4" s="6" t="inlineStr">
        <is>
          <t>5.00%</t>
        </is>
      </c>
      <c r="C4" s="6" t="inlineStr">
        <is>
          <t>Standard estimate</t>
        </is>
      </c>
    </row>
    <row r="5">
      <c r="A5" s="6" t="inlineStr">
        <is>
          <t>Beta (5Y Monthly)</t>
        </is>
      </c>
      <c r="B5" s="6" t="inlineStr">
        <is>
          <t>0.33</t>
        </is>
      </c>
      <c r="C5" s="6" t="inlineStr">
        <is>
          <t>Yahoo Finance Statistics</t>
        </is>
      </c>
    </row>
    <row r="6">
      <c r="A6" s="6" t="inlineStr">
        <is>
          <t>Cost of Equity (CAPM)</t>
        </is>
      </c>
      <c r="B6" s="6" t="inlineStr">
        <is>
          <t>6.27%</t>
        </is>
      </c>
      <c r="C6" s="6">
        <f> 4.62% + 0.33 × 5.00%</f>
        <v/>
      </c>
    </row>
    <row r="7">
      <c r="A7" s="6" t="inlineStr">
        <is>
          <t>Cost of Debt (pre-tax)</t>
        </is>
      </c>
      <c r="B7" s="6" t="inlineStr">
        <is>
          <t>5.20%</t>
        </is>
      </c>
      <c r="C7" s="6" t="inlineStr">
        <is>
          <t>Interest TTM $400M / Total Debt $7.7B ≈ 5.20%</t>
        </is>
      </c>
    </row>
    <row r="8">
      <c r="A8" s="6" t="inlineStr">
        <is>
          <t>Tax Rate</t>
        </is>
      </c>
      <c r="B8" s="6" t="inlineStr">
        <is>
          <t>24.90%</t>
        </is>
      </c>
      <c r="C8" s="6" t="inlineStr">
        <is>
          <t>TTM Tax Provision $112M / Pretax $450M</t>
        </is>
      </c>
    </row>
    <row r="9">
      <c r="A9" s="6" t="inlineStr">
        <is>
          <t>Market Cap ($B)</t>
        </is>
      </c>
      <c r="B9" s="6" t="inlineStr">
        <is>
          <t>3.93</t>
        </is>
      </c>
      <c r="C9" s="6" t="inlineStr">
        <is>
          <t>Yahoo Finance July 13, 2026 close</t>
        </is>
      </c>
    </row>
    <row r="10">
      <c r="A10" s="6" t="inlineStr">
        <is>
          <t>Total Debt ($B)</t>
        </is>
      </c>
      <c r="B10" s="6" t="inlineStr">
        <is>
          <t>7.70</t>
        </is>
      </c>
      <c r="C10" s="6" t="inlineStr">
        <is>
          <t>Yahoo Finance Balance Sheet 9/30/2025</t>
        </is>
      </c>
    </row>
    <row r="11">
      <c r="A11" s="6" t="inlineStr">
        <is>
          <t>Total Capital ($B)</t>
        </is>
      </c>
      <c r="B11" s="6" t="inlineStr">
        <is>
          <t>11.63</t>
        </is>
      </c>
      <c r="C11" s="6" t="inlineStr">
        <is>
          <t>MC + Total Debt</t>
        </is>
      </c>
    </row>
    <row r="12">
      <c r="A12" s="6" t="inlineStr">
        <is>
          <t>Equity Weight</t>
        </is>
      </c>
      <c r="B12" s="6" t="inlineStr">
        <is>
          <t>33.79%</t>
        </is>
      </c>
      <c r="C12" s="6" t="inlineStr">
        <is>
          <t>MC / Total Capital</t>
        </is>
      </c>
    </row>
    <row r="13">
      <c r="A13" s="6" t="inlineStr">
        <is>
          <t>Debt Weight</t>
        </is>
      </c>
      <c r="B13" s="6" t="inlineStr">
        <is>
          <t>66.21%</t>
        </is>
      </c>
      <c r="C13" s="6" t="inlineStr">
        <is>
          <t>Total Debt / Total Capital</t>
        </is>
      </c>
    </row>
    <row r="14">
      <c r="A14" s="6" t="inlineStr">
        <is>
          <t>After-Tax Cost of Debt</t>
        </is>
      </c>
      <c r="B14" s="6" t="inlineStr">
        <is>
          <t>3.91%</t>
        </is>
      </c>
      <c r="C14" s="6">
        <f> 5.20% × (1 - 24.9%)</f>
        <v/>
      </c>
    </row>
    <row r="15">
      <c r="A15" s="6" t="inlineStr">
        <is>
          <t>WACC</t>
        </is>
      </c>
      <c r="B15" s="6" t="inlineStr">
        <is>
          <t>4.70%</t>
        </is>
      </c>
      <c r="C15" s="6">
        <f> 34% × 6.27% + 66% × 3.91%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14" customWidth="1" min="8" max="8"/>
    <col width="10" customWidth="1" min="9" max="9"/>
    <col width="16" customWidth="1" min="10" max="10"/>
    <col width="20" customWidth="1" min="11" max="11"/>
    <col width="18" customWidth="1" min="12" max="12"/>
  </cols>
  <sheetData>
    <row r="1">
      <c r="A1" s="1" t="inlineStr">
        <is>
          <t>Scenario Analysis — Forward P/E Framework</t>
        </is>
      </c>
    </row>
    <row r="3">
      <c r="A3" s="2" t="inlineStr">
        <is>
          <t>FRAMEWORK NOTE:</t>
        </is>
      </c>
      <c r="B3" s="3" t="inlineStr">
        <is>
          <t>FCF multiple framework NOT used: Net debt ($7.34B) &gt; FCF × 10 ($5.17B). Using Forward P/E on analyst consensus as primary lens, with EV/EBITDA cross-check. 3-year terminal point from FY2027 consensus.</t>
        </is>
      </c>
    </row>
    <row r="5">
      <c r="A5" s="5" t="inlineStr">
        <is>
          <t>Scenario</t>
        </is>
      </c>
      <c r="B5" s="5" t="inlineStr">
        <is>
          <t>Revenue CAGR (5Y)</t>
        </is>
      </c>
      <c r="C5" s="5" t="inlineStr">
        <is>
          <t>Terminal Revenue ($B)</t>
        </is>
      </c>
      <c r="D5" s="5" t="inlineStr">
        <is>
          <t>EPS FY27 Anchor</t>
        </is>
      </c>
      <c r="E5" s="5" t="inlineStr">
        <is>
          <t>Terminal EPS (3Y fwd)</t>
        </is>
      </c>
      <c r="F5" s="5" t="inlineStr">
        <is>
          <t>Exit P/E</t>
        </is>
      </c>
      <c r="G5" s="5" t="inlineStr">
        <is>
          <t>Target Price</t>
        </is>
      </c>
      <c r="H5" s="5" t="inlineStr">
        <is>
          <t>Upside/PDown</t>
        </is>
      </c>
      <c r="I5" s="5" t="inlineStr">
        <is>
          <t>Weight</t>
        </is>
      </c>
      <c r="J5" s="5" t="inlineStr">
        <is>
          <t>Weighted $/Share</t>
        </is>
      </c>
      <c r="K5" s="5" t="inlineStr">
        <is>
          <t>Total Prob-Weighted FV</t>
        </is>
      </c>
      <c r="L5" s="5" t="inlineStr">
        <is>
          <t>Upside from Current</t>
        </is>
      </c>
    </row>
    <row r="6">
      <c r="A6" s="7" t="inlineStr">
        <is>
          <t>Bear</t>
        </is>
      </c>
      <c r="B6" s="8" t="n">
        <v>0</v>
      </c>
      <c r="C6" s="9" t="n">
        <v>8.27</v>
      </c>
      <c r="D6" s="9" t="n">
        <v>8.06</v>
      </c>
      <c r="E6" s="9" t="n">
        <v>8.807379620000001</v>
      </c>
      <c r="F6" s="10" t="n">
        <v>10</v>
      </c>
      <c r="G6" s="11" t="n">
        <v>88.0737962</v>
      </c>
      <c r="H6" s="8" t="n">
        <v>0.01584540023068048</v>
      </c>
      <c r="I6" s="8" t="n">
        <v>0.25</v>
      </c>
      <c r="J6" s="11" t="n">
        <v>22.01844905</v>
      </c>
      <c r="K6" s="11" t="n">
        <v>141.97476753</v>
      </c>
      <c r="L6" s="8" t="n">
        <v>0.6375405712802769</v>
      </c>
    </row>
    <row r="7">
      <c r="A7" s="7" t="inlineStr">
        <is>
          <t>Base</t>
        </is>
      </c>
      <c r="B7" s="8" t="n">
        <v>0.01</v>
      </c>
      <c r="C7" s="9" t="n">
        <v>8.52058927</v>
      </c>
      <c r="D7" s="9" t="n">
        <v>8.69</v>
      </c>
      <c r="E7" s="9" t="n">
        <v>10.34992904</v>
      </c>
      <c r="F7" s="10" t="n">
        <v>13</v>
      </c>
      <c r="G7" s="11" t="n">
        <v>134.54907752</v>
      </c>
      <c r="H7" s="8" t="n">
        <v>0.5518924742791234</v>
      </c>
      <c r="I7" s="8" t="n">
        <v>0.5</v>
      </c>
      <c r="J7" s="11" t="n">
        <v>67.27453876</v>
      </c>
      <c r="K7" s="11" t="n">
        <v>141.97476753</v>
      </c>
      <c r="L7" s="8" t="n">
        <v>0.6375405712802769</v>
      </c>
    </row>
    <row r="8">
      <c r="A8" s="7" t="inlineStr">
        <is>
          <t>Bull</t>
        </is>
      </c>
      <c r="B8" s="8" t="n">
        <v>0.03</v>
      </c>
      <c r="C8" s="9" t="n">
        <v>9.364233299200002</v>
      </c>
      <c r="D8" s="9" t="n">
        <v>10.17</v>
      </c>
      <c r="E8" s="9" t="n">
        <v>13.17044493</v>
      </c>
      <c r="F8" s="10" t="n">
        <v>16</v>
      </c>
      <c r="G8" s="11" t="n">
        <v>210.72711888</v>
      </c>
      <c r="H8" s="8" t="n">
        <v>1.43053193633218</v>
      </c>
      <c r="I8" s="8" t="n">
        <v>0.25</v>
      </c>
      <c r="J8" s="11" t="n">
        <v>52.68177972000001</v>
      </c>
      <c r="K8" s="11" t="n">
        <v>141.97476753</v>
      </c>
      <c r="L8" s="8" t="n">
        <v>0.6375405712802769</v>
      </c>
    </row>
    <row r="10">
      <c r="A10" s="2" t="inlineStr">
        <is>
          <t>SUMMARY</t>
        </is>
      </c>
      <c r="B10" s="3" t="inlineStr">
        <is>
          <t>Probability-weighted fair value: $142.0</t>
        </is>
      </c>
      <c r="C10" s="3" t="inlineStr">
        <is>
          <t>Upside from $86.70: +63.8%</t>
        </is>
      </c>
      <c r="D10" s="3" t="inlineStr">
        <is>
          <t>Base case target $134.5 vs analyst avg PT $120.3: within calibration range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45" customWidth="1" min="4" max="4"/>
  </cols>
  <sheetData>
    <row r="1">
      <c r="A1" s="1" t="inlineStr">
        <is>
          <t>Actuals Source Audit</t>
        </is>
      </c>
    </row>
    <row r="2">
      <c r="A2" s="5" t="inlineStr">
        <is>
          <t>Data Point</t>
        </is>
      </c>
      <c r="B2" s="5" t="inlineStr">
        <is>
          <t>Value</t>
        </is>
      </c>
      <c r="C2" s="5" t="inlineStr">
        <is>
          <t>Source</t>
        </is>
      </c>
      <c r="D2" s="5" t="inlineStr">
        <is>
          <t>Date / Notes</t>
        </is>
      </c>
    </row>
    <row r="3">
      <c r="A3" s="6" t="inlineStr">
        <is>
          <t>Stock Price</t>
        </is>
      </c>
      <c r="B3" s="6" t="inlineStr">
        <is>
          <t>$86.70</t>
        </is>
      </c>
      <c r="C3" s="6" t="inlineStr">
        <is>
          <t>Yahoo Finance summary</t>
        </is>
      </c>
      <c r="D3" s="6" t="inlineStr">
        <is>
          <t>July 13, 2026 close</t>
        </is>
      </c>
    </row>
    <row r="4">
      <c r="A4" s="6" t="inlineStr">
        <is>
          <t>Market Cap</t>
        </is>
      </c>
      <c r="B4" s="6" t="inlineStr">
        <is>
          <t>$3.93B</t>
        </is>
      </c>
      <c r="C4" s="6" t="inlineStr">
        <is>
          <t>Yahoo Finance summary</t>
        </is>
      </c>
      <c r="D4" s="6" t="inlineStr">
        <is>
          <t>July 13, 2026 intraday</t>
        </is>
      </c>
    </row>
    <row r="5">
      <c r="A5" s="6" t="inlineStr">
        <is>
          <t>Enterprise Value</t>
        </is>
      </c>
      <c r="B5" s="6" t="inlineStr">
        <is>
          <t>$11.27B</t>
        </is>
      </c>
      <c r="C5" s="6" t="inlineStr">
        <is>
          <t>Yahoo Finance Statistics</t>
        </is>
      </c>
      <c r="D5" s="6" t="inlineStr">
        <is>
          <t>July 10, 2026</t>
        </is>
      </c>
    </row>
    <row r="6">
      <c r="A6" s="6" t="inlineStr">
        <is>
          <t>Shares Outstanding (basic)</t>
        </is>
      </c>
      <c r="B6" s="6" t="inlineStr">
        <is>
          <t>52,800,000</t>
        </is>
      </c>
      <c r="C6" s="6" t="inlineStr">
        <is>
          <t>Yahoo Finance Balance Sheet / Profile</t>
        </is>
      </c>
      <c r="D6" s="6" t="inlineStr">
        <is>
          <t>9/30/2025</t>
        </is>
      </c>
    </row>
    <row r="7">
      <c r="A7" s="6" t="inlineStr">
        <is>
          <t>Diluted Shares (TTM avg)</t>
        </is>
      </c>
      <c r="B7" s="6" t="inlineStr">
        <is>
          <t>58,900,000</t>
        </is>
      </c>
      <c r="C7" s="6" t="inlineStr">
        <is>
          <t>Yahoo Finance Income Statement</t>
        </is>
      </c>
      <c r="D7" s="6" t="inlineStr">
        <is>
          <t>TTM ending ~June 2026</t>
        </is>
      </c>
    </row>
    <row r="8">
      <c r="A8" s="6" t="inlineStr">
        <is>
          <t>Preferred Shares</t>
        </is>
      </c>
      <c r="B8" s="6" t="inlineStr">
        <is>
          <t>3,200,000</t>
        </is>
      </c>
      <c r="C8" s="6" t="inlineStr">
        <is>
          <t>Yahoo Finance Balance Sheet</t>
        </is>
      </c>
      <c r="D8" s="6" t="inlineStr">
        <is>
          <t>9/30/2025 — stable across years</t>
        </is>
      </c>
    </row>
    <row r="9">
      <c r="A9" s="6" t="inlineStr">
        <is>
          <t>Beta (5Y Monthly)</t>
        </is>
      </c>
      <c r="B9" s="6" t="inlineStr">
        <is>
          <t>0.33</t>
        </is>
      </c>
      <c r="C9" s="6" t="inlineStr">
        <is>
          <t>Yahoo Finance Statistics</t>
        </is>
      </c>
      <c r="D9" s="6" t="inlineStr">
        <is>
          <t>July 10, 2026</t>
        </is>
      </c>
    </row>
    <row r="10">
      <c r="A10" s="6" t="inlineStr">
        <is>
          <t>Revenue TTM</t>
        </is>
      </c>
      <c r="B10" s="6" t="inlineStr">
        <is>
          <t>$8.45B</t>
        </is>
      </c>
      <c r="C10" s="6" t="inlineStr">
        <is>
          <t>Yahoo Finance Income Statement</t>
        </is>
      </c>
      <c r="D10" s="6" t="inlineStr">
        <is>
          <t>TTM ending ~June 2026</t>
        </is>
      </c>
    </row>
    <row r="11">
      <c r="A11" s="6" t="inlineStr">
        <is>
          <t>Revenue FY2025</t>
        </is>
      </c>
      <c r="B11" s="6" t="inlineStr">
        <is>
          <t>$8.16B</t>
        </is>
      </c>
      <c r="C11" s="6" t="inlineStr">
        <is>
          <t>Yahoo Finance Income Statement</t>
        </is>
      </c>
      <c r="D11" s="6" t="inlineStr">
        <is>
          <t>9/30/2025</t>
        </is>
      </c>
    </row>
    <row r="12">
      <c r="A12" s="6" t="inlineStr">
        <is>
          <t>Revenue FY2024</t>
        </is>
      </c>
      <c r="B12" s="6" t="inlineStr">
        <is>
          <t>$7.92B</t>
        </is>
      </c>
      <c r="C12" s="6" t="inlineStr">
        <is>
          <t>Yahoo Finance Income Statement</t>
        </is>
      </c>
      <c r="D12" s="6" t="inlineStr">
        <is>
          <t>9/30/2024</t>
        </is>
      </c>
    </row>
    <row r="13">
      <c r="A13" s="6" t="inlineStr">
        <is>
          <t>Gross Profit TTM</t>
        </is>
      </c>
      <c r="B13" s="6" t="inlineStr">
        <is>
          <t>$2.45B</t>
        </is>
      </c>
      <c r="C13" s="6" t="inlineStr">
        <is>
          <t>Yahoo Finance Income Statement</t>
        </is>
      </c>
      <c r="D13" s="6" t="inlineStr">
        <is>
          <t>TTM</t>
        </is>
      </c>
    </row>
    <row r="14">
      <c r="A14" s="6" t="inlineStr">
        <is>
          <t>Gross Margin TTM</t>
        </is>
      </c>
      <c r="B14" s="6" t="inlineStr">
        <is>
          <t>29.1%</t>
        </is>
      </c>
      <c r="C14" s="6" t="inlineStr">
        <is>
          <t>Calculated: GP / Revenue</t>
        </is>
      </c>
      <c r="D14" s="6" t="inlineStr">
        <is>
          <t>TTM</t>
        </is>
      </c>
    </row>
    <row r="15">
      <c r="A15" s="6" t="inlineStr">
        <is>
          <t>Op Income TTM</t>
        </is>
      </c>
      <c r="B15" s="6" t="inlineStr">
        <is>
          <t>$883M</t>
        </is>
      </c>
      <c r="C15" s="6" t="inlineStr">
        <is>
          <t>Yahoo Finance Income Statement</t>
        </is>
      </c>
      <c r="D15" s="6" t="inlineStr">
        <is>
          <t>TTM</t>
        </is>
      </c>
    </row>
    <row r="16">
      <c r="A16" s="6" t="inlineStr">
        <is>
          <t>Operating Margin TTM</t>
        </is>
      </c>
      <c r="B16" s="6" t="inlineStr">
        <is>
          <t>10.5%</t>
        </is>
      </c>
      <c r="C16" s="6" t="inlineStr">
        <is>
          <t>Calculated: Op Inc / Revenue</t>
        </is>
      </c>
      <c r="D16" s="6" t="inlineStr">
        <is>
          <t>TTM</t>
        </is>
      </c>
    </row>
    <row r="17">
      <c r="A17" s="6" t="inlineStr">
        <is>
          <t>EBITDA TTM</t>
        </is>
      </c>
      <c r="B17" s="6" t="inlineStr">
        <is>
          <t>$1.42B</t>
        </is>
      </c>
      <c r="C17" s="6" t="inlineStr">
        <is>
          <t>Yahoo Finance Income Statement</t>
        </is>
      </c>
      <c r="D17" s="6" t="inlineStr">
        <is>
          <t>TTM</t>
        </is>
      </c>
    </row>
    <row r="18">
      <c r="A18" s="6" t="inlineStr">
        <is>
          <t>Net Income TTM</t>
        </is>
      </c>
      <c r="B18" s="6" t="inlineStr">
        <is>
          <t>$338.5M</t>
        </is>
      </c>
      <c r="C18" s="6" t="inlineStr">
        <is>
          <t>Yahoo Finance Income Statement</t>
        </is>
      </c>
      <c r="D18" s="6" t="inlineStr">
        <is>
          <t>TTM</t>
        </is>
      </c>
    </row>
    <row r="19">
      <c r="A19" s="6" t="inlineStr">
        <is>
          <t>Net Income FY2025</t>
        </is>
      </c>
      <c r="B19" s="6" t="inlineStr">
        <is>
          <t>$335.7M</t>
        </is>
      </c>
      <c r="C19" s="6" t="inlineStr">
        <is>
          <t>Yahoo Finance Income Statement</t>
        </is>
      </c>
      <c r="D19" s="6" t="inlineStr">
        <is>
          <t>9/30/2025</t>
        </is>
      </c>
    </row>
    <row r="20">
      <c r="A20" s="6" t="inlineStr">
        <is>
          <t>Diluted EPS TTM</t>
        </is>
      </c>
      <c r="B20" s="6" t="inlineStr">
        <is>
          <t>$5.96</t>
        </is>
      </c>
      <c r="C20" s="6" t="inlineStr">
        <is>
          <t>Yahoo Finance Income Statement / Summary</t>
        </is>
      </c>
      <c r="D20" s="6" t="inlineStr">
        <is>
          <t>TTM</t>
        </is>
      </c>
    </row>
    <row r="21">
      <c r="A21" s="6" t="inlineStr">
        <is>
          <t>Total Debt</t>
        </is>
      </c>
      <c r="B21" s="6" t="inlineStr">
        <is>
          <t>$7.70B</t>
        </is>
      </c>
      <c r="C21" s="6" t="inlineStr">
        <is>
          <t>Yahoo Finance Balance Sheet</t>
        </is>
      </c>
      <c r="D21" s="6" t="inlineStr">
        <is>
          <t>9/30/2025</t>
        </is>
      </c>
    </row>
    <row r="22">
      <c r="A22" s="6" t="inlineStr">
        <is>
          <t>Total Cash (MRQ)</t>
        </is>
      </c>
      <c r="B22" s="6" t="inlineStr">
        <is>
          <t>$269.5M</t>
        </is>
      </c>
      <c r="C22" s="6" t="inlineStr">
        <is>
          <t>Yahoo Finance Statistics</t>
        </is>
      </c>
      <c r="D22" s="6" t="inlineStr">
        <is>
          <t>MRQ as of July 10, 2026</t>
        </is>
      </c>
    </row>
    <row r="23">
      <c r="A23" s="6" t="inlineStr">
        <is>
          <t>Net Debt (BS)</t>
        </is>
      </c>
      <c r="B23" s="6" t="inlineStr">
        <is>
          <t>$7.25B</t>
        </is>
      </c>
      <c r="C23" s="6" t="inlineStr">
        <is>
          <t>Calculated: Total Debt - Total Cash</t>
        </is>
      </c>
      <c r="D23" s="6" t="inlineStr">
        <is>
          <t>9/30/2025</t>
        </is>
      </c>
    </row>
    <row r="24">
      <c r="A24" s="6" t="inlineStr">
        <is>
          <t>Net Debt (EV-MC proxy)</t>
        </is>
      </c>
      <c r="B24" s="6" t="inlineStr">
        <is>
          <t>$7.34B</t>
        </is>
      </c>
      <c r="C24" s="6" t="inlineStr">
        <is>
          <t>Calculated: $11.27B - $3.93B</t>
        </is>
      </c>
      <c r="D24" s="6" t="inlineStr">
        <is>
          <t>July 10/13, 2026</t>
        </is>
      </c>
    </row>
    <row r="25">
      <c r="A25" s="6" t="inlineStr">
        <is>
          <t>Operating Cash Flow TTM</t>
        </is>
      </c>
      <c r="B25" s="6" t="inlineStr">
        <is>
          <t>$1.01B</t>
        </is>
      </c>
      <c r="C25" s="6" t="inlineStr">
        <is>
          <t>Yahoo Finance Cash Flow Statement</t>
        </is>
      </c>
      <c r="D25" s="6" t="inlineStr">
        <is>
          <t>TTM</t>
        </is>
      </c>
    </row>
    <row r="26">
      <c r="A26" s="6" t="inlineStr">
        <is>
          <t>CapEx TTM</t>
        </is>
      </c>
      <c r="B26" s="6" t="inlineStr">
        <is>
          <t>$488M</t>
        </is>
      </c>
      <c r="C26" s="6" t="inlineStr">
        <is>
          <t>Yahoo Finance Cash Flow Statement</t>
        </is>
      </c>
      <c r="D26" s="6" t="inlineStr">
        <is>
          <t>TTM</t>
        </is>
      </c>
    </row>
    <row r="27">
      <c r="A27" s="6" t="inlineStr">
        <is>
          <t>Unlevered FCF TTM</t>
        </is>
      </c>
      <c r="B27" s="6" t="inlineStr">
        <is>
          <t>$517M</t>
        </is>
      </c>
      <c r="C27" s="6" t="inlineStr">
        <is>
          <t>Calculated: OCF - CapEx</t>
        </is>
      </c>
      <c r="D27" s="6" t="inlineStr">
        <is>
          <t>TTM</t>
        </is>
      </c>
    </row>
    <row r="28">
      <c r="A28" s="6" t="inlineStr">
        <is>
          <t>Levered FCF TTM</t>
        </is>
      </c>
      <c r="B28" s="6" t="inlineStr">
        <is>
          <t>$316.5M</t>
        </is>
      </c>
      <c r="C28" s="6" t="inlineStr">
        <is>
          <t>Yahoo Finance Statistics</t>
        </is>
      </c>
      <c r="D28" s="6" t="inlineStr">
        <is>
          <t>TTM July 10, 2026</t>
        </is>
      </c>
    </row>
    <row r="29">
      <c r="A29" s="6" t="inlineStr">
        <is>
          <t>FCF Margin (Unlev)</t>
        </is>
      </c>
      <c r="B29" s="6" t="inlineStr">
        <is>
          <t>6.1%</t>
        </is>
      </c>
      <c r="C29" s="6" t="inlineStr">
        <is>
          <t>Calculated: FCF / Revenue</t>
        </is>
      </c>
      <c r="D29" s="6" t="inlineStr">
        <is>
          <t>TTM</t>
        </is>
      </c>
    </row>
    <row r="30">
      <c r="A30" s="6" t="inlineStr">
        <is>
          <t>Share Repurchases TTM</t>
        </is>
      </c>
      <c r="B30" s="6" t="inlineStr">
        <is>
          <t>$1.05B</t>
        </is>
      </c>
      <c r="C30" s="6" t="inlineStr">
        <is>
          <t>Yahoo Finance Cash Flow Statement</t>
        </is>
      </c>
      <c r="D30" s="6" t="inlineStr">
        <is>
          <t>TTM — aggressive buyback program</t>
        </is>
      </c>
    </row>
    <row r="31">
      <c r="A31" s="6" t="inlineStr">
        <is>
          <t>Interest Expense TTM</t>
        </is>
      </c>
      <c r="B31" s="6" t="inlineStr">
        <is>
          <t>$400M</t>
        </is>
      </c>
      <c r="C31" s="6" t="inlineStr">
        <is>
          <t>Yahoo Finance Income Statement</t>
        </is>
      </c>
      <c r="D31" s="6" t="inlineStr">
        <is>
          <t>TTM</t>
        </is>
      </c>
    </row>
    <row r="32">
      <c r="A32" s="6" t="inlineStr">
        <is>
          <t>Analyst Avg Target</t>
        </is>
      </c>
      <c r="B32" s="6" t="inlineStr">
        <is>
          <t>$120.33</t>
        </is>
      </c>
      <c r="C32" s="6" t="inlineStr">
        <is>
          <t>Yahoo Finance Analysis</t>
        </is>
      </c>
      <c r="D32" s="6" t="inlineStr">
        <is>
          <t>July 13, 2026</t>
        </is>
      </c>
    </row>
    <row r="33">
      <c r="A33" s="6" t="inlineStr">
        <is>
          <t>Analyst PT High</t>
        </is>
      </c>
      <c r="B33" s="6" t="inlineStr">
        <is>
          <t>$131.00</t>
        </is>
      </c>
      <c r="C33" s="6" t="inlineStr">
        <is>
          <t>Yahoo Finance Analysis</t>
        </is>
      </c>
      <c r="D33" s="6" t="inlineStr">
        <is>
          <t>July 13, 2026</t>
        </is>
      </c>
    </row>
    <row r="34">
      <c r="A34" s="6" t="inlineStr">
        <is>
          <t>EPS Estimate FY26</t>
        </is>
      </c>
      <c r="B34" s="6" t="inlineStr">
        <is>
          <t>$7.71</t>
        </is>
      </c>
      <c r="C34" s="6" t="inlineStr">
        <is>
          <t>Yahoo Finance Analysis</t>
        </is>
      </c>
      <c r="D34" s="6" t="inlineStr">
        <is>
          <t>7 analysts, consensus</t>
        </is>
      </c>
    </row>
    <row r="35">
      <c r="A35" s="6" t="inlineStr">
        <is>
          <t>EPS Estimate FY27</t>
        </is>
      </c>
      <c r="B35" s="6" t="inlineStr">
        <is>
          <t>$8.69</t>
        </is>
      </c>
      <c r="C35" s="6" t="inlineStr">
        <is>
          <t>Yahoo Finance Analysis</t>
        </is>
      </c>
      <c r="D35" s="6" t="inlineStr">
        <is>
          <t>7 analysts, consensus</t>
        </is>
      </c>
    </row>
    <row r="36">
      <c r="A36" s="6" t="inlineStr">
        <is>
          <t>Revenue Est FY26</t>
        </is>
      </c>
      <c r="B36" s="6" t="inlineStr">
        <is>
          <t>$8.32B</t>
        </is>
      </c>
      <c r="C36" s="6" t="inlineStr">
        <is>
          <t>Yahoo Finance Analysis</t>
        </is>
      </c>
      <c r="D36" s="6" t="inlineStr">
        <is>
          <t>6 analysts, +1.92% YoY</t>
        </is>
      </c>
    </row>
    <row r="37">
      <c r="A37" s="6" t="inlineStr">
        <is>
          <t>Revenue Est FY27</t>
        </is>
      </c>
      <c r="B37" s="6" t="inlineStr">
        <is>
          <t>$8.27B</t>
        </is>
      </c>
      <c r="C37" s="6" t="inlineStr">
        <is>
          <t>Yahoo Finance Analysis</t>
        </is>
      </c>
      <c r="D37" s="6" t="inlineStr">
        <is>
          <t>5 analysts, -0.59% YoY</t>
        </is>
      </c>
    </row>
    <row r="38">
      <c r="A38" s="6" t="inlineStr">
        <is>
          <t>EPS Surprise Q2 FY26</t>
        </is>
      </c>
      <c r="B38" s="6" t="inlineStr">
        <is>
          <t>+10.95%</t>
        </is>
      </c>
      <c r="C38" s="6" t="inlineStr">
        <is>
          <t>Yahoo Finance Analysis</t>
        </is>
      </c>
      <c r="D38" s="6" t="inlineStr">
        <is>
          <t>Est $1.75, Act $1.94</t>
        </is>
      </c>
    </row>
    <row r="39">
      <c r="A39" s="6" t="inlineStr">
        <is>
          <t>EPS Surprise Q4 FY25</t>
        </is>
      </c>
      <c r="B39" s="6" t="inlineStr">
        <is>
          <t>+27.67%</t>
        </is>
      </c>
      <c r="C39" s="6" t="inlineStr">
        <is>
          <t>Yahoo Finance Analysis</t>
        </is>
      </c>
      <c r="D39" s="6" t="inlineStr">
        <is>
          <t>Est $1.67, Act $2.13 — massive beat</t>
        </is>
      </c>
    </row>
    <row r="40">
      <c r="A40" s="6" t="inlineStr">
        <is>
          <t>10Y Treasury Yield</t>
        </is>
      </c>
      <c r="B40" s="6" t="inlineStr">
        <is>
          <t>4.618%</t>
        </is>
      </c>
      <c r="C40" s="6" t="inlineStr">
        <is>
          <t>CNBC US10Y</t>
        </is>
      </c>
      <c r="D40" s="6" t="inlineStr">
        <is>
          <t>July 13, 2026</t>
        </is>
      </c>
    </row>
    <row r="41">
      <c r="A41" s="6" t="inlineStr">
        <is>
          <t>Debt/Equity (MRQ)</t>
        </is>
      </c>
      <c r="B41" s="6" t="inlineStr">
        <is>
          <t>238.09%</t>
        </is>
      </c>
      <c r="C41" s="6" t="inlineStr">
        <is>
          <t>Yahoo Finance Statistics</t>
        </is>
      </c>
      <c r="D41" s="6" t="inlineStr">
        <is>
          <t>July 10, 2026</t>
        </is>
      </c>
    </row>
    <row r="42">
      <c r="A42" s="6" t="inlineStr">
        <is>
          <t>ROE (TTM)</t>
        </is>
      </c>
      <c r="B42" s="6" t="inlineStr">
        <is>
          <t>9.62%</t>
        </is>
      </c>
      <c r="C42" s="6" t="inlineStr">
        <is>
          <t>Yahoo Finance Statistics</t>
        </is>
      </c>
      <c r="D42" s="6" t="inlineStr">
        <is>
          <t>TTM</t>
        </is>
      </c>
    </row>
    <row r="43">
      <c r="A43" s="6" t="inlineStr">
        <is>
          <t>ROA (TTM)</t>
        </is>
      </c>
      <c r="B43" s="6" t="inlineStr">
        <is>
          <t>4.45%</t>
        </is>
      </c>
      <c r="C43" s="6" t="inlineStr">
        <is>
          <t>Yahoo Finance Statistics</t>
        </is>
      </c>
      <c r="D43" s="6" t="inlineStr">
        <is>
          <t>TTM</t>
        </is>
      </c>
    </row>
    <row r="44">
      <c r="A44" s="6" t="inlineStr">
        <is>
          <t>10Y U.S. Treasury Rate</t>
        </is>
      </c>
      <c r="B44" s="6" t="inlineStr">
        <is>
          <t>4.618%</t>
        </is>
      </c>
      <c r="C44" s="6" t="inlineStr">
        <is>
          <t>CNBC US10Y</t>
        </is>
      </c>
      <c r="D44" s="6" t="inlineStr">
        <is>
          <t>July 13, 2026</t>
        </is>
      </c>
    </row>
    <row r="45">
      <c r="A45" s="6" t="inlineStr">
        <is>
          <t>Earnings Date</t>
        </is>
      </c>
      <c r="B45" s="6" t="inlineStr">
        <is>
          <t>Aug 6, 2026</t>
        </is>
      </c>
      <c r="C45" s="6" t="inlineStr">
        <is>
          <t>Yahoo Finance Profile</t>
        </is>
      </c>
      <c r="D45" s="6" t="inlineStr">
        <is>
          <t>Q3 FY26 estimated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90" customWidth="1" min="3" max="3"/>
  </cols>
  <sheetData>
    <row r="1">
      <c r="A1" s="1" t="inlineStr">
        <is>
          <t>Open Questions</t>
        </is>
      </c>
    </row>
    <row r="2">
      <c r="A2" s="2" t="inlineStr">
        <is>
          <t>Q1</t>
        </is>
      </c>
      <c r="B2" s="12" t="inlineStr">
        <is>
          <t>Preferred Stock — Terms and Obligations</t>
        </is>
      </c>
      <c r="C2" s="6" t="inlineStr">
        <is>
          <t>3,200,000 preferred shares exist, stable since at least FY2022. What are the dividend obligations? Fixed-charge coverage? Should preferred equity be subtracted from market cap for common share valuation?</t>
        </is>
      </c>
    </row>
    <row r="3">
      <c r="A3" s="2" t="inlineStr">
        <is>
          <t>Q2</t>
        </is>
      </c>
      <c r="B3" s="12" t="inlineStr">
        <is>
          <t>Net Debt vs FCF Coverage</t>
        </is>
      </c>
      <c r="C3" s="6" t="inlineStr">
        <is>
          <t>Net debt of $7.34B vs unlevered FCF of $517M (14.2x multiple). Is this leverage sustainable, or is it a leveraged-buyout legacy that will compress over time? What is the targeted net-debt reduction trajectory?</t>
        </is>
      </c>
    </row>
    <row r="4">
      <c r="A4" s="2" t="inlineStr">
        <is>
          <t>Q3</t>
        </is>
      </c>
      <c r="B4" s="12" t="inlineStr">
        <is>
          <t>Aggressive Share Repurchases</t>
        </is>
      </c>
      <c r="C4" s="6" t="inlineStr">
        <is>
          <t>TTM buybacks of $1.05B — that is ~2% of market cap. Are these sustainable given the heavy debt load? Does management prioritize buybacks over debt reduction? How does buyback volume affect FCF available for reinvestment?</t>
        </is>
      </c>
    </row>
    <row r="5">
      <c r="A5" s="2" t="inlineStr">
        <is>
          <t>Q4</t>
        </is>
      </c>
      <c r="B5" s="12" t="inlineStr">
        <is>
          <t>Revenue Plateau</t>
        </is>
      </c>
      <c r="C5" s="6" t="inlineStr">
        <is>
          <t>Analyst consensus shows FY2026 $8.32B → FY2027 $8.27B (decline). Has the company hit a revenue ceiling? What organic or M&amp;A growth drivers remain after the BellRing / Bob Evans / Michael Foods rollups?</t>
        </is>
      </c>
    </row>
    <row r="6">
      <c r="A6" s="2" t="inlineStr">
        <is>
          <t>Q5</t>
        </is>
      </c>
      <c r="B6" s="12" t="inlineStr">
        <is>
          <t>Interest Expense Sustainability</t>
        </is>
      </c>
      <c r="C6" s="6" t="inlineStr">
        <is>
          <t>Interest expense TTM $399M on $7.70B debt (~5.2% average rate). If rates stay elevated or rise, does interest coverage (EBIT/Int ~2.1x) become concerning? What happens in a rate-hike environment?</t>
        </is>
      </c>
    </row>
    <row r="7">
      <c r="A7" s="2" t="inlineStr">
        <is>
          <t>Q6</t>
        </is>
      </c>
      <c r="B7" s="12" t="inlineStr">
        <is>
          <t>Negative Tangible Book Value</t>
        </is>
      </c>
      <c r="C7" s="6" t="inlineStr">
        <is>
          <t>Net tangible assets = -$4.11B (FY2025). The entire balance sheet is goodwill + intangibles from acquisition rolldup. Is this sustainable, or are impairment risks real?</t>
        </is>
      </c>
    </row>
    <row r="8">
      <c r="A8" s="2" t="inlineStr">
        <is>
          <t>Q7</t>
        </is>
      </c>
      <c r="B8" s="12" t="inlineStr">
        <is>
          <t>FCF Quality and Conversion</t>
        </is>
      </c>
      <c r="C8" s="6" t="inlineStr">
        <is>
          <t>Unlevered FCF $517M but levered FCF only $316.5M — $200M lost to financing. OCF of $1.01B looks strong, but most is consumed by debt service. Is the FCF quality durable or is it a function of current rate environment?</t>
        </is>
      </c>
    </row>
    <row r="9">
      <c r="A9" s="2" t="inlineStr">
        <is>
          <t>Q8</t>
        </is>
      </c>
      <c r="B9" s="12" t="inlineStr">
        <is>
          <t>Segment Contribution and Cyclicality</t>
        </is>
      </c>
      <c r="C9" s="6" t="inlineStr">
        <is>
          <t>Foodservice segment (eggs, potatoes, meat) carries different margin/cyclicality profile than Retail CPG. How stable is the foodservice mix, and does it introduce commodity price risk?</t>
        </is>
      </c>
    </row>
    <row r="10">
      <c r="A10" s="2" t="inlineStr">
        <is>
          <t>Q9</t>
        </is>
      </c>
      <c r="B10" s="12" t="inlineStr">
        <is>
          <t>Customer Concentration and Retailer Power</t>
        </is>
      </c>
      <c r="C10" s="6" t="inlineStr">
        <is>
          <t>Serves grocery, mass merch, club stores, dollar stores. Is there concentration risk in top retailers (Walmart, Costco, Amazon)? What is the impact of private label vs branded mix shift?</t>
        </is>
      </c>
    </row>
    <row r="11">
      <c r="A11" s="2" t="inlineStr">
        <is>
          <t>Q10</t>
        </is>
      </c>
      <c r="B11" s="12" t="inlineStr">
        <is>
          <t>Capital Allocation Priority</t>
        </is>
      </c>
      <c r="C11" s="6" t="inlineStr">
        <is>
          <t>With $1.05B TTM in buybacks, $517M FCF, and $7.70B in debt, the capital allocation hierarchy is unclear. Should debt reduction precede buybacks? Is management signaling confidence via buybacks despite leverage?</t>
        </is>
      </c>
    </row>
    <row r="12">
      <c r="A12" s="2" t="inlineStr">
        <is>
          <t>Q11</t>
        </is>
      </c>
      <c r="B12" s="12" t="inlineStr">
        <is>
          <t>Competitive Differentiation</t>
        </is>
      </c>
      <c r="C12" s="6" t="inlineStr">
        <is>
          <t>CPG is low-differentiation. How does Post compete with generalists like Conagra, General Mills, Kellogg/Mondelez on the same product categories? Brand equity depth vs. cost leadership?</t>
        </is>
      </c>
    </row>
    <row r="13">
      <c r="A13" s="2" t="inlineStr">
        <is>
          <t>Q12</t>
        </is>
      </c>
      <c r="B13" s="12" t="inlineStr">
        <is>
          <t>Next Earnings Catalyst</t>
        </is>
      </c>
      <c r="C13" s="6" t="inlineStr">
        <is>
          <t>Q3 FY26 earnings on Aug 6, 2026. The company has beaten estimates 4 consecutive quarters (+11% to +28%). Can the beat streak continue, and what is the revision trajectory for FY26/FY27?</t>
        </is>
      </c>
    </row>
    <row r="14">
      <c r="A14" s="2" t="inlineStr">
        <is>
          <t>Q13</t>
        </is>
      </c>
      <c r="B14" s="12" t="inlineStr">
        <is>
          <t>SBC and Dilution</t>
        </is>
      </c>
      <c r="C14" s="6" t="inlineStr">
        <is>
          <t>Diluted shares (58.9M) vs basic (52.8M) = 6.1M dilution gap. How much SBC accrual is embedded? Does this gap shrink as buybacks reduce treasury shares?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</cols>
  <sheetData>
    <row r="1">
      <c r="A1" s="1" t="inlineStr">
        <is>
          <t>Sources</t>
        </is>
      </c>
    </row>
    <row r="2">
      <c r="A2" s="3" t="inlineStr">
        <is>
          <t>1</t>
        </is>
      </c>
      <c r="B2" s="6" t="inlineStr">
        <is>
          <t>Yahoo Finance — Summary / Statistics</t>
        </is>
      </c>
      <c r="C2" s="6" t="inlineStr">
        <is>
          <t>https://finance.yahoo.com/quote/POST/</t>
        </is>
      </c>
    </row>
    <row r="3">
      <c r="A3" s="3" t="inlineStr">
        <is>
          <t>2</t>
        </is>
      </c>
      <c r="B3" s="6" t="inlineStr">
        <is>
          <t>Yahoo Finance — Income Statement</t>
        </is>
      </c>
      <c r="C3" s="6" t="inlineStr">
        <is>
          <t>https://finance.yahoo.com/quote/POST/financials/</t>
        </is>
      </c>
    </row>
    <row r="4">
      <c r="A4" s="3" t="inlineStr">
        <is>
          <t>3</t>
        </is>
      </c>
      <c r="B4" s="6" t="inlineStr">
        <is>
          <t>Yahoo Finance — Balance Sheet</t>
        </is>
      </c>
      <c r="C4" s="6" t="inlineStr">
        <is>
          <t>https://finance.yahoo.com/quote/POST/balance-sheet/</t>
        </is>
      </c>
    </row>
    <row r="5">
      <c r="A5" s="3" t="inlineStr">
        <is>
          <t>4</t>
        </is>
      </c>
      <c r="B5" s="6" t="inlineStr">
        <is>
          <t>Yahoo Finance — Cash Flow</t>
        </is>
      </c>
      <c r="C5" s="6" t="inlineStr">
        <is>
          <t>https://finance.yahoo.com/quote/POST/cash-flow/</t>
        </is>
      </c>
    </row>
    <row r="6">
      <c r="A6" s="3" t="inlineStr">
        <is>
          <t>5</t>
        </is>
      </c>
      <c r="B6" s="6" t="inlineStr">
        <is>
          <t>Yahoo Finance — Company Profile</t>
        </is>
      </c>
      <c r="C6" s="6" t="inlineStr">
        <is>
          <t>https://finance.yahoo.com/quote/POST/profile/</t>
        </is>
      </c>
    </row>
    <row r="7">
      <c r="A7" s="3" t="inlineStr">
        <is>
          <t>6</t>
        </is>
      </c>
      <c r="B7" s="6" t="inlineStr">
        <is>
          <t>Yahoo Finance — Analyst Estimates</t>
        </is>
      </c>
      <c r="C7" s="6" t="inlineStr">
        <is>
          <t>https://finance.yahoo.com/quote/POST/analysis/</t>
        </is>
      </c>
    </row>
    <row r="8">
      <c r="A8" s="3" t="inlineStr">
        <is>
          <t>7</t>
        </is>
      </c>
      <c r="B8" s="6" t="inlineStr">
        <is>
          <t>CNBC — 10-Year Treasury Yield</t>
        </is>
      </c>
      <c r="C8" s="6" t="inlineStr">
        <is>
          <t>https://www.cnbc.com/quotes/US10Y</t>
        </is>
      </c>
    </row>
    <row r="9">
      <c r="A9" s="3" t="inlineStr">
        <is>
          <t>8</t>
        </is>
      </c>
      <c r="B9" s="6" t="inlineStr">
        <is>
          <t>StockAnalysis — 404 (unavailable for POST)</t>
        </is>
      </c>
      <c r="C9" s="6" t="inlineStr">
        <is>
          <t>https://stockanalysis.com/quote/POST/</t>
        </is>
      </c>
    </row>
    <row r="10">
      <c r="A10" s="3" t="inlineStr">
        <is>
          <t>9</t>
        </is>
      </c>
      <c r="B10" s="6" t="inlineStr">
        <is>
          <t>Argus Research — HOLD rating, PT $84</t>
        </is>
      </c>
      <c r="C10" s="6" t="inlineStr">
        <is>
          <t>Via Yahoo Finance Research tab</t>
        </is>
      </c>
    </row>
    <row r="11">
      <c r="A11" s="3" t="inlineStr">
        <is>
          <t>10</t>
        </is>
      </c>
      <c r="B11" s="6" t="inlineStr">
        <is>
          <t>Wells Fargo — Equal-Weight, PT lowered $110→$98</t>
        </is>
      </c>
      <c r="C11" s="6" t="inlineStr">
        <is>
          <t>July 8, 2026, via Yahoo Finance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2026-07-14T02:59:53Z</dcterms:created>
  <dcterms:modified xsi:type="dcterms:W3CDTF">2026-07-14T02:59:53Z</dcterms:modified>
</cp:coreProperties>
</file>