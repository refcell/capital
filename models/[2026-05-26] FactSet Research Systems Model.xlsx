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ns1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ns1:id="rId1"/>
    <sheet name="WACC" sheetId="2" ns1:id="rId2"/>
    <sheet name="Scenarios" sheetId="3" ns1:id="rId3"/>
    <sheet name="Actuals Source Audit" sheetId="4" ns1:id="rId4"/>
    <sheet name="Questions" sheetId="5" ns1:id="rId5"/>
    <sheet name="Sources" sheetId="6" ns1:id="rId6"/>
  </sheets>
  <calcPr calcId="124519" fullCalcOnLoad="1" calcMode="auto" forceFullCalc="1"/>
</workbook>
</file>

<file path=xl/sharedStrings.xml><?xml version="1.0" encoding="utf-8"?>
<sst xmlns="http://schemas.openxmlformats.org/spreadsheetml/2006/main" count="1035" uniqueCount="321">
  <si>
    <t>FactSet Research Systems Inc. (NYSE: FDS)</t>
  </si>
  <si>
    <t>FactSet</t>
  </si>
  <si>
    <t>Fiscal years ending Aug. 31; USD millions except per-share data</t>
  </si>
  <si>
    <t>Key limitations</t>
  </si>
  <si>
    <t>Model date</t>
  </si>
  <si>
    <t>2026-05-26</t>
  </si>
  <si>
    <t>FY2021</t>
  </si>
  <si>
    <t>FY2022</t>
  </si>
  <si>
    <t>FY2023</t>
  </si>
  <si>
    <t>FY2024</t>
  </si>
  <si>
    <t>FY2025</t>
  </si>
  <si>
    <t>TTM 2/28/26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</si>
  <si>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</si>
  <si>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</si>
  <si>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</si>
  <si>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</si>
  <si>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</si>
  <si>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</si>
  <si>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</si>
  <si>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</si>
  <si>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</si>
  <si>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</si>
  <si>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Latest clean regular-session quote available in the public pages used here is 2026-05-22; U.S. market was closed 2026-05-25.</t>
  </si>
  <si>
    <t>Latest filed quarterly actuals are Q2 FY2026 for the quarter ended 2026-02-28; Q3 FY2026 was not filed as of the 2026-05-26 model date.</t>
  </si>
  <si>
    <t>TTM values use StockAnalysis / filing-based trailing figures where available; SEC filings remain the source of truth for annual reported actuals.</t>
  </si>
  <si>
    <t>Headline DCF subtracts 100% of SBC from FCF. Reported FCF DCF is shown as an upside cross-check, not the primary owner-earnings view.</t>
  </si>
  <si>
    <t>FDS reports cost of services and SG&amp;A; this model does not invent a Salesforce-style R&amp;D / S&amp;M / G&amp;A split.</t>
  </si>
  <si>
    <t>Internal-control material weakness in ITGCs supporting revenue, A/R, and deferred revenue remains an underwriting risk until remediated.</t>
  </si>
  <si>
    <t>Price</t>
  </si>
  <si>
    <t>Quote date</t>
  </si>
  <si>
    <t>2026-05-22 close</t>
  </si>
  <si>
    <t>Diluted / current shares, mm</t>
  </si>
  <si>
    <t>Market cap, $m</t>
  </si>
  <si>
    <t>Cash + ST investments, $m</t>
  </si>
  <si>
    <t>Gross debt, $m</t>
  </si>
  <si>
    <t>Operating leases, $m</t>
  </si>
  <si>
    <t>Net debt incl leases, $m</t>
  </si>
  <si>
    <t>Enterprise value, $m</t>
  </si>
  <si>
    <t>EV / TTM revenue</t>
  </si>
  <si>
    <t>EV / TTM FCF</t>
  </si>
  <si>
    <t>EV / TTM owner FCF</t>
  </si>
  <si>
    <t>Headline DCF implied price</t>
  </si>
  <si>
    <t>Margin of safety</t>
  </si>
  <si>
    <t>Source note</t>
  </si>
  <si>
    <t>Price from public quote pages / Stooq close; capital structure from Q2 FY2026 10-Q.</t>
  </si>
  <si>
    <t>Revenue</t>
  </si>
  <si>
    <t>Revenue Growth</t>
  </si>
  <si>
    <t>Cost of Revenue</t>
  </si>
  <si>
    <t>Gross Margin</t>
  </si>
  <si>
    <t>Gross Profit</t>
  </si>
  <si>
    <t>SG&amp;A / Other OpEx</t>
  </si>
  <si>
    <t>OpEx % Revenue</t>
  </si>
  <si>
    <t>Adjusted Operating Income</t>
  </si>
  <si>
    <t>Adjusted Operating Margin</t>
  </si>
  <si>
    <t>Total Operating Costs</t>
  </si>
  <si>
    <t>Total Operating Cost % Revenue</t>
  </si>
  <si>
    <t>Operating Income</t>
  </si>
  <si>
    <t>Operating Margin</t>
  </si>
  <si>
    <t>Interest Expense</t>
  </si>
  <si>
    <t>Other Non-Operating Income</t>
  </si>
  <si>
    <t>Pretax Income</t>
  </si>
  <si>
    <t>Taxes</t>
  </si>
  <si>
    <t>Tax Rate</t>
  </si>
  <si>
    <t>Net Income</t>
  </si>
  <si>
    <t>Net Margin</t>
  </si>
  <si>
    <t>Diluted Shares</t>
  </si>
  <si>
    <t>EPS</t>
  </si>
  <si>
    <t>Operating Cash Flow</t>
  </si>
  <si>
    <t>Capex / productive assets</t>
  </si>
  <si>
    <t>Free Cash Flow</t>
  </si>
  <si>
    <t>FCF Margin</t>
  </si>
  <si>
    <t>Stock-Based Compensation</t>
  </si>
  <si>
    <t>SBC % Revenue</t>
  </si>
  <si>
    <t>Owner FCF After SBC</t>
  </si>
  <si>
    <t>Owner FCF Margin</t>
  </si>
  <si>
    <t>Cash + ST Investments</t>
  </si>
  <si>
    <t>Gross Debt</t>
  </si>
  <si>
    <t>Operating Lease Liabilities</t>
  </si>
  <si>
    <t>Net Debt Incl Leases</t>
  </si>
  <si>
    <t>DCF: Owner FCF After SBC</t>
  </si>
  <si>
    <t>Required return / WACC</t>
  </si>
  <si>
    <t>Terminal growth</t>
  </si>
  <si>
    <t>PV explicit owner FCF, $m</t>
  </si>
  <si>
    <t>Terminal value, $m</t>
  </si>
  <si>
    <t>PV terminal value, $m</t>
  </si>
  <si>
    <t>DCF enterprise value, $m</t>
  </si>
  <si>
    <t>Equity value, $m</t>
  </si>
  <si>
    <t>Diluted shares, mm</t>
  </si>
  <si>
    <t>Implied price</t>
  </si>
  <si>
    <t>Current price</t>
  </si>
  <si>
    <t>PV explicit reported FCF, $m</t>
  </si>
  <si>
    <t>Reported FCF implied price</t>
  </si>
  <si>
    <t>Reverse DCF terminal owner FCF margin</t>
  </si>
  <si>
    <t>Discount factor</t>
  </si>
  <si>
    <t>PV owner FCF</t>
  </si>
  <si>
    <t>PV reported FCF</t>
  </si>
  <si>
    <t>Implied Price Sensitivity: Required Return vs Terminal Growth (owner FCF after SBC)</t>
  </si>
  <si>
    <t>WACC \ TG</t>
  </si>
  <si>
    <t>WACC / Required Return Inputs</t>
  </si>
  <si>
    <t>Risk-free rate</t>
  </si>
  <si>
    <t>U.S. 10-year Treasury / FRED near model date; latest available close in run was May 22, 2026.</t>
  </si>
  <si>
    <t>Equity risk premium</t>
  </si>
  <si>
    <t>Rounded U.S. ERP input; cross-check to Damodaran/Kroll style public ERP references.</t>
  </si>
  <si>
    <t>Beta</t>
  </si>
  <si>
    <t>StockAnalysis/Yahoo beta cross-check; low beta does not capture AI/terminal relevance risk by itself.</t>
  </si>
  <si>
    <t>Company-specific risk premium</t>
  </si>
  <si>
    <t>Judgmental premium for AI/workflow disruption and margin reset uncertainty.</t>
  </si>
  <si>
    <t>Cost of equity</t>
  </si>
  <si>
    <t>CAPM plus company-specific premium.</t>
  </si>
  <si>
    <t>Pre-tax cost of debt</t>
  </si>
  <si>
    <t>Blend of fixed notes and term facility; rounded from disclosed coupons/current borrowing cost.</t>
  </si>
  <si>
    <t>Tax rate</t>
  </si>
  <si>
    <t>Normalized near management FY2026 guide of 18%-19%.</t>
  </si>
  <si>
    <t>After-tax cost of debt</t>
  </si>
  <si>
    <t>Formula.</t>
  </si>
  <si>
    <t>May 22, 2026 close price x 36.431M shares.</t>
  </si>
  <si>
    <t>Q2 FY2026 10-Q debt carrying value / principal bridge.</t>
  </si>
  <si>
    <t>Equity weight</t>
  </si>
  <si>
    <t>Market value capital structure.</t>
  </si>
  <si>
    <t>Debt weight</t>
  </si>
  <si>
    <t>Gross debt weight.</t>
  </si>
  <si>
    <t>Calculated WACC</t>
  </si>
  <si>
    <t>Calculated result before rounding.</t>
  </si>
  <si>
    <t>Rounded required return</t>
  </si>
  <si>
    <t>Used in base DCF; keeps the model conservative vs low observed beta.</t>
  </si>
  <si>
    <t>Bull / Base / Bear Scenario DCFs (full SBC haircut)</t>
  </si>
  <si>
    <t>Scenario</t>
  </si>
  <si>
    <t>Implied Price</t>
  </si>
  <si>
    <t>10Y Price CAGR</t>
  </si>
  <si>
    <t>Notes</t>
  </si>
  <si>
    <t>Bear</t>
  </si>
  <si>
    <t>AI/seat pressure, low ASV growth, weaker FCF conversion; full SBC haircut.</t>
  </si>
  <si>
    <t>Base</t>
  </si>
  <si>
    <t>Management FY26 guide, FY27 consensus, gradual fade, stable FCF margin; full SBC haircut.</t>
  </si>
  <si>
    <t>Bull</t>
  </si>
  <si>
    <t>AI/data/workflow products extend ASV growth and incremental margins; full SBC haircut.</t>
  </si>
  <si>
    <t>Bear Case</t>
  </si>
  <si>
    <t>FY2025A</t>
  </si>
  <si>
    <t>Revenue growth</t>
  </si>
  <si>
    <t>Reported FCF margin</t>
  </si>
  <si>
    <t>Reported FCF</t>
  </si>
  <si>
    <t>SBC % revenue</t>
  </si>
  <si>
    <t>SBC</t>
  </si>
  <si>
    <t>Owner FCF</t>
  </si>
  <si>
    <t>Required return</t>
  </si>
  <si>
    <t>Terminal value</t>
  </si>
  <si>
    <t>Enterprise value</t>
  </si>
  <si>
    <t>Equity value</t>
  </si>
  <si>
    <t>10Y price CAGR vs current price</t>
  </si>
  <si>
    <t>Base Case</t>
  </si>
  <si>
    <t>Bull Case</t>
  </si>
  <si>
    <t>Line item</t>
  </si>
  <si>
    <t>Fiscal period</t>
  </si>
  <si>
    <t>Model value</t>
  </si>
  <si>
    <t>Unit</t>
  </si>
  <si>
    <t>Primary SEC / company value</t>
  </si>
  <si>
    <t>Primary source</t>
  </si>
  <si>
    <t>SEC concept / accession</t>
  </si>
  <si>
    <t>StockAnalysis value</t>
  </si>
  <si>
    <t>StockAnalysis URL</t>
  </si>
  <si>
    <t>Other secondary value</t>
  </si>
  <si>
    <t>Other secondary URL</t>
  </si>
  <si>
    <t>Difference / discrepancy</t>
  </si>
  <si>
    <t>Resolution note</t>
  </si>
  <si>
    <t>Model cell</t>
  </si>
  <si>
    <t>USD $m</t>
  </si>
  <si>
    <t>SEC company facts / 10-K / 10-Q</t>
  </si>
  <si>
    <t>RevenueFromContractWithCustomerExcludingAssessedTax</t>
  </si>
  <si>
    <t>https://stockanalysis.com/stocks/fds/financials/</t>
  </si>
  <si>
    <t>https://www.macrotrends.net/</t>
  </si>
  <si>
    <t>0 or immaterial rounding.</t>
  </si>
  <si>
    <t>SEC/company filing used as source of truth; StockAnalysis used as secondary cross-check.</t>
  </si>
  <si>
    <t>Valuation!F4</t>
  </si>
  <si>
    <t>Valuation!G4</t>
  </si>
  <si>
    <t>Valuation!H4</t>
  </si>
  <si>
    <t>Valuation!I4</t>
  </si>
  <si>
    <t>Valuation!J4</t>
  </si>
  <si>
    <t>Valuation!K4</t>
  </si>
  <si>
    <t>SEC filings / StockAnalysis</t>
  </si>
  <si>
    <t>Revenue less cost of services; gross profit calculated where not explicitly tagged</t>
  </si>
  <si>
    <t>Valuation!F8</t>
  </si>
  <si>
    <t>Valuation!G8</t>
  </si>
  <si>
    <t>Valuation!H8</t>
  </si>
  <si>
    <t>Valuation!I8</t>
  </si>
  <si>
    <t>Valuation!J8</t>
  </si>
  <si>
    <t>Valuation!K8</t>
  </si>
  <si>
    <t>OperatingIncomeLoss</t>
  </si>
  <si>
    <t>Valuation!F16</t>
  </si>
  <si>
    <t>Valuation!G16</t>
  </si>
  <si>
    <t>Valuation!H16</t>
  </si>
  <si>
    <t>Valuation!I16</t>
  </si>
  <si>
    <t>Valuation!J16</t>
  </si>
  <si>
    <t>Valuation!K16</t>
  </si>
  <si>
    <t>NetIncomeLoss</t>
  </si>
  <si>
    <t>Valuation!F23</t>
  </si>
  <si>
    <t>Valuation!G23</t>
  </si>
  <si>
    <t>Valuation!H23</t>
  </si>
  <si>
    <t>Valuation!I23</t>
  </si>
  <si>
    <t>Valuation!J23</t>
  </si>
  <si>
    <t>Valuation!K23</t>
  </si>
  <si>
    <t>SEC company facts / cash-flow statement</t>
  </si>
  <si>
    <t>NetCashProvidedByUsedInOperatingActivities</t>
  </si>
  <si>
    <t>https://stockanalysis.com/stocks/fds/financials/cash-flow-statement/</t>
  </si>
  <si>
    <t>Valuation!F27</t>
  </si>
  <si>
    <t>Valuation!G27</t>
  </si>
  <si>
    <t>Valuation!H27</t>
  </si>
  <si>
    <t>Valuation!I27</t>
  </si>
  <si>
    <t>Valuation!J27</t>
  </si>
  <si>
    <t>Valuation!K27</t>
  </si>
  <si>
    <t>SEC filings / company FCF definition</t>
  </si>
  <si>
    <t>PPE plus capitalized internal-use software where disclosed</t>
  </si>
  <si>
    <t>Sign convention only.</t>
  </si>
  <si>
    <t>Model stores capex as cash outflow; SEC payment tags are positive.</t>
  </si>
  <si>
    <t>Valuation!F28</t>
  </si>
  <si>
    <t>Valuation!G28</t>
  </si>
  <si>
    <t>Valuation!H28</t>
  </si>
  <si>
    <t>Valuation!I28</t>
  </si>
  <si>
    <t>Valuation!J28</t>
  </si>
  <si>
    <t>Valuation!K28</t>
  </si>
  <si>
    <t>Company FCF definition / StockAnalysis</t>
  </si>
  <si>
    <t>OCF less PPE/leasehold/internal-use software purchases</t>
  </si>
  <si>
    <t>Valuation!F29</t>
  </si>
  <si>
    <t>Valuation!G29</t>
  </si>
  <si>
    <t>Valuation!H29</t>
  </si>
  <si>
    <t>Valuation!I29</t>
  </si>
  <si>
    <t>Valuation!J29</t>
  </si>
  <si>
    <t>Valuation!K29</t>
  </si>
  <si>
    <t>ShareBasedCompensation</t>
  </si>
  <si>
    <t>Valuation!F31</t>
  </si>
  <si>
    <t>Valuation!G31</t>
  </si>
  <si>
    <t>Valuation!H31</t>
  </si>
  <si>
    <t>Valuation!I31</t>
  </si>
  <si>
    <t>Valuation!J31</t>
  </si>
  <si>
    <t>Valuation!K31</t>
  </si>
  <si>
    <t>mm shares</t>
  </si>
  <si>
    <t>SEC company facts; TTM estimated from EPS</t>
  </si>
  <si>
    <t>WeightedAverageNumberOfDilutedSharesOutstanding</t>
  </si>
  <si>
    <t>Valuation!F25</t>
  </si>
  <si>
    <t>Valuation!G25</t>
  </si>
  <si>
    <t>Valuation!H25</t>
  </si>
  <si>
    <t>Valuation!I25</t>
  </si>
  <si>
    <t>Valuation!J25</t>
  </si>
  <si>
    <t>Valuation!K25</t>
  </si>
  <si>
    <t>SEC balance sheet</t>
  </si>
  <si>
    <t>CashAndCashEquivalentsAtCarryingValue plus short-term investments where available</t>
  </si>
  <si>
    <t>https://stockanalysis.com/stocks/fds/financials/balance-sheet/</t>
  </si>
  <si>
    <t>N/A</t>
  </si>
  <si>
    <t>Valuation!F35</t>
  </si>
  <si>
    <t>Valuation!G35</t>
  </si>
  <si>
    <t>Valuation!H35</t>
  </si>
  <si>
    <t>Valuation!I35</t>
  </si>
  <si>
    <t>Valuation!J35</t>
  </si>
  <si>
    <t>Valuation!K35</t>
  </si>
  <si>
    <t>SEC balance sheet and debt footnote</t>
  </si>
  <si>
    <t>LongTermDebtCurrent plus LongTermDebtNoncurrent / debt tables</t>
  </si>
  <si>
    <t>Valuation!F36</t>
  </si>
  <si>
    <t>Valuation!G36</t>
  </si>
  <si>
    <t>Valuation!H36</t>
  </si>
  <si>
    <t>Valuation!I36</t>
  </si>
  <si>
    <t>Valuation!J36</t>
  </si>
  <si>
    <t>Valuation!K36</t>
  </si>
  <si>
    <t>SEC lease footnote / balance sheet</t>
  </si>
  <si>
    <t>OperatingLeaseLiability</t>
  </si>
  <si>
    <t>Valuation!F37</t>
  </si>
  <si>
    <t>Valuation!G37</t>
  </si>
  <si>
    <t>Valuation!H37</t>
  </si>
  <si>
    <t>Valuation!I37</t>
  </si>
  <si>
    <t>Valuation!J37</t>
  </si>
  <si>
    <t>Valuation!K37</t>
  </si>
  <si>
    <t>Questions</t>
  </si>
  <si>
    <t>Can FactSet sustain organic ASV growth above 6% after the Q2 FY2026 acceleration, or was it a temporary rebound?</t>
  </si>
  <si>
    <t>Will AI-enabled search and workflow tools expand paid usage, or will AI reduce the value of traditional workstation seats?</t>
  </si>
  <si>
    <t>Can GAAP operating margin return above 31%-32% while funding AI, cloud infrastructure, content, and product modernization?</t>
  </si>
  <si>
    <t>How much of reported free cash flow is true owner cash flow after capitalized internal-use software and stock-based compensation?</t>
  </si>
  <si>
    <t>Will LiquidityBook and Irwin deepen workflow lock-in, or will they mainly add amortization and integration complexity?</t>
  </si>
  <si>
    <t>Does CUSIP / market infrastructure remain a durable profit pool under legal, customer, and regulatory pressure?</t>
  </si>
  <si>
    <t>Can capital allocation improve after H1 FY2026 buybacks and dividends exceeded free cash flow?</t>
  </si>
  <si>
    <t>Will the new CEO/CFO team keep buybacks disciplined while handling 2027 and 2028 debt maturities?</t>
  </si>
  <si>
    <t>When will the IT general controls material weakness supporting revenue, A/R, and deferred revenue be fully remediated?</t>
  </si>
  <si>
    <t>What evidence would prove the bear case: ASV below 5%, flat users, margin compression, weak owner FCF, or AI cannibalization?</t>
  </si>
  <si>
    <t>Category</t>
  </si>
  <si>
    <t>Source</t>
  </si>
  <si>
    <t>Date / as-of</t>
  </si>
  <si>
    <t>Use in model</t>
  </si>
  <si>
    <t>Primary filing</t>
  </si>
  <si>
    <t>https://www.sec.gov/Archives/edgar/data/1013237/000162828025045769/fds-20250831.htm</t>
  </si>
  <si>
    <t>Filed 2025-10-22</t>
  </si>
  <si>
    <t>FY2025 Form 10-K; annual statements, debt, leases, risks, controls.</t>
  </si>
  <si>
    <t>https://www.sec.gov/Archives/edgar/data/1013237/000162828026022873/fds-20260228.htm</t>
  </si>
  <si>
    <t>Filed 2026-04-02</t>
  </si>
  <si>
    <t>Q2 FY2026 Form 10-Q; latest balance sheet, H1 cash flow, debt, shares.</t>
  </si>
  <si>
    <t>Company release</t>
  </si>
  <si>
    <t>https://www.sec.gov/Archives/edgar/data/1013237/000162828026022203/fdsq22026earningsrelease.htm</t>
  </si>
  <si>
    <t>2026-03-31</t>
  </si>
  <si>
    <t>Q2 FY2026 release; ASV, guidance, adjusted margins, FCF definition.</t>
  </si>
  <si>
    <t>Primary XBRL</t>
  </si>
  <si>
    <t>https://data.sec.gov/api/xbrl/companyfacts/CIK0001013237.json</t>
  </si>
  <si>
    <t>Fetched 2026-05-26</t>
  </si>
  <si>
    <t>SEC company facts extraction for annual actuals.</t>
  </si>
  <si>
    <t>Market data</t>
  </si>
  <si>
    <t>https://stockanalysis.com/stocks/fds/</t>
  </si>
  <si>
    <t>As of 2026-05-22 close</t>
  </si>
  <si>
    <t>Price, quote timestamp, market cap, shares, analyst target.</t>
  </si>
  <si>
    <t>Secondary financials</t>
  </si>
  <si>
    <t>Pulled 2026-05-26</t>
  </si>
  <si>
    <t>Income statement, TTM financials, margins, EPS cross-check.</t>
  </si>
  <si>
    <t>https://stockanalysis.com/stocks/fds/statistics/</t>
  </si>
  <si>
    <t>EV, beta, valuation ratios, short interest, ROIC cross-check.</t>
  </si>
  <si>
    <t>https://stockanalysis.com/stocks/fds/forecast/</t>
  </si>
  <si>
    <t>FY2026/FY2027 consensus revenue and EPS, price targets.</t>
  </si>
  <si>
    <t>Quote cross-check</t>
  </si>
  <si>
    <t>https://stooq.com/q/l/?s=fds.us&amp;f=sd2t2ohlcv&amp;h&amp;e=csv</t>
  </si>
  <si>
    <t>Latest clean regular-session close: $232.00 on 2026-05-22.</t>
  </si>
  <si>
    <t>Rates</t>
  </si>
  <si>
    <t>https://fred.stlouisfed.org/series/DGS10</t>
  </si>
  <si>
    <t>Latest available May 2026 observation</t>
  </si>
  <si>
    <t>10-year Treasury / risk-free input cross-check.</t>
  </si>
  <si>
    <t>ERP</t>
  </si>
  <si>
    <t>https://pages.stern.nyu.edu/~adamodar/New_Home_Page/datafile/ctryprem.html</t>
  </si>
  <si>
    <t>Jan. 2026 public data</t>
  </si>
  <si>
    <t>Equity risk premium sanity check.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</si>
</sst>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#,##0.0"/>
    <numFmt numFmtId="166" formatCode="0.0%"/>
    <numFmt numFmtId="167" formatCode="0.0x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2" fillId="0" borderId="1" xfId="0" applyFont="1" applyBorder="1"/>
    <xf numFmtId="165" fontId="0" fillId="0" borderId="1" xfId="0" applyNumberFormat="1" applyBorder="1"/>
    <xf numFmtId="165" fontId="0" fillId="4" borderId="1" xfId="0" applyNumberFormat="1" applyFill="1" applyBorder="1"/>
    <xf numFmtId="166" fontId="0" fillId="0" borderId="1" xfId="0" applyNumberFormat="1" applyBorder="1"/>
    <xf numFmtId="166" fontId="0" fillId="4" borderId="1" xfId="0" applyNumberFormat="1" applyFill="1" applyBorder="1"/>
    <xf numFmtId="167" fontId="0" fillId="0" borderId="1" xfId="0" applyNumberFormat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tockanalysis.com/stocks/fds/financials/" TargetMode="External"/><Relationship Id="rId2" Type="http://schemas.openxmlformats.org/officeDocument/2006/relationships/hyperlink" Target="https://www.macrotrends.net/" TargetMode="External"/><Relationship Id="rId3" Type="http://schemas.openxmlformats.org/officeDocument/2006/relationships/hyperlink" Target="https://stockanalysis.com/stocks/fds/financials/" TargetMode="External"/><Relationship Id="rId4" Type="http://schemas.openxmlformats.org/officeDocument/2006/relationships/hyperlink" Target="https://www.macrotrends.net/" TargetMode="External"/><Relationship Id="rId5" Type="http://schemas.openxmlformats.org/officeDocument/2006/relationships/hyperlink" Target="https://stockanalysis.com/stocks/fds/financials/" TargetMode="External"/><Relationship Id="rId6" Type="http://schemas.openxmlformats.org/officeDocument/2006/relationships/hyperlink" Target="https://www.macrotrends.net/" TargetMode="External"/><Relationship Id="rId7" Type="http://schemas.openxmlformats.org/officeDocument/2006/relationships/hyperlink" Target="https://stockanalysis.com/stocks/fds/financials/" TargetMode="External"/><Relationship Id="rId8" Type="http://schemas.openxmlformats.org/officeDocument/2006/relationships/hyperlink" Target="https://www.macrotrends.net/" TargetMode="External"/><Relationship Id="rId9" Type="http://schemas.openxmlformats.org/officeDocument/2006/relationships/hyperlink" Target="https://stockanalysis.com/stocks/fds/financials/" TargetMode="External"/><Relationship Id="rId10" Type="http://schemas.openxmlformats.org/officeDocument/2006/relationships/hyperlink" Target="https://www.macrotrends.net/" TargetMode="External"/><Relationship Id="rId11" Type="http://schemas.openxmlformats.org/officeDocument/2006/relationships/hyperlink" Target="https://stockanalysis.com/stocks/fds/financials/" TargetMode="External"/><Relationship Id="rId12" Type="http://schemas.openxmlformats.org/officeDocument/2006/relationships/hyperlink" Target="https://www.macrotrends.net/" TargetMode="External"/><Relationship Id="rId13" Type="http://schemas.openxmlformats.org/officeDocument/2006/relationships/hyperlink" Target="https://stockanalysis.com/stocks/fds/financials/" TargetMode="External"/><Relationship Id="rId14" Type="http://schemas.openxmlformats.org/officeDocument/2006/relationships/hyperlink" Target="https://www.macrotrends.net/" TargetMode="External"/><Relationship Id="rId15" Type="http://schemas.openxmlformats.org/officeDocument/2006/relationships/hyperlink" Target="https://stockanalysis.com/stocks/fds/financials/" TargetMode="External"/><Relationship Id="rId16" Type="http://schemas.openxmlformats.org/officeDocument/2006/relationships/hyperlink" Target="https://www.macrotrends.net/" TargetMode="External"/><Relationship Id="rId17" Type="http://schemas.openxmlformats.org/officeDocument/2006/relationships/hyperlink" Target="https://stockanalysis.com/stocks/fds/financials/" TargetMode="External"/><Relationship Id="rId18" Type="http://schemas.openxmlformats.org/officeDocument/2006/relationships/hyperlink" Target="https://www.macrotrends.net/" TargetMode="External"/><Relationship Id="rId19" Type="http://schemas.openxmlformats.org/officeDocument/2006/relationships/hyperlink" Target="https://stockanalysis.com/stocks/fds/financials/" TargetMode="External"/><Relationship Id="rId20" Type="http://schemas.openxmlformats.org/officeDocument/2006/relationships/hyperlink" Target="https://www.macrotrends.net/" TargetMode="External"/><Relationship Id="rId21" Type="http://schemas.openxmlformats.org/officeDocument/2006/relationships/hyperlink" Target="https://stockanalysis.com/stocks/fds/financials/" TargetMode="External"/><Relationship Id="rId22" Type="http://schemas.openxmlformats.org/officeDocument/2006/relationships/hyperlink" Target="https://www.macrotrends.net/" TargetMode="External"/><Relationship Id="rId23" Type="http://schemas.openxmlformats.org/officeDocument/2006/relationships/hyperlink" Target="https://stockanalysis.com/stocks/fds/financials/" TargetMode="External"/><Relationship Id="rId24" Type="http://schemas.openxmlformats.org/officeDocument/2006/relationships/hyperlink" Target="https://www.macrotrends.net/" TargetMode="External"/><Relationship Id="rId25" Type="http://schemas.openxmlformats.org/officeDocument/2006/relationships/hyperlink" Target="https://stockanalysis.com/stocks/fds/financials/" TargetMode="External"/><Relationship Id="rId26" Type="http://schemas.openxmlformats.org/officeDocument/2006/relationships/hyperlink" Target="https://www.macrotrends.net/" TargetMode="External"/><Relationship Id="rId27" Type="http://schemas.openxmlformats.org/officeDocument/2006/relationships/hyperlink" Target="https://stockanalysis.com/stocks/fds/financials/" TargetMode="External"/><Relationship Id="rId28" Type="http://schemas.openxmlformats.org/officeDocument/2006/relationships/hyperlink" Target="https://www.macrotrends.net/" TargetMode="External"/><Relationship Id="rId29" Type="http://schemas.openxmlformats.org/officeDocument/2006/relationships/hyperlink" Target="https://stockanalysis.com/stocks/fds/financials/" TargetMode="External"/><Relationship Id="rId30" Type="http://schemas.openxmlformats.org/officeDocument/2006/relationships/hyperlink" Target="https://www.macrotrends.net/" TargetMode="External"/><Relationship Id="rId31" Type="http://schemas.openxmlformats.org/officeDocument/2006/relationships/hyperlink" Target="https://stockanalysis.com/stocks/fds/financials/" TargetMode="External"/><Relationship Id="rId32" Type="http://schemas.openxmlformats.org/officeDocument/2006/relationships/hyperlink" Target="https://www.macrotrends.net/" TargetMode="External"/><Relationship Id="rId33" Type="http://schemas.openxmlformats.org/officeDocument/2006/relationships/hyperlink" Target="https://stockanalysis.com/stocks/fds/financials/" TargetMode="External"/><Relationship Id="rId34" Type="http://schemas.openxmlformats.org/officeDocument/2006/relationships/hyperlink" Target="https://www.macrotrends.net/" TargetMode="External"/><Relationship Id="rId35" Type="http://schemas.openxmlformats.org/officeDocument/2006/relationships/hyperlink" Target="https://stockanalysis.com/stocks/fds/financials/" TargetMode="External"/><Relationship Id="rId36" Type="http://schemas.openxmlformats.org/officeDocument/2006/relationships/hyperlink" Target="https://www.macrotrends.net/" TargetMode="External"/><Relationship Id="rId37" Type="http://schemas.openxmlformats.org/officeDocument/2006/relationships/hyperlink" Target="https://stockanalysis.com/stocks/fds/financials/" TargetMode="External"/><Relationship Id="rId38" Type="http://schemas.openxmlformats.org/officeDocument/2006/relationships/hyperlink" Target="https://www.macrotrends.net/" TargetMode="External"/><Relationship Id="rId39" Type="http://schemas.openxmlformats.org/officeDocument/2006/relationships/hyperlink" Target="https://stockanalysis.com/stocks/fds/financials/" TargetMode="External"/><Relationship Id="rId40" Type="http://schemas.openxmlformats.org/officeDocument/2006/relationships/hyperlink" Target="https://www.macrotrends.net/" TargetMode="External"/><Relationship Id="rId41" Type="http://schemas.openxmlformats.org/officeDocument/2006/relationships/hyperlink" Target="https://stockanalysis.com/stocks/fds/financials/" TargetMode="External"/><Relationship Id="rId42" Type="http://schemas.openxmlformats.org/officeDocument/2006/relationships/hyperlink" Target="https://www.macrotrends.net/" TargetMode="External"/><Relationship Id="rId43" Type="http://schemas.openxmlformats.org/officeDocument/2006/relationships/hyperlink" Target="https://stockanalysis.com/stocks/fds/financials/" TargetMode="External"/><Relationship Id="rId44" Type="http://schemas.openxmlformats.org/officeDocument/2006/relationships/hyperlink" Target="https://www.macrotrends.net/" TargetMode="External"/><Relationship Id="rId45" Type="http://schemas.openxmlformats.org/officeDocument/2006/relationships/hyperlink" Target="https://stockanalysis.com/stocks/fds/financials/" TargetMode="External"/><Relationship Id="rId46" Type="http://schemas.openxmlformats.org/officeDocument/2006/relationships/hyperlink" Target="https://www.macrotrends.net/" TargetMode="External"/><Relationship Id="rId47" Type="http://schemas.openxmlformats.org/officeDocument/2006/relationships/hyperlink" Target="https://stockanalysis.com/stocks/fds/financials/" TargetMode="External"/><Relationship Id="rId48" Type="http://schemas.openxmlformats.org/officeDocument/2006/relationships/hyperlink" Target="https://www.macrotrends.net/" TargetMode="External"/><Relationship Id="rId49" Type="http://schemas.openxmlformats.org/officeDocument/2006/relationships/hyperlink" Target="https://stockanalysis.com/stocks/fds/financials/cash-flow-statement/" TargetMode="External"/><Relationship Id="rId50" Type="http://schemas.openxmlformats.org/officeDocument/2006/relationships/hyperlink" Target="https://www.macrotrends.net/" TargetMode="External"/><Relationship Id="rId51" Type="http://schemas.openxmlformats.org/officeDocument/2006/relationships/hyperlink" Target="https://stockanalysis.com/stocks/fds/financials/cash-flow-statement/" TargetMode="External"/><Relationship Id="rId52" Type="http://schemas.openxmlformats.org/officeDocument/2006/relationships/hyperlink" Target="https://www.macrotrends.net/" TargetMode="External"/><Relationship Id="rId53" Type="http://schemas.openxmlformats.org/officeDocument/2006/relationships/hyperlink" Target="https://stockanalysis.com/stocks/fds/financials/cash-flow-statement/" TargetMode="External"/><Relationship Id="rId54" Type="http://schemas.openxmlformats.org/officeDocument/2006/relationships/hyperlink" Target="https://www.macrotrends.net/" TargetMode="External"/><Relationship Id="rId55" Type="http://schemas.openxmlformats.org/officeDocument/2006/relationships/hyperlink" Target="https://stockanalysis.com/stocks/fds/financials/cash-flow-statement/" TargetMode="External"/><Relationship Id="rId56" Type="http://schemas.openxmlformats.org/officeDocument/2006/relationships/hyperlink" Target="https://www.macrotrends.net/" TargetMode="External"/><Relationship Id="rId57" Type="http://schemas.openxmlformats.org/officeDocument/2006/relationships/hyperlink" Target="https://stockanalysis.com/stocks/fds/financials/cash-flow-statement/" TargetMode="External"/><Relationship Id="rId58" Type="http://schemas.openxmlformats.org/officeDocument/2006/relationships/hyperlink" Target="https://www.macrotrends.net/" TargetMode="External"/><Relationship Id="rId59" Type="http://schemas.openxmlformats.org/officeDocument/2006/relationships/hyperlink" Target="https://stockanalysis.com/stocks/fds/financials/cash-flow-statement/" TargetMode="External"/><Relationship Id="rId60" Type="http://schemas.openxmlformats.org/officeDocument/2006/relationships/hyperlink" Target="https://www.macrotrends.net/" TargetMode="External"/><Relationship Id="rId61" Type="http://schemas.openxmlformats.org/officeDocument/2006/relationships/hyperlink" Target="https://stockanalysis.com/stocks/fds/financials/cash-flow-statement/" TargetMode="External"/><Relationship Id="rId62" Type="http://schemas.openxmlformats.org/officeDocument/2006/relationships/hyperlink" Target="https://www.macrotrends.net/" TargetMode="External"/><Relationship Id="rId63" Type="http://schemas.openxmlformats.org/officeDocument/2006/relationships/hyperlink" Target="https://stockanalysis.com/stocks/fds/financials/cash-flow-statement/" TargetMode="External"/><Relationship Id="rId64" Type="http://schemas.openxmlformats.org/officeDocument/2006/relationships/hyperlink" Target="https://www.macrotrends.net/" TargetMode="External"/><Relationship Id="rId65" Type="http://schemas.openxmlformats.org/officeDocument/2006/relationships/hyperlink" Target="https://stockanalysis.com/stocks/fds/financials/cash-flow-statement/" TargetMode="External"/><Relationship Id="rId66" Type="http://schemas.openxmlformats.org/officeDocument/2006/relationships/hyperlink" Target="https://www.macrotrends.net/" TargetMode="External"/><Relationship Id="rId67" Type="http://schemas.openxmlformats.org/officeDocument/2006/relationships/hyperlink" Target="https://stockanalysis.com/stocks/fds/financials/cash-flow-statement/" TargetMode="External"/><Relationship Id="rId68" Type="http://schemas.openxmlformats.org/officeDocument/2006/relationships/hyperlink" Target="https://www.macrotrends.net/" TargetMode="External"/><Relationship Id="rId69" Type="http://schemas.openxmlformats.org/officeDocument/2006/relationships/hyperlink" Target="https://stockanalysis.com/stocks/fds/financials/cash-flow-statement/" TargetMode="External"/><Relationship Id="rId70" Type="http://schemas.openxmlformats.org/officeDocument/2006/relationships/hyperlink" Target="https://www.macrotrends.net/" TargetMode="External"/><Relationship Id="rId71" Type="http://schemas.openxmlformats.org/officeDocument/2006/relationships/hyperlink" Target="https://stockanalysis.com/stocks/fds/financials/cash-flow-statement/" TargetMode="External"/><Relationship Id="rId72" Type="http://schemas.openxmlformats.org/officeDocument/2006/relationships/hyperlink" Target="https://www.macrotrends.net/" TargetMode="External"/><Relationship Id="rId73" Type="http://schemas.openxmlformats.org/officeDocument/2006/relationships/hyperlink" Target="https://stockanalysis.com/stocks/fds/financials/cash-flow-statement/" TargetMode="External"/><Relationship Id="rId74" Type="http://schemas.openxmlformats.org/officeDocument/2006/relationships/hyperlink" Target="https://www.macrotrends.net/" TargetMode="External"/><Relationship Id="rId75" Type="http://schemas.openxmlformats.org/officeDocument/2006/relationships/hyperlink" Target="https://stockanalysis.com/stocks/fds/financials/cash-flow-statement/" TargetMode="External"/><Relationship Id="rId76" Type="http://schemas.openxmlformats.org/officeDocument/2006/relationships/hyperlink" Target="https://www.macrotrends.net/" TargetMode="External"/><Relationship Id="rId77" Type="http://schemas.openxmlformats.org/officeDocument/2006/relationships/hyperlink" Target="https://stockanalysis.com/stocks/fds/financials/cash-flow-statement/" TargetMode="External"/><Relationship Id="rId78" Type="http://schemas.openxmlformats.org/officeDocument/2006/relationships/hyperlink" Target="https://www.macrotrends.net/" TargetMode="External"/><Relationship Id="rId79" Type="http://schemas.openxmlformats.org/officeDocument/2006/relationships/hyperlink" Target="https://stockanalysis.com/stocks/fds/financials/cash-flow-statement/" TargetMode="External"/><Relationship Id="rId80" Type="http://schemas.openxmlformats.org/officeDocument/2006/relationships/hyperlink" Target="https://www.macrotrends.net/" TargetMode="External"/><Relationship Id="rId81" Type="http://schemas.openxmlformats.org/officeDocument/2006/relationships/hyperlink" Target="https://stockanalysis.com/stocks/fds/financials/cash-flow-statement/" TargetMode="External"/><Relationship Id="rId82" Type="http://schemas.openxmlformats.org/officeDocument/2006/relationships/hyperlink" Target="https://www.macrotrends.net/" TargetMode="External"/><Relationship Id="rId83" Type="http://schemas.openxmlformats.org/officeDocument/2006/relationships/hyperlink" Target="https://stockanalysis.com/stocks/fds/financials/cash-flow-statement/" TargetMode="External"/><Relationship Id="rId84" Type="http://schemas.openxmlformats.org/officeDocument/2006/relationships/hyperlink" Target="https://www.macrotrends.net/" TargetMode="External"/><Relationship Id="rId85" Type="http://schemas.openxmlformats.org/officeDocument/2006/relationships/hyperlink" Target="https://stockanalysis.com/stocks/fds/financials/cash-flow-statement/" TargetMode="External"/><Relationship Id="rId86" Type="http://schemas.openxmlformats.org/officeDocument/2006/relationships/hyperlink" Target="https://www.macrotrends.net/" TargetMode="External"/><Relationship Id="rId87" Type="http://schemas.openxmlformats.org/officeDocument/2006/relationships/hyperlink" Target="https://stockanalysis.com/stocks/fds/financials/cash-flow-statement/" TargetMode="External"/><Relationship Id="rId88" Type="http://schemas.openxmlformats.org/officeDocument/2006/relationships/hyperlink" Target="https://www.macrotrends.net/" TargetMode="External"/><Relationship Id="rId89" Type="http://schemas.openxmlformats.org/officeDocument/2006/relationships/hyperlink" Target="https://stockanalysis.com/stocks/fds/financials/cash-flow-statement/" TargetMode="External"/><Relationship Id="rId90" Type="http://schemas.openxmlformats.org/officeDocument/2006/relationships/hyperlink" Target="https://www.macrotrends.net/" TargetMode="External"/><Relationship Id="rId91" Type="http://schemas.openxmlformats.org/officeDocument/2006/relationships/hyperlink" Target="https://stockanalysis.com/stocks/fds/financials/cash-flow-statement/" TargetMode="External"/><Relationship Id="rId92" Type="http://schemas.openxmlformats.org/officeDocument/2006/relationships/hyperlink" Target="https://www.macrotrends.net/" TargetMode="External"/><Relationship Id="rId93" Type="http://schemas.openxmlformats.org/officeDocument/2006/relationships/hyperlink" Target="https://stockanalysis.com/stocks/fds/financials/cash-flow-statement/" TargetMode="External"/><Relationship Id="rId94" Type="http://schemas.openxmlformats.org/officeDocument/2006/relationships/hyperlink" Target="https://www.macrotrends.net/" TargetMode="External"/><Relationship Id="rId95" Type="http://schemas.openxmlformats.org/officeDocument/2006/relationships/hyperlink" Target="https://stockanalysis.com/stocks/fds/financials/cash-flow-statement/" TargetMode="External"/><Relationship Id="rId96" Type="http://schemas.openxmlformats.org/officeDocument/2006/relationships/hyperlink" Target="https://www.macrotrends.net/" TargetMode="External"/><Relationship Id="rId97" Type="http://schemas.openxmlformats.org/officeDocument/2006/relationships/hyperlink" Target="https://stockanalysis.com/stocks/fds/financials/" TargetMode="External"/><Relationship Id="rId98" Type="http://schemas.openxmlformats.org/officeDocument/2006/relationships/hyperlink" Target="https://www.macrotrends.net/" TargetMode="External"/><Relationship Id="rId99" Type="http://schemas.openxmlformats.org/officeDocument/2006/relationships/hyperlink" Target="https://stockanalysis.com/stocks/fds/financials/" TargetMode="External"/><Relationship Id="rId100" Type="http://schemas.openxmlformats.org/officeDocument/2006/relationships/hyperlink" Target="https://www.macrotrends.net/" TargetMode="External"/><Relationship Id="rId101" Type="http://schemas.openxmlformats.org/officeDocument/2006/relationships/hyperlink" Target="https://stockanalysis.com/stocks/fds/financials/" TargetMode="External"/><Relationship Id="rId102" Type="http://schemas.openxmlformats.org/officeDocument/2006/relationships/hyperlink" Target="https://www.macrotrends.net/" TargetMode="External"/><Relationship Id="rId103" Type="http://schemas.openxmlformats.org/officeDocument/2006/relationships/hyperlink" Target="https://stockanalysis.com/stocks/fds/financials/" TargetMode="External"/><Relationship Id="rId104" Type="http://schemas.openxmlformats.org/officeDocument/2006/relationships/hyperlink" Target="https://www.macrotrends.net/" TargetMode="External"/><Relationship Id="rId105" Type="http://schemas.openxmlformats.org/officeDocument/2006/relationships/hyperlink" Target="https://stockanalysis.com/stocks/fds/financials/" TargetMode="External"/><Relationship Id="rId106" Type="http://schemas.openxmlformats.org/officeDocument/2006/relationships/hyperlink" Target="https://www.macrotrends.net/" TargetMode="External"/><Relationship Id="rId107" Type="http://schemas.openxmlformats.org/officeDocument/2006/relationships/hyperlink" Target="https://stockanalysis.com/stocks/fds/financials/" TargetMode="External"/><Relationship Id="rId108" Type="http://schemas.openxmlformats.org/officeDocument/2006/relationships/hyperlink" Target="https://www.macrotrends.net/" TargetMode="External"/><Relationship Id="rId109" Type="http://schemas.openxmlformats.org/officeDocument/2006/relationships/hyperlink" Target="https://stockanalysis.com/stocks/fds/financials/balance-sheet/" TargetMode="External"/><Relationship Id="rId110" Type="http://schemas.openxmlformats.org/officeDocument/2006/relationships/hyperlink" Target="https://stockanalysis.com/stocks/fds/financials/balance-sheet/" TargetMode="External"/><Relationship Id="rId111" Type="http://schemas.openxmlformats.org/officeDocument/2006/relationships/hyperlink" Target="https://stockanalysis.com/stocks/fds/financials/balance-sheet/" TargetMode="External"/><Relationship Id="rId112" Type="http://schemas.openxmlformats.org/officeDocument/2006/relationships/hyperlink" Target="https://stockanalysis.com/stocks/fds/financials/balance-sheet/" TargetMode="External"/><Relationship Id="rId113" Type="http://schemas.openxmlformats.org/officeDocument/2006/relationships/hyperlink" Target="https://stockanalysis.com/stocks/fds/financials/balance-sheet/" TargetMode="External"/><Relationship Id="rId114" Type="http://schemas.openxmlformats.org/officeDocument/2006/relationships/hyperlink" Target="https://stockanalysis.com/stocks/fds/financials/balance-sheet/" TargetMode="External"/><Relationship Id="rId115" Type="http://schemas.openxmlformats.org/officeDocument/2006/relationships/hyperlink" Target="https://stockanalysis.com/stocks/fds/financials/balance-sheet/" TargetMode="External"/><Relationship Id="rId116" Type="http://schemas.openxmlformats.org/officeDocument/2006/relationships/hyperlink" Target="https://stockanalysis.com/stocks/fds/financials/balance-sheet/" TargetMode="External"/><Relationship Id="rId117" Type="http://schemas.openxmlformats.org/officeDocument/2006/relationships/hyperlink" Target="https://stockanalysis.com/stocks/fds/financials/balance-sheet/" TargetMode="External"/><Relationship Id="rId118" Type="http://schemas.openxmlformats.org/officeDocument/2006/relationships/hyperlink" Target="https://stockanalysis.com/stocks/fds/financials/balance-sheet/" TargetMode="External"/><Relationship Id="rId119" Type="http://schemas.openxmlformats.org/officeDocument/2006/relationships/hyperlink" Target="https://stockanalysis.com/stocks/fds/financials/balance-sheet/" TargetMode="External"/><Relationship Id="rId120" Type="http://schemas.openxmlformats.org/officeDocument/2006/relationships/hyperlink" Target="https://stockanalysis.com/stocks/fds/financials/balance-sheet/" TargetMode="External"/><Relationship Id="rId121" Type="http://schemas.openxmlformats.org/officeDocument/2006/relationships/hyperlink" Target="https://stockanalysis.com/stocks/fds/financials/balance-sheet/" TargetMode="External"/><Relationship Id="rId122" Type="http://schemas.openxmlformats.org/officeDocument/2006/relationships/hyperlink" Target="https://stockanalysis.com/stocks/fds/financials/balance-sheet/" TargetMode="External"/><Relationship Id="rId123" Type="http://schemas.openxmlformats.org/officeDocument/2006/relationships/hyperlink" Target="https://stockanalysis.com/stocks/fds/financials/balance-sheet/" TargetMode="External"/><Relationship Id="rId124" Type="http://schemas.openxmlformats.org/officeDocument/2006/relationships/hyperlink" Target="https://stockanalysis.com/stocks/fds/financials/balance-sheet/" TargetMode="External"/><Relationship Id="rId125" Type="http://schemas.openxmlformats.org/officeDocument/2006/relationships/hyperlink" Target="https://stockanalysis.com/stocks/fds/financials/balance-sheet/" TargetMode="External"/><Relationship Id="rId126" Type="http://schemas.openxmlformats.org/officeDocument/2006/relationships/hyperlink" Target="https://stockanalysis.com/stocks/fds/financials/balance-sheet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013237/000162828025045769/fds-20250831.htm" TargetMode="External"/><Relationship Id="rId2" Type="http://schemas.openxmlformats.org/officeDocument/2006/relationships/hyperlink" Target="https://www.sec.gov/Archives/edgar/data/1013237/000162828026022873/fds-20260228.htm" TargetMode="External"/><Relationship Id="rId3" Type="http://schemas.openxmlformats.org/officeDocument/2006/relationships/hyperlink" Target="https://www.sec.gov/Archives/edgar/data/1013237/000162828026022203/fdsq22026earningsrelease.htm" TargetMode="External"/><Relationship Id="rId4" Type="http://schemas.openxmlformats.org/officeDocument/2006/relationships/hyperlink" Target="https://data.sec.gov/api/xbrl/companyfacts/CIK0001013237.json" TargetMode="External"/><Relationship Id="rId5" Type="http://schemas.openxmlformats.org/officeDocument/2006/relationships/hyperlink" Target="https://stockanalysis.com/stocks/fds/" TargetMode="External"/><Relationship Id="rId6" Type="http://schemas.openxmlformats.org/officeDocument/2006/relationships/hyperlink" Target="https://stockanalysis.com/stocks/fds/financials/" TargetMode="External"/><Relationship Id="rId7" Type="http://schemas.openxmlformats.org/officeDocument/2006/relationships/hyperlink" Target="https://stockanalysis.com/stocks/fds/statistics/" TargetMode="External"/><Relationship Id="rId8" Type="http://schemas.openxmlformats.org/officeDocument/2006/relationships/hyperlink" Target="https://stockanalysis.com/stocks/fds/forecast/" TargetMode="External"/><Relationship Id="rId9" Type="http://schemas.openxmlformats.org/officeDocument/2006/relationships/hyperlink" Target="https://stooq.com/q/l/?s=fds.us&amp;f=sd2t2ohlcv&amp;h&amp;e=csv" TargetMode="External"/><Relationship Id="rId10" Type="http://schemas.openxmlformats.org/officeDocument/2006/relationships/hyperlink" Target="https://fred.stlouisfed.org/series/DGS10" TargetMode="External"/><Relationship Id="rId11" Type="http://schemas.openxmlformats.org/officeDocument/2006/relationships/hyperlink" Target="https://pages.stern.nyu.edu/~adamodar/New_Home_Page/datafile/ctryprem.html" TargetMode="External"/></Relationships>
</file>

<file path=xl/worksheets/sheet1.xml><?xml version="1.0" encoding="utf-8"?>
<worksheet xmlns="http://schemas.openxmlformats.org/spreadsheetml/2006/main">
  <dimension ref="B2:V68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28.7109375" customWidth="1"/>
    <col min="3" max="3" width="22.7109375" customWidth="1"/>
    <col min="4" max="4" width="2.7109375" customWidth="1"/>
    <col min="5" max="5" width="30.7109375" customWidth="1"/>
    <col min="6" max="21" width="13.7109375" customWidth="1"/>
    <col min="22" max="22" width="54.7109375" customWidth="1"/>
  </cols>
  <sheetData>
    <row r="2" spans="2:22">
      <c r="B2" s="1" t="s">
        <v>0</v>
      </c>
      <c r="E2" s="1" t="s">
        <v>1</v>
      </c>
      <c r="F2" s="1" t="s">
        <v>2</v>
      </c>
      <c r="V2" s="1" t="s">
        <v>3</v>
      </c>
    </row>
    <row r="3" spans="2:22">
      <c r="B3" s="2" t="s">
        <v>4</v>
      </c>
      <c r="C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spans="2:22">
      <c r="B4" s="2" t="s">
        <v>28</v>
      </c>
      <c r="C4" s="4">
        <v>232</v>
      </c>
      <c r="E4" s="5" t="s">
        <v>45</v>
      </c>
      <c r="F4" s="6">
        <v>1591.445</v>
      </c>
      <c r="G4" s="6">
        <v>1843.892</v>
      </c>
      <c r="H4" s="6">
        <v>2085.508</v>
      </c>
      <c r="I4" s="6">
        <v>2203.056</v>
      </c>
      <c r="J4" s="6">
        <v>2321.748</v>
      </c>
      <c r="K4" s="6">
        <v>2401.061</v>
      </c>
      <c r="L4" s="7">
        <v>2460</v>
      </c>
      <c r="M4" s="6">
        <f>L4*(1+M5)</f>
      </c>
      <c r="N4" s="6">
        <f>M4*(1+N5)</f>
      </c>
      <c r="O4" s="6">
        <f>N4*(1+O5)</f>
      </c>
      <c r="P4" s="6">
        <f>O4*(1+P5)</f>
      </c>
      <c r="Q4" s="6">
        <f>P4*(1+Q5)</f>
      </c>
      <c r="R4" s="6">
        <f>Q4*(1+R5)</f>
      </c>
      <c r="S4" s="6">
        <f>R4*(1+S5)</f>
      </c>
      <c r="T4" s="6">
        <f>S4*(1+T5)</f>
      </c>
      <c r="U4" s="6">
        <f>T4*(1+U5)</f>
      </c>
      <c r="V4" s="3" t="s">
        <v>22</v>
      </c>
    </row>
    <row r="5" spans="2:22">
      <c r="B5" s="5" t="s">
        <v>29</v>
      </c>
      <c r="C5" s="3" t="s">
        <v>30</v>
      </c>
      <c r="E5" s="5" t="s">
        <v>46</v>
      </c>
      <c r="F5" s="8"/>
      <c r="G5" s="8">
        <f>G4/F4-1</f>
      </c>
      <c r="H5" s="8">
        <f>H4/G4-1</f>
      </c>
      <c r="I5" s="8">
        <f>I4/H4-1</f>
      </c>
      <c r="J5" s="8">
        <f>J4/I4-1</f>
      </c>
      <c r="K5" s="8">
        <f>K4/J4-1</f>
      </c>
      <c r="L5" s="9">
        <v>0.05954651409196865</v>
      </c>
      <c r="M5" s="9">
        <v>0.06747967479674788</v>
      </c>
      <c r="N5" s="9">
        <v>0.05499999999999994</v>
      </c>
      <c r="O5" s="9">
        <v>0.05000000000000004</v>
      </c>
      <c r="P5" s="9">
        <v>0.04600000000000004</v>
      </c>
      <c r="Q5" s="9">
        <v>0.04299999999999993</v>
      </c>
      <c r="R5" s="9">
        <v>0.04000000000000004</v>
      </c>
      <c r="S5" s="9">
        <v>0.03800000000000003</v>
      </c>
      <c r="T5" s="9">
        <v>0.03600000000000003</v>
      </c>
      <c r="U5" s="9">
        <v>0.03400000000000003</v>
      </c>
      <c r="V5" s="3" t="s">
        <v>23</v>
      </c>
    </row>
    <row r="6" spans="2:22">
      <c r="B6" s="5" t="s">
        <v>31</v>
      </c>
      <c r="C6" s="6">
        <v>36.431127</v>
      </c>
      <c r="E6" s="5" t="s">
        <v>47</v>
      </c>
      <c r="F6" s="6">
        <v>786.395</v>
      </c>
      <c r="G6" s="6">
        <v>871.1020000000001</v>
      </c>
      <c r="H6" s="6">
        <v>973.2079999999999</v>
      </c>
      <c r="I6" s="6">
        <v>1011.956</v>
      </c>
      <c r="J6" s="6">
        <v>1097.748</v>
      </c>
      <c r="K6" s="6">
        <v>1154.061</v>
      </c>
      <c r="L6" s="6">
        <f>L4-L8</f>
      </c>
      <c r="M6" s="6">
        <f>M4-M8</f>
      </c>
      <c r="N6" s="6">
        <f>N4-N8</f>
      </c>
      <c r="O6" s="6">
        <f>O4-O8</f>
      </c>
      <c r="P6" s="6">
        <f>P4-P8</f>
      </c>
      <c r="Q6" s="6">
        <f>Q4-Q8</f>
      </c>
      <c r="R6" s="6">
        <f>R4-R8</f>
      </c>
      <c r="S6" s="6">
        <f>S4-S8</f>
      </c>
      <c r="T6" s="6">
        <f>T4-T8</f>
      </c>
      <c r="U6" s="6">
        <f>U4-U8</f>
      </c>
      <c r="V6" s="3" t="s">
        <v>24</v>
      </c>
    </row>
    <row r="7" spans="2:22">
      <c r="B7" s="5" t="s">
        <v>32</v>
      </c>
      <c r="C7" s="6">
        <f>C4*C6</f>
      </c>
      <c r="E7" s="5" t="s">
        <v>48</v>
      </c>
      <c r="F7" s="8">
        <f>F8/F4</f>
      </c>
      <c r="G7" s="8">
        <f>G8/G4</f>
      </c>
      <c r="H7" s="8">
        <f>H8/H4</f>
      </c>
      <c r="I7" s="8">
        <f>I8/I4</f>
      </c>
      <c r="J7" s="8">
        <f>J8/J4</f>
      </c>
      <c r="K7" s="8">
        <f>K8/K4</f>
      </c>
      <c r="L7" s="9">
        <v>0.52</v>
      </c>
      <c r="M7" s="9">
        <v>0.522</v>
      </c>
      <c r="N7" s="9">
        <v>0.525</v>
      </c>
      <c r="O7" s="9">
        <v>0.527</v>
      </c>
      <c r="P7" s="9">
        <v>0.529</v>
      </c>
      <c r="Q7" s="9">
        <v>0.53</v>
      </c>
      <c r="R7" s="9">
        <v>0.53</v>
      </c>
      <c r="S7" s="9">
        <v>0.531</v>
      </c>
      <c r="T7" s="9">
        <v>0.531</v>
      </c>
      <c r="U7" s="9">
        <v>0.531</v>
      </c>
      <c r="V7" s="3" t="s">
        <v>25</v>
      </c>
    </row>
    <row r="8" spans="2:22">
      <c r="B8" s="5" t="s">
        <v>33</v>
      </c>
      <c r="C8" s="6">
        <v>285.267</v>
      </c>
      <c r="E8" s="5" t="s">
        <v>49</v>
      </c>
      <c r="F8" s="6">
        <v>805.05</v>
      </c>
      <c r="G8" s="6">
        <v>972.79</v>
      </c>
      <c r="H8" s="6">
        <v>1112.3</v>
      </c>
      <c r="I8" s="6">
        <v>1191.1</v>
      </c>
      <c r="J8" s="6">
        <v>1224</v>
      </c>
      <c r="K8" s="6">
        <v>1247</v>
      </c>
      <c r="L8" s="6">
        <f>L4*L7</f>
      </c>
      <c r="M8" s="6">
        <f>M4*M7</f>
      </c>
      <c r="N8" s="6">
        <f>N4*N7</f>
      </c>
      <c r="O8" s="6">
        <f>O4*O7</f>
      </c>
      <c r="P8" s="6">
        <f>P4*P7</f>
      </c>
      <c r="Q8" s="6">
        <f>Q4*Q7</f>
      </c>
      <c r="R8" s="6">
        <f>R4*R7</f>
      </c>
      <c r="S8" s="6">
        <f>S4*S7</f>
      </c>
      <c r="T8" s="6">
        <f>T4*T7</f>
      </c>
      <c r="U8" s="6">
        <f>U4*U7</f>
      </c>
      <c r="V8" s="3" t="s">
        <v>26</v>
      </c>
    </row>
    <row r="9" spans="2:22">
      <c r="B9" s="5" t="s">
        <v>34</v>
      </c>
      <c r="C9" s="6">
        <v>1369.216</v>
      </c>
      <c r="E9" s="5" t="s">
        <v>50</v>
      </c>
      <c r="F9" s="6">
        <v>331.009</v>
      </c>
      <c r="G9" s="6">
        <v>497.3079999999999</v>
      </c>
      <c r="H9" s="6">
        <v>483.093</v>
      </c>
      <c r="I9" s="6">
        <v>489.8009999999999</v>
      </c>
      <c r="J9" s="6">
        <v>475.697</v>
      </c>
      <c r="K9" s="6">
        <v>498.492</v>
      </c>
      <c r="L9" s="6">
        <f>L8-L16</f>
      </c>
      <c r="M9" s="6">
        <f>M8-M16</f>
      </c>
      <c r="N9" s="6">
        <f>N8-N16</f>
      </c>
      <c r="O9" s="6">
        <f>O8-O16</f>
      </c>
      <c r="P9" s="6">
        <f>P8-P16</f>
      </c>
      <c r="Q9" s="6">
        <f>Q8-Q16</f>
      </c>
      <c r="R9" s="6">
        <f>R8-R16</f>
      </c>
      <c r="S9" s="6">
        <f>S8-S16</f>
      </c>
      <c r="T9" s="6">
        <f>T8-T16</f>
      </c>
      <c r="U9" s="6">
        <f>U8-U16</f>
      </c>
      <c r="V9" s="3" t="s">
        <v>27</v>
      </c>
    </row>
    <row r="10" spans="2:22">
      <c r="B10" s="5" t="s">
        <v>35</v>
      </c>
      <c r="C10" s="6">
        <v>184.441</v>
      </c>
      <c r="E10" s="5" t="s">
        <v>51</v>
      </c>
      <c r="F10" s="8">
        <f>F9/F4</f>
      </c>
      <c r="G10" s="8">
        <f>G9/G4</f>
      </c>
      <c r="H10" s="8">
        <f>H9/H4</f>
      </c>
      <c r="I10" s="8">
        <f>I9/I4</f>
      </c>
      <c r="J10" s="8">
        <f>J9/J4</f>
      </c>
      <c r="K10" s="8">
        <f>K9/K4</f>
      </c>
      <c r="L10" s="8">
        <f>L9/L4</f>
      </c>
      <c r="M10" s="8">
        <f>M9/M4</f>
      </c>
      <c r="N10" s="8">
        <f>N9/N4</f>
      </c>
      <c r="O10" s="8">
        <f>O9/O4</f>
      </c>
      <c r="P10" s="8">
        <f>P9/P4</f>
      </c>
      <c r="Q10" s="8">
        <f>Q9/Q4</f>
      </c>
      <c r="R10" s="8">
        <f>R9/R4</f>
      </c>
      <c r="S10" s="8">
        <f>S9/S4</f>
      </c>
      <c r="T10" s="8">
        <f>T9/T4</f>
      </c>
      <c r="U10" s="8">
        <f>U9/U4</f>
      </c>
    </row>
    <row r="11" spans="2:22">
      <c r="B11" s="5" t="s">
        <v>36</v>
      </c>
      <c r="C11" s="6">
        <f>C9+C10-C8</f>
      </c>
      <c r="E11" s="5" t="s">
        <v>52</v>
      </c>
      <c r="F11" s="6">
        <f>F16</f>
      </c>
      <c r="G11" s="6">
        <f>G16</f>
      </c>
      <c r="H11" s="6">
        <f>H16</f>
      </c>
      <c r="I11" s="6">
        <f>I16</f>
      </c>
      <c r="J11" s="6">
        <f>J16</f>
      </c>
      <c r="K11" s="6">
        <f>K16</f>
      </c>
      <c r="L11" s="6">
        <f>L16+70</f>
      </c>
      <c r="M11" s="6">
        <f>M16+75</f>
      </c>
      <c r="N11" s="6">
        <f>N16+75</f>
      </c>
      <c r="O11" s="6">
        <f>O16+75</f>
      </c>
      <c r="P11" s="6">
        <f>P16+75</f>
      </c>
      <c r="Q11" s="6">
        <f>Q16+75</f>
      </c>
      <c r="R11" s="6">
        <f>R16+75</f>
      </c>
      <c r="S11" s="6">
        <f>S16+75</f>
      </c>
      <c r="T11" s="6">
        <f>T16+75</f>
      </c>
      <c r="U11" s="6">
        <f>U16+75</f>
      </c>
    </row>
    <row r="12" spans="2:22">
      <c r="B12" s="5" t="s">
        <v>37</v>
      </c>
      <c r="C12" s="6">
        <f>C7+C11</f>
      </c>
      <c r="E12" s="5" t="s">
        <v>53</v>
      </c>
      <c r="F12" s="8">
        <f>F11/F4</f>
      </c>
      <c r="G12" s="8">
        <f>G11/G4</f>
      </c>
      <c r="H12" s="8">
        <f>H11/H4</f>
      </c>
      <c r="I12" s="8">
        <f>I11/I4</f>
      </c>
      <c r="J12" s="8">
        <f>J11/J4</f>
      </c>
      <c r="K12" s="8">
        <f>K11/K4</f>
      </c>
      <c r="L12" s="8">
        <f>L11/L4</f>
      </c>
      <c r="M12" s="8">
        <f>M11/M4</f>
      </c>
      <c r="N12" s="8">
        <f>N11/N4</f>
      </c>
      <c r="O12" s="8">
        <f>O11/O4</f>
      </c>
      <c r="P12" s="8">
        <f>P11/P4</f>
      </c>
      <c r="Q12" s="8">
        <f>Q11/Q4</f>
      </c>
      <c r="R12" s="8">
        <f>R11/R4</f>
      </c>
      <c r="S12" s="8">
        <f>S11/S4</f>
      </c>
      <c r="T12" s="8">
        <f>T11/T4</f>
      </c>
      <c r="U12" s="8">
        <f>U11/U4</f>
      </c>
    </row>
    <row r="13" spans="2:22">
      <c r="B13" s="5" t="s">
        <v>38</v>
      </c>
      <c r="C13" s="10">
        <f>C12/K4</f>
      </c>
      <c r="E13" s="5" t="s">
        <v>54</v>
      </c>
      <c r="F13" s="6">
        <f>F6+F9</f>
      </c>
      <c r="G13" s="6">
        <f>G6+G9</f>
      </c>
      <c r="H13" s="6">
        <f>H6+H9</f>
      </c>
      <c r="I13" s="6">
        <f>I6+I9</f>
      </c>
      <c r="J13" s="6">
        <f>J6+J9</f>
      </c>
      <c r="K13" s="6">
        <f>K6+K9</f>
      </c>
      <c r="L13" s="6">
        <f>L6+L9</f>
      </c>
      <c r="M13" s="6">
        <f>M6+M9</f>
      </c>
      <c r="N13" s="6">
        <f>N6+N9</f>
      </c>
      <c r="O13" s="6">
        <f>O6+O9</f>
      </c>
      <c r="P13" s="6">
        <f>P6+P9</f>
      </c>
      <c r="Q13" s="6">
        <f>Q6+Q9</f>
      </c>
      <c r="R13" s="6">
        <f>R6+R9</f>
      </c>
      <c r="S13" s="6">
        <f>S6+S9</f>
      </c>
      <c r="T13" s="6">
        <f>T6+T9</f>
      </c>
      <c r="U13" s="6">
        <f>U6+U9</f>
      </c>
    </row>
    <row r="14" spans="2:22">
      <c r="B14" s="5" t="s">
        <v>39</v>
      </c>
      <c r="C14" s="10">
        <f>C12/K29</f>
      </c>
      <c r="E14" s="5" t="s">
        <v>55</v>
      </c>
      <c r="F14" s="8">
        <f>F13/F4</f>
      </c>
      <c r="G14" s="8">
        <f>G13/G4</f>
      </c>
      <c r="H14" s="8">
        <f>H13/H4</f>
      </c>
      <c r="I14" s="8">
        <f>I13/I4</f>
      </c>
      <c r="J14" s="8">
        <f>J13/J4</f>
      </c>
      <c r="K14" s="8">
        <f>K13/K4</f>
      </c>
      <c r="L14" s="8">
        <f>L13/L4</f>
      </c>
      <c r="M14" s="8">
        <f>M13/M4</f>
      </c>
      <c r="N14" s="8">
        <f>N13/N4</f>
      </c>
      <c r="O14" s="8">
        <f>O13/O4</f>
      </c>
      <c r="P14" s="8">
        <f>P13/P4</f>
      </c>
      <c r="Q14" s="8">
        <f>Q13/Q4</f>
      </c>
      <c r="R14" s="8">
        <f>R13/R4</f>
      </c>
      <c r="S14" s="8">
        <f>S13/S4</f>
      </c>
      <c r="T14" s="8">
        <f>T13/T4</f>
      </c>
      <c r="U14" s="8">
        <f>U13/U4</f>
      </c>
    </row>
    <row r="15" spans="2:22">
      <c r="B15" s="5" t="s">
        <v>40</v>
      </c>
      <c r="C15" s="10">
        <f>C12/K33</f>
      </c>
    </row>
    <row r="16" spans="2:22">
      <c r="B16" s="5" t="s">
        <v>41</v>
      </c>
      <c r="C16" s="4">
        <f>C53</f>
      </c>
      <c r="E16" s="5" t="s">
        <v>56</v>
      </c>
      <c r="F16" s="6">
        <v>474.041</v>
      </c>
      <c r="G16" s="6">
        <v>475.482</v>
      </c>
      <c r="H16" s="6">
        <v>629.207</v>
      </c>
      <c r="I16" s="6">
        <v>701.299</v>
      </c>
      <c r="J16" s="6">
        <v>748.303</v>
      </c>
      <c r="K16" s="6">
        <v>748.508</v>
      </c>
      <c r="L16" s="6">
        <f>L4*0.305</f>
      </c>
      <c r="M16" s="6">
        <f>M4*0.31</f>
      </c>
      <c r="N16" s="6">
        <f>N4*0.313</f>
      </c>
      <c r="O16" s="6">
        <f>O4*0.316</f>
      </c>
      <c r="P16" s="6">
        <f>P4*0.318</f>
      </c>
      <c r="Q16" s="6">
        <f>Q4*0.32</f>
      </c>
      <c r="R16" s="6">
        <f>R4*0.321</f>
      </c>
      <c r="S16" s="6">
        <f>S4*0.322</f>
      </c>
      <c r="T16" s="6">
        <f>T4*0.323</f>
      </c>
      <c r="U16" s="6">
        <f>U4*0.324</f>
      </c>
    </row>
    <row r="17" spans="2:21">
      <c r="B17" s="5" t="s">
        <v>42</v>
      </c>
      <c r="C17" s="8">
        <f>C53/C4-1</f>
      </c>
      <c r="E17" s="5" t="s">
        <v>57</v>
      </c>
      <c r="F17" s="8">
        <f>F16/F4</f>
      </c>
      <c r="G17" s="8">
        <f>G16/G4</f>
      </c>
      <c r="H17" s="8">
        <f>H16/H4</f>
      </c>
      <c r="I17" s="8">
        <f>I16/I4</f>
      </c>
      <c r="J17" s="8">
        <f>J16/J4</f>
      </c>
      <c r="K17" s="8">
        <f>K16/K4</f>
      </c>
      <c r="L17" s="8">
        <f>L16/L4</f>
      </c>
      <c r="M17" s="8">
        <f>M16/M4</f>
      </c>
      <c r="N17" s="8">
        <f>N16/N4</f>
      </c>
      <c r="O17" s="8">
        <f>O16/O4</f>
      </c>
      <c r="P17" s="8">
        <f>P16/P4</f>
      </c>
      <c r="Q17" s="8">
        <f>Q16/Q4</f>
      </c>
      <c r="R17" s="8">
        <f>R16/R4</f>
      </c>
      <c r="S17" s="8">
        <f>S16/S4</f>
      </c>
      <c r="T17" s="8">
        <f>T16/T4</f>
      </c>
      <c r="U17" s="8">
        <f>U16/U4</f>
      </c>
    </row>
    <row r="18" spans="2:21">
      <c r="B18" s="5" t="s">
        <v>43</v>
      </c>
      <c r="C18" s="3" t="s">
        <v>44</v>
      </c>
      <c r="E18" s="5" t="s">
        <v>58</v>
      </c>
      <c r="F18" s="6">
        <v>8.199999999999999</v>
      </c>
      <c r="G18" s="6">
        <v>35.7</v>
      </c>
      <c r="H18" s="6">
        <v>66.31999999999999</v>
      </c>
      <c r="I18" s="6">
        <v>65.78</v>
      </c>
      <c r="J18" s="6">
        <v>56.32</v>
      </c>
      <c r="K18" s="6">
        <v>54.46</v>
      </c>
      <c r="L18" s="7">
        <v>55</v>
      </c>
      <c r="M18" s="7">
        <v>54</v>
      </c>
      <c r="N18" s="7">
        <v>53</v>
      </c>
      <c r="O18" s="7">
        <v>52</v>
      </c>
      <c r="P18" s="7">
        <v>51</v>
      </c>
      <c r="Q18" s="7">
        <v>50</v>
      </c>
      <c r="R18" s="7">
        <v>49</v>
      </c>
      <c r="S18" s="7">
        <v>48</v>
      </c>
      <c r="T18" s="7">
        <v>47</v>
      </c>
      <c r="U18" s="7">
        <v>46</v>
      </c>
    </row>
    <row r="19" spans="2:21">
      <c r="E19" s="5" t="s">
        <v>59</v>
      </c>
      <c r="F19" s="6">
        <v>1.78</v>
      </c>
      <c r="G19" s="6">
        <v>3.81</v>
      </c>
      <c r="H19" s="6">
        <v>21.07</v>
      </c>
      <c r="I19" s="6">
        <v>15.99</v>
      </c>
      <c r="J19" s="6">
        <v>28.98</v>
      </c>
      <c r="K19" s="6">
        <v>26.07</v>
      </c>
      <c r="L19" s="7">
        <v>10</v>
      </c>
      <c r="M19" s="7">
        <v>10</v>
      </c>
      <c r="N19" s="7">
        <v>10</v>
      </c>
      <c r="O19" s="7">
        <v>10</v>
      </c>
      <c r="P19" s="7">
        <v>10</v>
      </c>
      <c r="Q19" s="7">
        <v>10</v>
      </c>
      <c r="R19" s="7">
        <v>10</v>
      </c>
      <c r="S19" s="7">
        <v>10</v>
      </c>
      <c r="T19" s="7">
        <v>10</v>
      </c>
      <c r="U19" s="7">
        <v>10</v>
      </c>
    </row>
    <row r="20" spans="2:21">
      <c r="E20" s="5" t="s">
        <v>60</v>
      </c>
      <c r="F20" s="6">
        <v>467.617</v>
      </c>
      <c r="G20" s="6">
        <v>443.594</v>
      </c>
      <c r="H20" s="6">
        <v>583.954</v>
      </c>
      <c r="I20" s="6">
        <v>651.503</v>
      </c>
      <c r="J20" s="6">
        <v>720.958</v>
      </c>
      <c r="K20" s="6">
        <v>720.12</v>
      </c>
      <c r="L20" s="6">
        <f>L16-L18+L19</f>
      </c>
      <c r="M20" s="6">
        <f>M16-M18+M19</f>
      </c>
      <c r="N20" s="6">
        <f>N16-N18+N19</f>
      </c>
      <c r="O20" s="6">
        <f>O16-O18+O19</f>
      </c>
      <c r="P20" s="6">
        <f>P16-P18+P19</f>
      </c>
      <c r="Q20" s="6">
        <f>Q16-Q18+Q19</f>
      </c>
      <c r="R20" s="6">
        <f>R16-R18+R19</f>
      </c>
      <c r="S20" s="6">
        <f>S16-S18+S19</f>
      </c>
      <c r="T20" s="6">
        <f>T16-T18+T19</f>
      </c>
      <c r="U20" s="6">
        <f>U16-U18+U19</f>
      </c>
    </row>
    <row r="21" spans="2:21">
      <c r="E21" s="5" t="s">
        <v>61</v>
      </c>
      <c r="F21" s="6">
        <v>68.027</v>
      </c>
      <c r="G21" s="6">
        <v>46.677</v>
      </c>
      <c r="H21" s="6">
        <v>115.781</v>
      </c>
      <c r="I21" s="6">
        <v>114.377</v>
      </c>
      <c r="J21" s="6">
        <v>123.918</v>
      </c>
      <c r="K21" s="6">
        <v>132.33</v>
      </c>
      <c r="L21" s="6">
        <f>L20*L22</f>
      </c>
      <c r="M21" s="6">
        <f>M20*M22</f>
      </c>
      <c r="N21" s="6">
        <f>N20*N22</f>
      </c>
      <c r="O21" s="6">
        <f>O20*O22</f>
      </c>
      <c r="P21" s="6">
        <f>P20*P22</f>
      </c>
      <c r="Q21" s="6">
        <f>Q20*Q22</f>
      </c>
      <c r="R21" s="6">
        <f>R20*R22</f>
      </c>
      <c r="S21" s="6">
        <f>S20*S22</f>
      </c>
      <c r="T21" s="6">
        <f>T20*T22</f>
      </c>
      <c r="U21" s="6">
        <f>U20*U22</f>
      </c>
    </row>
    <row r="22" spans="2:21">
      <c r="E22" s="5" t="s">
        <v>62</v>
      </c>
      <c r="F22" s="8">
        <f>F21/F20</f>
      </c>
      <c r="G22" s="8">
        <f>G21/G20</f>
      </c>
      <c r="H22" s="8">
        <f>H21/H20</f>
      </c>
      <c r="I22" s="8">
        <f>I21/I20</f>
      </c>
      <c r="J22" s="8">
        <f>J21/J20</f>
      </c>
      <c r="K22" s="8">
        <f>K21/K20</f>
      </c>
      <c r="L22" s="9">
        <v>0.185</v>
      </c>
      <c r="M22" s="9">
        <v>0.19</v>
      </c>
      <c r="N22" s="9">
        <v>0.19</v>
      </c>
      <c r="O22" s="9">
        <v>0.19</v>
      </c>
      <c r="P22" s="9">
        <v>0.19</v>
      </c>
      <c r="Q22" s="9">
        <v>0.19</v>
      </c>
      <c r="R22" s="9">
        <v>0.19</v>
      </c>
      <c r="S22" s="9">
        <v>0.19</v>
      </c>
      <c r="T22" s="9">
        <v>0.19</v>
      </c>
      <c r="U22" s="9">
        <v>0.19</v>
      </c>
    </row>
    <row r="23" spans="2:21">
      <c r="E23" s="5" t="s">
        <v>63</v>
      </c>
      <c r="F23" s="6">
        <v>399.59</v>
      </c>
      <c r="G23" s="6">
        <v>396.917</v>
      </c>
      <c r="H23" s="6">
        <v>468.173</v>
      </c>
      <c r="I23" s="6">
        <v>537.126</v>
      </c>
      <c r="J23" s="6">
        <v>597.04</v>
      </c>
      <c r="K23" s="6">
        <v>587.794</v>
      </c>
      <c r="L23" s="6">
        <f>L20-L21</f>
      </c>
      <c r="M23" s="6">
        <f>M20-M21</f>
      </c>
      <c r="N23" s="6">
        <f>N20-N21</f>
      </c>
      <c r="O23" s="6">
        <f>O20-O21</f>
      </c>
      <c r="P23" s="6">
        <f>P20-P21</f>
      </c>
      <c r="Q23" s="6">
        <f>Q20-Q21</f>
      </c>
      <c r="R23" s="6">
        <f>R20-R21</f>
      </c>
      <c r="S23" s="6">
        <f>S20-S21</f>
      </c>
      <c r="T23" s="6">
        <f>T20-T21</f>
      </c>
      <c r="U23" s="6">
        <f>U20-U21</f>
      </c>
    </row>
    <row r="24" spans="2:21">
      <c r="E24" s="5" t="s">
        <v>64</v>
      </c>
      <c r="F24" s="8">
        <f>F23/F4</f>
      </c>
      <c r="G24" s="8">
        <f>G23/G4</f>
      </c>
      <c r="H24" s="8">
        <f>H23/H4</f>
      </c>
      <c r="I24" s="8">
        <f>I23/I4</f>
      </c>
      <c r="J24" s="8">
        <f>J23/J4</f>
      </c>
      <c r="K24" s="8">
        <f>K23/K4</f>
      </c>
      <c r="L24" s="8">
        <f>L23/L4</f>
      </c>
      <c r="M24" s="8">
        <f>M23/M4</f>
      </c>
      <c r="N24" s="8">
        <f>N23/N4</f>
      </c>
      <c r="O24" s="8">
        <f>O23/O4</f>
      </c>
      <c r="P24" s="8">
        <f>P23/P4</f>
      </c>
      <c r="Q24" s="8">
        <f>Q23/Q4</f>
      </c>
      <c r="R24" s="8">
        <f>R23/R4</f>
      </c>
      <c r="S24" s="8">
        <f>S23/S4</f>
      </c>
      <c r="T24" s="8">
        <f>T23/T4</f>
      </c>
      <c r="U24" s="8">
        <f>U23/U4</f>
      </c>
    </row>
    <row r="25" spans="2:21">
      <c r="E25" s="5" t="s">
        <v>65</v>
      </c>
      <c r="F25" s="6">
        <v>38.57</v>
      </c>
      <c r="G25" s="6">
        <v>38.736</v>
      </c>
      <c r="H25" s="6">
        <v>38.898</v>
      </c>
      <c r="I25" s="6">
        <v>38.618</v>
      </c>
      <c r="J25" s="6">
        <v>38.385</v>
      </c>
      <c r="K25" s="6">
        <v>37.84</v>
      </c>
      <c r="L25" s="7">
        <v>36.43</v>
      </c>
      <c r="M25" s="7">
        <v>36.05</v>
      </c>
      <c r="N25" s="7">
        <v>35.65</v>
      </c>
      <c r="O25" s="7">
        <v>35.25</v>
      </c>
      <c r="P25" s="7">
        <v>34.85</v>
      </c>
      <c r="Q25" s="7">
        <v>34.5</v>
      </c>
      <c r="R25" s="7">
        <v>34.15</v>
      </c>
      <c r="S25" s="7">
        <v>33.85</v>
      </c>
      <c r="T25" s="7">
        <v>33.55</v>
      </c>
      <c r="U25" s="7">
        <v>33.25</v>
      </c>
    </row>
    <row r="26" spans="2:21">
      <c r="E26" s="5" t="s">
        <v>66</v>
      </c>
      <c r="F26" s="4">
        <f>F23/F25</f>
      </c>
      <c r="G26" s="4">
        <f>G23/G25</f>
      </c>
      <c r="H26" s="4">
        <f>H23/H25</f>
      </c>
      <c r="I26" s="4">
        <f>I23/I25</f>
      </c>
      <c r="J26" s="4">
        <f>J23/J25</f>
      </c>
      <c r="K26" s="4">
        <f>K23/K25</f>
      </c>
      <c r="L26" s="4">
        <f>L23/L25</f>
      </c>
      <c r="M26" s="4">
        <f>M23/M25</f>
      </c>
      <c r="N26" s="4">
        <f>N23/N25</f>
      </c>
      <c r="O26" s="4">
        <f>O23/O25</f>
      </c>
      <c r="P26" s="4">
        <f>P23/P25</f>
      </c>
      <c r="Q26" s="4">
        <f>Q23/Q25</f>
      </c>
      <c r="R26" s="4">
        <f>R23/R25</f>
      </c>
      <c r="S26" s="4">
        <f>S23/S25</f>
      </c>
      <c r="T26" s="4">
        <f>T23/T25</f>
      </c>
      <c r="U26" s="4">
        <f>U23/U25</f>
      </c>
    </row>
    <row r="27" spans="2:21">
      <c r="E27" s="5" t="s">
        <v>67</v>
      </c>
      <c r="F27" s="6">
        <v>555.226</v>
      </c>
      <c r="G27" s="6">
        <v>538.277</v>
      </c>
      <c r="H27" s="6">
        <v>645.573</v>
      </c>
      <c r="I27" s="6">
        <v>700.338</v>
      </c>
      <c r="J27" s="6">
        <v>726.26</v>
      </c>
      <c r="K27" s="6">
        <v>798.905</v>
      </c>
      <c r="L27" s="6">
        <f>L29-L28</f>
      </c>
      <c r="M27" s="6">
        <f>M29-M28</f>
      </c>
      <c r="N27" s="6">
        <f>N29-N28</f>
      </c>
      <c r="O27" s="6">
        <f>O29-O28</f>
      </c>
      <c r="P27" s="6">
        <f>P29-P28</f>
      </c>
      <c r="Q27" s="6">
        <f>Q29-Q28</f>
      </c>
      <c r="R27" s="6">
        <f>R29-R28</f>
      </c>
      <c r="S27" s="6">
        <f>S29-S28</f>
      </c>
      <c r="T27" s="6">
        <f>T29-T28</f>
      </c>
      <c r="U27" s="6">
        <f>U29-U28</f>
      </c>
    </row>
    <row r="28" spans="2:21">
      <c r="E28" s="5" t="s">
        <v>68</v>
      </c>
      <c r="F28" s="6">
        <v>-61.325</v>
      </c>
      <c r="G28" s="6">
        <v>-51.156</v>
      </c>
      <c r="H28" s="6">
        <v>-60.786</v>
      </c>
      <c r="I28" s="6">
        <v>-85.681</v>
      </c>
      <c r="J28" s="6">
        <v>-108.806</v>
      </c>
      <c r="K28" s="6">
        <v>-116.04</v>
      </c>
      <c r="L28" s="6">
        <f>-L4*0.045</f>
      </c>
      <c r="M28" s="6">
        <f>-M4*0.044</f>
      </c>
      <c r="N28" s="6">
        <f>-N4*0.043</f>
      </c>
      <c r="O28" s="6">
        <f>-O4*0.042</f>
      </c>
      <c r="P28" s="6">
        <f>-P4*0.041</f>
      </c>
      <c r="Q28" s="6">
        <f>-Q4*0.04</f>
      </c>
      <c r="R28" s="6">
        <f>-R4*0.04</f>
      </c>
      <c r="S28" s="6">
        <f>-S4*0.04</f>
      </c>
      <c r="T28" s="6">
        <f>-T4*0.04</f>
      </c>
      <c r="U28" s="6">
        <f>-U4*0.04</f>
      </c>
    </row>
    <row r="29" spans="2:21">
      <c r="E29" s="5" t="s">
        <v>69</v>
      </c>
      <c r="F29" s="6">
        <v>493.901</v>
      </c>
      <c r="G29" s="6">
        <v>487.121</v>
      </c>
      <c r="H29" s="6">
        <v>584.787</v>
      </c>
      <c r="I29" s="6">
        <v>614.657</v>
      </c>
      <c r="J29" s="6">
        <v>617.454</v>
      </c>
      <c r="K29" s="6">
        <v>682.865</v>
      </c>
      <c r="L29" s="6">
        <f>L4*L30</f>
      </c>
      <c r="M29" s="6">
        <f>M4*M30</f>
      </c>
      <c r="N29" s="6">
        <f>N4*N30</f>
      </c>
      <c r="O29" s="6">
        <f>O4*O30</f>
      </c>
      <c r="P29" s="6">
        <f>P4*P30</f>
      </c>
      <c r="Q29" s="6">
        <f>Q4*Q30</f>
      </c>
      <c r="R29" s="6">
        <f>R4*R30</f>
      </c>
      <c r="S29" s="6">
        <f>S4*S30</f>
      </c>
      <c r="T29" s="6">
        <f>T4*T30</f>
      </c>
      <c r="U29" s="6">
        <f>U4*U30</f>
      </c>
    </row>
    <row r="30" spans="2:21">
      <c r="E30" s="5" t="s">
        <v>70</v>
      </c>
      <c r="F30" s="8">
        <f>F29/F4</f>
      </c>
      <c r="G30" s="8">
        <f>G29/G4</f>
      </c>
      <c r="H30" s="8">
        <f>H29/H4</f>
      </c>
      <c r="I30" s="8">
        <f>I29/I4</f>
      </c>
      <c r="J30" s="8">
        <f>J29/J4</f>
      </c>
      <c r="K30" s="8">
        <f>K29/K4</f>
      </c>
      <c r="L30" s="9">
        <v>0.28</v>
      </c>
      <c r="M30" s="9">
        <v>0.285</v>
      </c>
      <c r="N30" s="9">
        <v>0.288</v>
      </c>
      <c r="O30" s="9">
        <v>0.29</v>
      </c>
      <c r="P30" s="9">
        <v>0.292</v>
      </c>
      <c r="Q30" s="9">
        <v>0.294</v>
      </c>
      <c r="R30" s="9">
        <v>0.295</v>
      </c>
      <c r="S30" s="9">
        <v>0.295</v>
      </c>
      <c r="T30" s="9">
        <v>0.295</v>
      </c>
      <c r="U30" s="9">
        <v>0.295</v>
      </c>
    </row>
    <row r="31" spans="2:21">
      <c r="E31" s="5" t="s">
        <v>71</v>
      </c>
      <c r="F31" s="6">
        <v>45.065</v>
      </c>
      <c r="G31" s="6">
        <v>56.003</v>
      </c>
      <c r="H31" s="6">
        <v>62.038</v>
      </c>
      <c r="I31" s="6">
        <v>63.501</v>
      </c>
      <c r="J31" s="6">
        <v>61.229</v>
      </c>
      <c r="K31" s="6">
        <v>70.414</v>
      </c>
      <c r="L31" s="6">
        <f>L4*L32</f>
      </c>
      <c r="M31" s="6">
        <f>M4*M32</f>
      </c>
      <c r="N31" s="6">
        <f>N4*N32</f>
      </c>
      <c r="O31" s="6">
        <f>O4*O32</f>
      </c>
      <c r="P31" s="6">
        <f>P4*P32</f>
      </c>
      <c r="Q31" s="6">
        <f>Q4*Q32</f>
      </c>
      <c r="R31" s="6">
        <f>R4*R32</f>
      </c>
      <c r="S31" s="6">
        <f>S4*S32</f>
      </c>
      <c r="T31" s="6">
        <f>T4*T32</f>
      </c>
      <c r="U31" s="6">
        <f>U4*U32</f>
      </c>
    </row>
    <row r="32" spans="2:21">
      <c r="E32" s="5" t="s">
        <v>72</v>
      </c>
      <c r="F32" s="8">
        <f>F31/F4</f>
      </c>
      <c r="G32" s="8">
        <f>G31/G4</f>
      </c>
      <c r="H32" s="8">
        <f>H31/H4</f>
      </c>
      <c r="I32" s="8">
        <f>I31/I4</f>
      </c>
      <c r="J32" s="8">
        <f>J31/J4</f>
      </c>
      <c r="K32" s="8">
        <f>K31/K4</f>
      </c>
      <c r="L32" s="9">
        <v>0.03</v>
      </c>
      <c r="M32" s="9">
        <v>0.029</v>
      </c>
      <c r="N32" s="9">
        <v>0.028</v>
      </c>
      <c r="O32" s="9">
        <v>0.027</v>
      </c>
      <c r="P32" s="9">
        <v>0.0265</v>
      </c>
      <c r="Q32" s="9">
        <v>0.026</v>
      </c>
      <c r="R32" s="9">
        <v>0.0255</v>
      </c>
      <c r="S32" s="9">
        <v>0.025</v>
      </c>
      <c r="T32" s="9">
        <v>0.025</v>
      </c>
      <c r="U32" s="9">
        <v>0.025</v>
      </c>
    </row>
    <row r="33" spans="2:21">
      <c r="E33" s="5" t="s">
        <v>73</v>
      </c>
      <c r="F33" s="6">
        <v>448.836</v>
      </c>
      <c r="G33" s="6">
        <v>431.118</v>
      </c>
      <c r="H33" s="6">
        <v>522.749</v>
      </c>
      <c r="I33" s="6">
        <v>551.1560000000001</v>
      </c>
      <c r="J33" s="6">
        <v>556.2249999999999</v>
      </c>
      <c r="K33" s="6">
        <v>612.451</v>
      </c>
      <c r="L33" s="6">
        <f>L29-L31</f>
      </c>
      <c r="M33" s="6">
        <f>M29-M31</f>
      </c>
      <c r="N33" s="6">
        <f>N29-N31</f>
      </c>
      <c r="O33" s="6">
        <f>O29-O31</f>
      </c>
      <c r="P33" s="6">
        <f>P29-P31</f>
      </c>
      <c r="Q33" s="6">
        <f>Q29-Q31</f>
      </c>
      <c r="R33" s="6">
        <f>R29-R31</f>
      </c>
      <c r="S33" s="6">
        <f>S29-S31</f>
      </c>
      <c r="T33" s="6">
        <f>T29-T31</f>
      </c>
      <c r="U33" s="6">
        <f>U29-U31</f>
      </c>
    </row>
    <row r="34" spans="2:21">
      <c r="E34" s="5" t="s">
        <v>74</v>
      </c>
      <c r="F34" s="8">
        <f>F33/F4</f>
      </c>
      <c r="G34" s="8">
        <f>G33/G4</f>
      </c>
      <c r="H34" s="8">
        <f>H33/H4</f>
      </c>
      <c r="I34" s="8">
        <f>I33/I4</f>
      </c>
      <c r="J34" s="8">
        <f>J33/J4</f>
      </c>
      <c r="K34" s="8">
        <f>K33/K4</f>
      </c>
      <c r="L34" s="8">
        <f>L33/L4</f>
      </c>
      <c r="M34" s="8">
        <f>M33/M4</f>
      </c>
      <c r="N34" s="8">
        <f>N33/N4</f>
      </c>
      <c r="O34" s="8">
        <f>O33/O4</f>
      </c>
      <c r="P34" s="8">
        <f>P33/P4</f>
      </c>
      <c r="Q34" s="8">
        <f>Q33/Q4</f>
      </c>
      <c r="R34" s="8">
        <f>R33/R4</f>
      </c>
      <c r="S34" s="8">
        <f>S33/S4</f>
      </c>
      <c r="T34" s="8">
        <f>T33/T4</f>
      </c>
      <c r="U34" s="8">
        <f>U33/U4</f>
      </c>
    </row>
    <row r="35" spans="2:21">
      <c r="E35" s="5" t="s">
        <v>75</v>
      </c>
      <c r="F35" s="6">
        <v>681.9</v>
      </c>
      <c r="G35" s="6">
        <v>503.3</v>
      </c>
      <c r="H35" s="6">
        <v>425.4</v>
      </c>
      <c r="I35" s="6">
        <v>423</v>
      </c>
      <c r="J35" s="6">
        <v>355.1</v>
      </c>
      <c r="K35" s="6">
        <v>285.267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2:21">
      <c r="E36" s="5" t="s">
        <v>76</v>
      </c>
      <c r="F36" s="6">
        <v>574.5</v>
      </c>
      <c r="G36" s="6">
        <v>1982.4</v>
      </c>
      <c r="H36" s="6">
        <v>1612.7</v>
      </c>
      <c r="I36" s="6">
        <v>1366</v>
      </c>
      <c r="J36" s="6">
        <v>1368.3</v>
      </c>
      <c r="K36" s="6">
        <v>1369.216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2:21">
      <c r="E37" s="5" t="s">
        <v>77</v>
      </c>
      <c r="F37" s="6">
        <v>291.6</v>
      </c>
      <c r="G37" s="6">
        <v>237.8</v>
      </c>
      <c r="H37" s="6">
        <v>227.2</v>
      </c>
      <c r="I37" s="6">
        <v>208.6</v>
      </c>
      <c r="J37" s="6">
        <v>190.2</v>
      </c>
      <c r="K37" s="6">
        <v>184.441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2:21">
      <c r="E38" s="5" t="s">
        <v>78</v>
      </c>
      <c r="F38" s="6">
        <v>184.2</v>
      </c>
      <c r="G38" s="6">
        <v>1716.9</v>
      </c>
      <c r="H38" s="6">
        <v>1414.5</v>
      </c>
      <c r="I38" s="6">
        <v>1151.6</v>
      </c>
      <c r="J38" s="6">
        <v>1203.4</v>
      </c>
      <c r="K38" s="6">
        <v>1268.39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43" spans="2:21">
      <c r="B43" s="1" t="s">
        <v>79</v>
      </c>
    </row>
    <row r="44" spans="2:21">
      <c r="B44" s="5" t="s">
        <v>80</v>
      </c>
      <c r="C44" s="8">
        <f>WACC!B15</f>
      </c>
    </row>
    <row r="45" spans="2:21">
      <c r="B45" s="5" t="s">
        <v>81</v>
      </c>
      <c r="C45" s="9">
        <v>0.025</v>
      </c>
    </row>
    <row r="46" spans="2:21">
      <c r="B46" s="5" t="s">
        <v>36</v>
      </c>
      <c r="C46" s="6">
        <f>C11</f>
      </c>
      <c r="J46" s="2" t="s">
        <v>93</v>
      </c>
      <c r="L46" s="8">
        <f>1/(1+$C$44)^1</f>
      </c>
      <c r="M46" s="8">
        <f>1/(1+$C$44)^2</f>
      </c>
      <c r="N46" s="8">
        <f>1/(1+$C$44)^3</f>
      </c>
      <c r="O46" s="8">
        <f>1/(1+$C$44)^4</f>
      </c>
      <c r="P46" s="8">
        <f>1/(1+$C$44)^5</f>
      </c>
      <c r="Q46" s="8">
        <f>1/(1+$C$44)^6</f>
      </c>
      <c r="R46" s="8">
        <f>1/(1+$C$44)^7</f>
      </c>
      <c r="S46" s="8">
        <f>1/(1+$C$44)^8</f>
      </c>
      <c r="T46" s="8">
        <f>1/(1+$C$44)^9</f>
      </c>
      <c r="U46" s="8">
        <f>1/(1+$C$44)^10</f>
      </c>
    </row>
    <row r="47" spans="2:21">
      <c r="B47" s="5" t="s">
        <v>82</v>
      </c>
      <c r="C47" s="6">
        <f>SUM(L47:U47)</f>
      </c>
      <c r="J47" s="2" t="s">
        <v>94</v>
      </c>
      <c r="L47" s="6">
        <f>L33*L46</f>
      </c>
      <c r="M47" s="6">
        <f>M33*M46</f>
      </c>
      <c r="N47" s="6">
        <f>N33*N46</f>
      </c>
      <c r="O47" s="6">
        <f>O33*O46</f>
      </c>
      <c r="P47" s="6">
        <f>P33*P46</f>
      </c>
      <c r="Q47" s="6">
        <f>Q33*Q46</f>
      </c>
      <c r="R47" s="6">
        <f>R33*R46</f>
      </c>
      <c r="S47" s="6">
        <f>S33*S46</f>
      </c>
      <c r="T47" s="6">
        <f>T33*T46</f>
      </c>
      <c r="U47" s="6">
        <f>U33*U46</f>
      </c>
    </row>
    <row r="48" spans="2:21">
      <c r="B48" s="5" t="s">
        <v>83</v>
      </c>
      <c r="C48" s="6">
        <f>U33*(1+C45)/(C44-C45)</f>
      </c>
      <c r="J48" s="2" t="s">
        <v>95</v>
      </c>
      <c r="L48" s="6">
        <f>L29*L46</f>
      </c>
      <c r="M48" s="6">
        <f>M29*M46</f>
      </c>
      <c r="N48" s="6">
        <f>N29*N46</f>
      </c>
      <c r="O48" s="6">
        <f>O29*O46</f>
      </c>
      <c r="P48" s="6">
        <f>P29*P46</f>
      </c>
      <c r="Q48" s="6">
        <f>Q29*Q46</f>
      </c>
      <c r="R48" s="6">
        <f>R29*R46</f>
      </c>
      <c r="S48" s="6">
        <f>S29*S46</f>
      </c>
      <c r="T48" s="6">
        <f>T29*T46</f>
      </c>
      <c r="U48" s="6">
        <f>U29*U46</f>
      </c>
    </row>
    <row r="49" spans="2:7">
      <c r="B49" s="5" t="s">
        <v>84</v>
      </c>
      <c r="C49" s="6">
        <f>C48/(1+C44)^10</f>
      </c>
    </row>
    <row r="50" spans="2:7">
      <c r="B50" s="5" t="s">
        <v>85</v>
      </c>
      <c r="C50" s="6">
        <f>C47+C49</f>
      </c>
    </row>
    <row r="51" spans="2:7">
      <c r="B51" s="5" t="s">
        <v>86</v>
      </c>
      <c r="C51" s="6">
        <f>C50-C46</f>
      </c>
    </row>
    <row r="52" spans="2:7">
      <c r="B52" s="5" t="s">
        <v>87</v>
      </c>
      <c r="C52" s="6">
        <f>C6</f>
      </c>
    </row>
    <row r="53" spans="2:7">
      <c r="B53" s="5" t="s">
        <v>88</v>
      </c>
      <c r="C53" s="4">
        <f>C51/C52</f>
      </c>
    </row>
    <row r="54" spans="2:7">
      <c r="B54" s="5" t="s">
        <v>89</v>
      </c>
      <c r="C54" s="4">
        <f>C4</f>
      </c>
    </row>
    <row r="55" spans="2:7">
      <c r="B55" s="5" t="s">
        <v>42</v>
      </c>
      <c r="C55" s="8">
        <f>C53/C54-1</f>
      </c>
    </row>
    <row r="56" spans="2:7">
      <c r="B56" s="5" t="s">
        <v>90</v>
      </c>
      <c r="C56" s="6">
        <f>SUM(L48:U48)</f>
      </c>
    </row>
    <row r="57" spans="2:7">
      <c r="B57" s="5" t="s">
        <v>91</v>
      </c>
      <c r="C57" s="4">
        <f>((C56+U29*(1+C45)/(C44-C45)/(1+C44)^10)-C46)/C52</f>
      </c>
    </row>
    <row r="58" spans="2:7">
      <c r="B58" s="5" t="s">
        <v>92</v>
      </c>
      <c r="C58" s="8">
        <f>((C12-C47)*(1+C44)^10*(C44-C45)/(1+C45))/U4</f>
      </c>
    </row>
    <row r="62" spans="2:7">
      <c r="B62" s="1" t="s">
        <v>96</v>
      </c>
    </row>
    <row r="63" spans="2:7">
      <c r="B63" s="2" t="s">
        <v>97</v>
      </c>
      <c r="C63" s="8">
        <v>0.015</v>
      </c>
      <c r="D63" s="8">
        <v>0.02</v>
      </c>
      <c r="E63" s="8">
        <v>0.025</v>
      </c>
      <c r="F63" s="8">
        <v>0.03</v>
      </c>
      <c r="G63" s="8">
        <v>0.035</v>
      </c>
    </row>
    <row r="64" spans="2:7">
      <c r="B64" s="8">
        <v>0.075</v>
      </c>
      <c r="C64" s="4">
        <f>((L33/(1+0.075)^1+M33/(1+0.075)^2+N33/(1+0.075)^3+O33/(1+0.075)^4+P33/(1+0.075)^5+Q33/(1+0.075)^6+R33/(1+0.075)^7+S33/(1+0.075)^8+T33/(1+0.075)^9+U33/(1+0.075)^10+U33*(1+0.015)/(0.075-0.015)/(1+0.075)^10)-$C$46)/$C$52</f>
      </c>
      <c r="D64" s="4">
        <f>((L33/(1+0.075)^1+M33/(1+0.075)^2+N33/(1+0.075)^3+O33/(1+0.075)^4+P33/(1+0.075)^5+Q33/(1+0.075)^6+R33/(1+0.075)^7+S33/(1+0.075)^8+T33/(1+0.075)^9+U33/(1+0.075)^10+U33*(1+0.02)/(0.075-0.02)/(1+0.075)^10)-$C$46)/$C$52</f>
      </c>
      <c r="E64" s="4">
        <f>((L33/(1+0.075)^1+M33/(1+0.075)^2+N33/(1+0.075)^3+O33/(1+0.075)^4+P33/(1+0.075)^5+Q33/(1+0.075)^6+R33/(1+0.075)^7+S33/(1+0.075)^8+T33/(1+0.075)^9+U33/(1+0.075)^10+U33*(1+0.025)/(0.075-0.025)/(1+0.075)^10)-$C$46)/$C$52</f>
      </c>
      <c r="F64" s="4">
        <f>((L33/(1+0.075)^1+M33/(1+0.075)^2+N33/(1+0.075)^3+O33/(1+0.075)^4+P33/(1+0.075)^5+Q33/(1+0.075)^6+R33/(1+0.075)^7+S33/(1+0.075)^8+T33/(1+0.075)^9+U33/(1+0.075)^10+U33*(1+0.03)/(0.075-0.03)/(1+0.075)^10)-$C$46)/$C$52</f>
      </c>
      <c r="G64" s="4">
        <f>((L33/(1+0.075)^1+M33/(1+0.075)^2+N33/(1+0.075)^3+O33/(1+0.075)^4+P33/(1+0.075)^5+Q33/(1+0.075)^6+R33/(1+0.075)^7+S33/(1+0.075)^8+T33/(1+0.075)^9+U33/(1+0.075)^10+U33*(1+0.035)/(0.075-0.035)/(1+0.075)^10)-$C$46)/$C$52</f>
      </c>
    </row>
    <row r="65" spans="2:7">
      <c r="B65" s="8">
        <v>0.08</v>
      </c>
      <c r="C65" s="4">
        <f>((L33/(1+0.08)^1+M33/(1+0.08)^2+N33/(1+0.08)^3+O33/(1+0.08)^4+P33/(1+0.08)^5+Q33/(1+0.08)^6+R33/(1+0.08)^7+S33/(1+0.08)^8+T33/(1+0.08)^9+U33/(1+0.08)^10+U33*(1+0.015)/(0.08-0.015)/(1+0.08)^10)-$C$46)/$C$52</f>
      </c>
      <c r="D65" s="4">
        <f>((L33/(1+0.08)^1+M33/(1+0.08)^2+N33/(1+0.08)^3+O33/(1+0.08)^4+P33/(1+0.08)^5+Q33/(1+0.08)^6+R33/(1+0.08)^7+S33/(1+0.08)^8+T33/(1+0.08)^9+U33/(1+0.08)^10+U33*(1+0.02)/(0.08-0.02)/(1+0.08)^10)-$C$46)/$C$52</f>
      </c>
      <c r="E65" s="4">
        <f>((L33/(1+0.08)^1+M33/(1+0.08)^2+N33/(1+0.08)^3+O33/(1+0.08)^4+P33/(1+0.08)^5+Q33/(1+0.08)^6+R33/(1+0.08)^7+S33/(1+0.08)^8+T33/(1+0.08)^9+U33/(1+0.08)^10+U33*(1+0.025)/(0.08-0.025)/(1+0.08)^10)-$C$46)/$C$52</f>
      </c>
      <c r="F65" s="4">
        <f>((L33/(1+0.08)^1+M33/(1+0.08)^2+N33/(1+0.08)^3+O33/(1+0.08)^4+P33/(1+0.08)^5+Q33/(1+0.08)^6+R33/(1+0.08)^7+S33/(1+0.08)^8+T33/(1+0.08)^9+U33/(1+0.08)^10+U33*(1+0.03)/(0.08-0.03)/(1+0.08)^10)-$C$46)/$C$52</f>
      </c>
      <c r="G65" s="4">
        <f>((L33/(1+0.08)^1+M33/(1+0.08)^2+N33/(1+0.08)^3+O33/(1+0.08)^4+P33/(1+0.08)^5+Q33/(1+0.08)^6+R33/(1+0.08)^7+S33/(1+0.08)^8+T33/(1+0.08)^9+U33/(1+0.08)^10+U33*(1+0.035)/(0.08-0.035)/(1+0.08)^10)-$C$46)/$C$52</f>
      </c>
    </row>
    <row r="66" spans="2:7">
      <c r="B66" s="8">
        <v>0.08500000000000001</v>
      </c>
      <c r="C66" s="4">
        <f>((L33/(1+0.085)^1+M33/(1+0.085)^2+N33/(1+0.085)^3+O33/(1+0.085)^4+P33/(1+0.085)^5+Q33/(1+0.085)^6+R33/(1+0.085)^7+S33/(1+0.085)^8+T33/(1+0.085)^9+U33/(1+0.085)^10+U33*(1+0.015)/(0.085-0.015)/(1+0.085)^10)-$C$46)/$C$52</f>
      </c>
      <c r="D66" s="4">
        <f>((L33/(1+0.085)^1+M33/(1+0.085)^2+N33/(1+0.085)^3+O33/(1+0.085)^4+P33/(1+0.085)^5+Q33/(1+0.085)^6+R33/(1+0.085)^7+S33/(1+0.085)^8+T33/(1+0.085)^9+U33/(1+0.085)^10+U33*(1+0.02)/(0.085-0.02)/(1+0.085)^10)-$C$46)/$C$52</f>
      </c>
      <c r="E66" s="4">
        <f>((L33/(1+0.085)^1+M33/(1+0.085)^2+N33/(1+0.085)^3+O33/(1+0.085)^4+P33/(1+0.085)^5+Q33/(1+0.085)^6+R33/(1+0.085)^7+S33/(1+0.085)^8+T33/(1+0.085)^9+U33/(1+0.085)^10+U33*(1+0.025)/(0.085-0.025)/(1+0.085)^10)-$C$46)/$C$52</f>
      </c>
      <c r="F66" s="4">
        <f>((L33/(1+0.085)^1+M33/(1+0.085)^2+N33/(1+0.085)^3+O33/(1+0.085)^4+P33/(1+0.085)^5+Q33/(1+0.085)^6+R33/(1+0.085)^7+S33/(1+0.085)^8+T33/(1+0.085)^9+U33/(1+0.085)^10+U33*(1+0.03)/(0.085-0.03)/(1+0.085)^10)-$C$46)/$C$52</f>
      </c>
      <c r="G66" s="4">
        <f>((L33/(1+0.085)^1+M33/(1+0.085)^2+N33/(1+0.085)^3+O33/(1+0.085)^4+P33/(1+0.085)^5+Q33/(1+0.085)^6+R33/(1+0.085)^7+S33/(1+0.085)^8+T33/(1+0.085)^9+U33/(1+0.085)^10+U33*(1+0.035)/(0.085-0.035)/(1+0.085)^10)-$C$46)/$C$52</f>
      </c>
    </row>
    <row r="67" spans="2:7">
      <c r="B67" s="8">
        <v>0.09</v>
      </c>
      <c r="C67" s="4">
        <f>((L33/(1+0.09)^1+M33/(1+0.09)^2+N33/(1+0.09)^3+O33/(1+0.09)^4+P33/(1+0.09)^5+Q33/(1+0.09)^6+R33/(1+0.09)^7+S33/(1+0.09)^8+T33/(1+0.09)^9+U33/(1+0.09)^10+U33*(1+0.015)/(0.09-0.015)/(1+0.09)^10)-$C$46)/$C$52</f>
      </c>
      <c r="D67" s="4">
        <f>((L33/(1+0.09)^1+M33/(1+0.09)^2+N33/(1+0.09)^3+O33/(1+0.09)^4+P33/(1+0.09)^5+Q33/(1+0.09)^6+R33/(1+0.09)^7+S33/(1+0.09)^8+T33/(1+0.09)^9+U33/(1+0.09)^10+U33*(1+0.02)/(0.09-0.02)/(1+0.09)^10)-$C$46)/$C$52</f>
      </c>
      <c r="E67" s="4">
        <f>((L33/(1+0.09)^1+M33/(1+0.09)^2+N33/(1+0.09)^3+O33/(1+0.09)^4+P33/(1+0.09)^5+Q33/(1+0.09)^6+R33/(1+0.09)^7+S33/(1+0.09)^8+T33/(1+0.09)^9+U33/(1+0.09)^10+U33*(1+0.025)/(0.09-0.025)/(1+0.09)^10)-$C$46)/$C$52</f>
      </c>
      <c r="F67" s="4">
        <f>((L33/(1+0.09)^1+M33/(1+0.09)^2+N33/(1+0.09)^3+O33/(1+0.09)^4+P33/(1+0.09)^5+Q33/(1+0.09)^6+R33/(1+0.09)^7+S33/(1+0.09)^8+T33/(1+0.09)^9+U33/(1+0.09)^10+U33*(1+0.03)/(0.09-0.03)/(1+0.09)^10)-$C$46)/$C$52</f>
      </c>
      <c r="G67" s="4">
        <f>((L33/(1+0.09)^1+M33/(1+0.09)^2+N33/(1+0.09)^3+O33/(1+0.09)^4+P33/(1+0.09)^5+Q33/(1+0.09)^6+R33/(1+0.09)^7+S33/(1+0.09)^8+T33/(1+0.09)^9+U33/(1+0.09)^10+U33*(1+0.035)/(0.09-0.035)/(1+0.09)^10)-$C$46)/$C$52</f>
      </c>
    </row>
    <row r="68" spans="2:7">
      <c r="B68" s="8">
        <v>0.095</v>
      </c>
      <c r="C68" s="4">
        <f>((L33/(1+0.095)^1+M33/(1+0.095)^2+N33/(1+0.095)^3+O33/(1+0.095)^4+P33/(1+0.095)^5+Q33/(1+0.095)^6+R33/(1+0.095)^7+S33/(1+0.095)^8+T33/(1+0.095)^9+U33/(1+0.095)^10+U33*(1+0.015)/(0.095-0.015)/(1+0.095)^10)-$C$46)/$C$52</f>
      </c>
      <c r="D68" s="4">
        <f>((L33/(1+0.095)^1+M33/(1+0.095)^2+N33/(1+0.095)^3+O33/(1+0.095)^4+P33/(1+0.095)^5+Q33/(1+0.095)^6+R33/(1+0.095)^7+S33/(1+0.095)^8+T33/(1+0.095)^9+U33/(1+0.095)^10+U33*(1+0.02)/(0.095-0.02)/(1+0.095)^10)-$C$46)/$C$52</f>
      </c>
      <c r="E68" s="4">
        <f>((L33/(1+0.095)^1+M33/(1+0.095)^2+N33/(1+0.095)^3+O33/(1+0.095)^4+P33/(1+0.095)^5+Q33/(1+0.095)^6+R33/(1+0.095)^7+S33/(1+0.095)^8+T33/(1+0.095)^9+U33/(1+0.095)^10+U33*(1+0.025)/(0.095-0.025)/(1+0.095)^10)-$C$46)/$C$52</f>
      </c>
      <c r="F68" s="4">
        <f>((L33/(1+0.095)^1+M33/(1+0.095)^2+N33/(1+0.095)^3+O33/(1+0.095)^4+P33/(1+0.095)^5+Q33/(1+0.095)^6+R33/(1+0.095)^7+S33/(1+0.095)^8+T33/(1+0.095)^9+U33/(1+0.095)^10+U33*(1+0.03)/(0.095-0.03)/(1+0.095)^10)-$C$46)/$C$52</f>
      </c>
      <c r="G68" s="4">
        <f>((L33/(1+0.095)^1+M33/(1+0.095)^2+N33/(1+0.095)^3+O33/(1+0.095)^4+P33/(1+0.095)^5+Q33/(1+0.095)^6+R33/(1+0.095)^7+S33/(1+0.095)^8+T33/(1+0.095)^9+U33/(1+0.095)^10+U33*(1+0.035)/(0.095-0.035)/(1+0.095)^10)-$C$46)/$C$52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15"/>
  <sheetViews>
    <sheetView workbookViewId="0"/>
  </sheetViews>
  <sheetFormatPr defaultRowHeight="15"/>
  <cols>
    <col min="1" max="1" width="32.7109375" customWidth="1"/>
    <col min="2" max="2" width="18.7109375" customWidth="1"/>
    <col min="3" max="3" width="92.7109375" customWidth="1"/>
  </cols>
  <sheetData>
    <row r="1" spans="1:3">
      <c r="A1" s="1" t="s">
        <v>98</v>
      </c>
    </row>
    <row r="2" spans="1:3">
      <c r="A2" s="5" t="s">
        <v>99</v>
      </c>
      <c r="B2" s="8">
        <v>0.0457</v>
      </c>
      <c r="C2" s="3" t="s">
        <v>100</v>
      </c>
    </row>
    <row r="3" spans="1:3">
      <c r="A3" s="5" t="s">
        <v>101</v>
      </c>
      <c r="B3" s="8">
        <v>0.05</v>
      </c>
      <c r="C3" s="3" t="s">
        <v>102</v>
      </c>
    </row>
    <row r="4" spans="1:3">
      <c r="A4" s="5" t="s">
        <v>103</v>
      </c>
      <c r="B4" s="8">
        <v>0.6899999999999999</v>
      </c>
      <c r="C4" s="3" t="s">
        <v>104</v>
      </c>
    </row>
    <row r="5" spans="1:3">
      <c r="A5" s="5" t="s">
        <v>105</v>
      </c>
      <c r="B5" s="8">
        <v>0.006</v>
      </c>
      <c r="C5" s="3" t="s">
        <v>106</v>
      </c>
    </row>
    <row r="6" spans="1:3">
      <c r="A6" s="5" t="s">
        <v>107</v>
      </c>
      <c r="B6" s="8">
        <f>B2+B3*B4+B5</f>
      </c>
      <c r="C6" s="3" t="s">
        <v>108</v>
      </c>
    </row>
    <row r="7" spans="1:3">
      <c r="A7" s="5" t="s">
        <v>109</v>
      </c>
      <c r="B7" s="8">
        <v>0.044</v>
      </c>
      <c r="C7" s="3" t="s">
        <v>110</v>
      </c>
    </row>
    <row r="8" spans="1:3">
      <c r="A8" s="5" t="s">
        <v>111</v>
      </c>
      <c r="B8" s="8">
        <v>0.19</v>
      </c>
      <c r="C8" s="3" t="s">
        <v>112</v>
      </c>
    </row>
    <row r="9" spans="1:3">
      <c r="A9" s="5" t="s">
        <v>113</v>
      </c>
      <c r="B9" s="8">
        <f>B7*(1-B8)</f>
      </c>
      <c r="C9" s="3" t="s">
        <v>114</v>
      </c>
    </row>
    <row r="10" spans="1:3">
      <c r="A10" s="5" t="s">
        <v>32</v>
      </c>
      <c r="B10" s="6">
        <v>8452.021463999999</v>
      </c>
      <c r="C10" s="3" t="s">
        <v>115</v>
      </c>
    </row>
    <row r="11" spans="1:3">
      <c r="A11" s="5" t="s">
        <v>34</v>
      </c>
      <c r="B11" s="6">
        <v>1369.216</v>
      </c>
      <c r="C11" s="3" t="s">
        <v>116</v>
      </c>
    </row>
    <row r="12" spans="1:3">
      <c r="A12" s="5" t="s">
        <v>117</v>
      </c>
      <c r="B12" s="8">
        <f>B10/(B10+B11)</f>
      </c>
      <c r="C12" s="3" t="s">
        <v>118</v>
      </c>
    </row>
    <row r="13" spans="1:3">
      <c r="A13" s="5" t="s">
        <v>119</v>
      </c>
      <c r="B13" s="8">
        <f>B11/(B10+B11)</f>
      </c>
      <c r="C13" s="3" t="s">
        <v>120</v>
      </c>
    </row>
    <row r="14" spans="1:3">
      <c r="A14" s="5" t="s">
        <v>121</v>
      </c>
      <c r="B14" s="8">
        <f>B12*B6+B13*B9</f>
      </c>
      <c r="C14" s="3" t="s">
        <v>122</v>
      </c>
    </row>
    <row r="15" spans="1:3">
      <c r="A15" s="5" t="s">
        <v>123</v>
      </c>
      <c r="B15" s="8">
        <v>0.08</v>
      </c>
      <c r="C15" s="3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B2:R65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31.7109375" customWidth="1"/>
    <col min="3" max="13" width="13.7109375" customWidth="1"/>
    <col min="15" max="15" width="13.7109375" customWidth="1"/>
    <col min="16" max="17" width="16.7109375" customWidth="1"/>
    <col min="18" max="18" width="70.7109375" customWidth="1"/>
  </cols>
  <sheetData>
    <row r="2" spans="2:18">
      <c r="B2" s="1" t="s">
        <v>125</v>
      </c>
    </row>
    <row r="4" spans="2:18">
      <c r="O4" s="2" t="s">
        <v>126</v>
      </c>
      <c r="P4" s="2" t="s">
        <v>127</v>
      </c>
      <c r="Q4" s="2" t="s">
        <v>128</v>
      </c>
      <c r="R4" s="2" t="s">
        <v>129</v>
      </c>
    </row>
    <row r="5" spans="2:18">
      <c r="O5" s="5" t="s">
        <v>130</v>
      </c>
      <c r="P5" s="4">
        <f>D26</f>
      </c>
      <c r="Q5" s="8">
        <f>D27</f>
      </c>
      <c r="R5" s="3" t="s">
        <v>131</v>
      </c>
    </row>
    <row r="6" spans="2:18">
      <c r="O6" s="5" t="s">
        <v>132</v>
      </c>
      <c r="P6" s="4">
        <f>D45</f>
      </c>
      <c r="Q6" s="8">
        <f>D46</f>
      </c>
      <c r="R6" s="3" t="s">
        <v>133</v>
      </c>
    </row>
    <row r="7" spans="2:18">
      <c r="O7" s="5" t="s">
        <v>134</v>
      </c>
      <c r="P7" s="4">
        <f>D64</f>
      </c>
      <c r="Q7" s="8">
        <f>D65</f>
      </c>
      <c r="R7" s="3" t="s">
        <v>135</v>
      </c>
    </row>
    <row r="10" spans="2:18">
      <c r="B10" s="2" t="s">
        <v>136</v>
      </c>
    </row>
    <row r="11" spans="2:18">
      <c r="C11" s="2" t="s">
        <v>137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</row>
    <row r="12" spans="2:18">
      <c r="B12" s="5" t="s">
        <v>138</v>
      </c>
      <c r="C12" s="8"/>
      <c r="D12" s="9">
        <v>0.05</v>
      </c>
      <c r="E12" s="9">
        <v>0.04</v>
      </c>
      <c r="F12" s="9">
        <v>0.035</v>
      </c>
      <c r="G12" s="9">
        <v>0.03</v>
      </c>
      <c r="H12" s="9">
        <v>0.025</v>
      </c>
      <c r="I12" s="9">
        <v>0.023</v>
      </c>
      <c r="J12" s="9">
        <v>0.02</v>
      </c>
      <c r="K12" s="9">
        <v>0.02</v>
      </c>
      <c r="L12" s="9">
        <v>0.018</v>
      </c>
      <c r="M12" s="9">
        <v>0.015</v>
      </c>
    </row>
    <row r="13" spans="2:18">
      <c r="B13" s="5" t="s">
        <v>45</v>
      </c>
      <c r="C13" s="6">
        <v>2321.748</v>
      </c>
      <c r="D13" s="6">
        <f>C13*(1+D12)</f>
      </c>
      <c r="E13" s="6">
        <f>D13*(1+E12)</f>
      </c>
      <c r="F13" s="6">
        <f>E13*(1+F12)</f>
      </c>
      <c r="G13" s="6">
        <f>F13*(1+G12)</f>
      </c>
      <c r="H13" s="6">
        <f>G13*(1+H12)</f>
      </c>
      <c r="I13" s="6">
        <f>H13*(1+I12)</f>
      </c>
      <c r="J13" s="6">
        <f>I13*(1+J12)</f>
      </c>
      <c r="K13" s="6">
        <f>J13*(1+K12)</f>
      </c>
      <c r="L13" s="6">
        <f>K13*(1+L12)</f>
      </c>
      <c r="M13" s="6">
        <f>L13*(1+M12)</f>
      </c>
    </row>
    <row r="14" spans="2:18">
      <c r="B14" s="5" t="s">
        <v>139</v>
      </c>
      <c r="D14" s="9">
        <v>0.26</v>
      </c>
      <c r="E14" s="9">
        <v>0.258</v>
      </c>
      <c r="F14" s="9">
        <v>0.256</v>
      </c>
      <c r="G14" s="9">
        <v>0.255</v>
      </c>
      <c r="H14" s="9">
        <v>0.255</v>
      </c>
      <c r="I14" s="9">
        <v>0.258</v>
      </c>
      <c r="J14" s="9">
        <v>0.26</v>
      </c>
      <c r="K14" s="9">
        <v>0.262</v>
      </c>
      <c r="L14" s="9">
        <v>0.264</v>
      </c>
      <c r="M14" s="9">
        <v>0.265</v>
      </c>
    </row>
    <row r="15" spans="2:18">
      <c r="B15" s="5" t="s">
        <v>140</v>
      </c>
      <c r="D15" s="6">
        <f>D13*D14</f>
      </c>
      <c r="E15" s="6">
        <f>E13*E14</f>
      </c>
      <c r="F15" s="6">
        <f>F13*F14</f>
      </c>
      <c r="G15" s="6">
        <f>G13*G14</f>
      </c>
      <c r="H15" s="6">
        <f>H13*H14</f>
      </c>
      <c r="I15" s="6">
        <f>I13*I14</f>
      </c>
      <c r="J15" s="6">
        <f>J13*J14</f>
      </c>
      <c r="K15" s="6">
        <f>K13*K14</f>
      </c>
      <c r="L15" s="6">
        <f>L13*L14</f>
      </c>
      <c r="M15" s="6">
        <f>M13*M14</f>
      </c>
    </row>
    <row r="16" spans="2:18">
      <c r="B16" s="5" t="s">
        <v>141</v>
      </c>
      <c r="D16" s="9">
        <v>0.035</v>
      </c>
      <c r="E16" s="9">
        <v>0.035</v>
      </c>
      <c r="F16" s="9">
        <v>0.034</v>
      </c>
      <c r="G16" s="9">
        <v>0.034</v>
      </c>
      <c r="H16" s="9">
        <v>0.033</v>
      </c>
      <c r="I16" s="9">
        <v>0.033</v>
      </c>
      <c r="J16" s="9">
        <v>0.032</v>
      </c>
      <c r="K16" s="9">
        <v>0.032</v>
      </c>
      <c r="L16" s="9">
        <v>0.031</v>
      </c>
      <c r="M16" s="9">
        <v>0.031</v>
      </c>
    </row>
    <row r="17" spans="2:13">
      <c r="B17" s="5" t="s">
        <v>142</v>
      </c>
      <c r="D17" s="6">
        <f>D13*D16</f>
      </c>
      <c r="E17" s="6">
        <f>E13*E16</f>
      </c>
      <c r="F17" s="6">
        <f>F13*F16</f>
      </c>
      <c r="G17" s="6">
        <f>G13*G16</f>
      </c>
      <c r="H17" s="6">
        <f>H13*H16</f>
      </c>
      <c r="I17" s="6">
        <f>I13*I16</f>
      </c>
      <c r="J17" s="6">
        <f>J13*J16</f>
      </c>
      <c r="K17" s="6">
        <f>K13*K16</f>
      </c>
      <c r="L17" s="6">
        <f>L13*L16</f>
      </c>
      <c r="M17" s="6">
        <f>M13*M16</f>
      </c>
    </row>
    <row r="18" spans="2:13">
      <c r="B18" s="5" t="s">
        <v>143</v>
      </c>
      <c r="D18" s="6">
        <f>D15-D17</f>
      </c>
      <c r="E18" s="6">
        <f>E15-E17</f>
      </c>
      <c r="F18" s="6">
        <f>F15-F17</f>
      </c>
      <c r="G18" s="6">
        <f>G15-G17</f>
      </c>
      <c r="H18" s="6">
        <f>H15-H17</f>
      </c>
      <c r="I18" s="6">
        <f>I15-I17</f>
      </c>
      <c r="J18" s="6">
        <f>J15-J17</f>
      </c>
      <c r="K18" s="6">
        <f>K15-K17</f>
      </c>
      <c r="L18" s="6">
        <f>L15-L17</f>
      </c>
      <c r="M18" s="6">
        <f>M15-M17</f>
      </c>
    </row>
    <row r="19" spans="2:13">
      <c r="B19" s="5" t="s">
        <v>93</v>
      </c>
      <c r="D19" s="8">
        <f>1/(1+$D$22)^1</f>
      </c>
      <c r="E19" s="8">
        <f>1/(1+$D$22)^2</f>
      </c>
      <c r="F19" s="8">
        <f>1/(1+$D$22)^3</f>
      </c>
      <c r="G19" s="8">
        <f>1/(1+$D$22)^4</f>
      </c>
      <c r="H19" s="8">
        <f>1/(1+$D$22)^5</f>
      </c>
      <c r="I19" s="8">
        <f>1/(1+$D$22)^6</f>
      </c>
      <c r="J19" s="8">
        <f>1/(1+$D$22)^7</f>
      </c>
      <c r="K19" s="8">
        <f>1/(1+$D$22)^8</f>
      </c>
      <c r="L19" s="8">
        <f>1/(1+$D$22)^9</f>
      </c>
      <c r="M19" s="8">
        <f>1/(1+$D$22)^10</f>
      </c>
    </row>
    <row r="20" spans="2:13">
      <c r="B20" s="5" t="s">
        <v>94</v>
      </c>
      <c r="D20" s="6">
        <f>D18*D19</f>
      </c>
      <c r="E20" s="6">
        <f>E18*E19</f>
      </c>
      <c r="F20" s="6">
        <f>F18*F19</f>
      </c>
      <c r="G20" s="6">
        <f>G18*G19</f>
      </c>
      <c r="H20" s="6">
        <f>H18*H19</f>
      </c>
      <c r="I20" s="6">
        <f>I18*I19</f>
      </c>
      <c r="J20" s="6">
        <f>J18*J19</f>
      </c>
      <c r="K20" s="6">
        <f>K18*K19</f>
      </c>
      <c r="L20" s="6">
        <f>L18*L19</f>
      </c>
      <c r="M20" s="6">
        <f>M18*M19</f>
      </c>
    </row>
    <row r="21" spans="2:13">
      <c r="B21" s="5" t="s">
        <v>81</v>
      </c>
      <c r="D21" s="9">
        <v>0.015</v>
      </c>
    </row>
    <row r="22" spans="2:13">
      <c r="B22" s="5" t="s">
        <v>144</v>
      </c>
      <c r="D22" s="9">
        <v>0.095</v>
      </c>
    </row>
    <row r="23" spans="2:13">
      <c r="B23" s="5" t="s">
        <v>145</v>
      </c>
      <c r="D23" s="6">
        <f>M18*(1+D21)/(D22-D21)</f>
      </c>
    </row>
    <row r="24" spans="2:13">
      <c r="B24" s="5" t="s">
        <v>146</v>
      </c>
      <c r="D24" s="6">
        <f>SUM(D20:M20)+D23/(1+D22)^10</f>
      </c>
    </row>
    <row r="25" spans="2:13">
      <c r="B25" s="5" t="s">
        <v>147</v>
      </c>
      <c r="D25" s="6">
        <f>D24-Valuation!$C$11</f>
      </c>
    </row>
    <row r="26" spans="2:13">
      <c r="B26" s="5" t="s">
        <v>88</v>
      </c>
      <c r="D26" s="4">
        <f>D25/Valuation!$C$6</f>
      </c>
    </row>
    <row r="27" spans="2:13">
      <c r="B27" s="5" t="s">
        <v>148</v>
      </c>
      <c r="D27" s="8">
        <f>POWER(D26/Valuation!$C$4,1/10)-1</f>
      </c>
    </row>
    <row r="29" spans="2:13">
      <c r="B29" s="1" t="s">
        <v>149</v>
      </c>
    </row>
    <row r="30" spans="2:13">
      <c r="C30" s="2" t="s">
        <v>137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16</v>
      </c>
      <c r="I30" s="2" t="s">
        <v>17</v>
      </c>
      <c r="J30" s="2" t="s">
        <v>18</v>
      </c>
      <c r="K30" s="2" t="s">
        <v>19</v>
      </c>
      <c r="L30" s="2" t="s">
        <v>20</v>
      </c>
      <c r="M30" s="2" t="s">
        <v>21</v>
      </c>
    </row>
    <row r="31" spans="2:13">
      <c r="B31" s="5" t="s">
        <v>138</v>
      </c>
      <c r="C31" s="8"/>
      <c r="D31" s="9">
        <v>0.05954651409196865</v>
      </c>
      <c r="E31" s="9">
        <v>0.06747967479674788</v>
      </c>
      <c r="F31" s="9">
        <v>0.05499999999999994</v>
      </c>
      <c r="G31" s="9">
        <v>0.05000000000000004</v>
      </c>
      <c r="H31" s="9">
        <v>0.04600000000000004</v>
      </c>
      <c r="I31" s="9">
        <v>0.04299999999999993</v>
      </c>
      <c r="J31" s="9">
        <v>0.04000000000000004</v>
      </c>
      <c r="K31" s="9">
        <v>0.03800000000000003</v>
      </c>
      <c r="L31" s="9">
        <v>0.03600000000000003</v>
      </c>
      <c r="M31" s="9">
        <v>0.03400000000000003</v>
      </c>
    </row>
    <row r="32" spans="2:13">
      <c r="B32" s="5" t="s">
        <v>45</v>
      </c>
      <c r="C32" s="6">
        <v>2321.748</v>
      </c>
      <c r="D32" s="6">
        <f>C32*(1+D31)</f>
      </c>
      <c r="E32" s="6">
        <f>D32*(1+E31)</f>
      </c>
      <c r="F32" s="6">
        <f>E32*(1+F31)</f>
      </c>
      <c r="G32" s="6">
        <f>F32*(1+G31)</f>
      </c>
      <c r="H32" s="6">
        <f>G32*(1+H31)</f>
      </c>
      <c r="I32" s="6">
        <f>H32*(1+I31)</f>
      </c>
      <c r="J32" s="6">
        <f>I32*(1+J31)</f>
      </c>
      <c r="K32" s="6">
        <f>J32*(1+K31)</f>
      </c>
      <c r="L32" s="6">
        <f>K32*(1+L31)</f>
      </c>
      <c r="M32" s="6">
        <f>L32*(1+M31)</f>
      </c>
    </row>
    <row r="33" spans="2:13">
      <c r="B33" s="5" t="s">
        <v>139</v>
      </c>
      <c r="D33" s="9">
        <v>0.28</v>
      </c>
      <c r="E33" s="9">
        <v>0.285</v>
      </c>
      <c r="F33" s="9">
        <v>0.288</v>
      </c>
      <c r="G33" s="9">
        <v>0.29</v>
      </c>
      <c r="H33" s="9">
        <v>0.292</v>
      </c>
      <c r="I33" s="9">
        <v>0.294</v>
      </c>
      <c r="J33" s="9">
        <v>0.295</v>
      </c>
      <c r="K33" s="9">
        <v>0.295</v>
      </c>
      <c r="L33" s="9">
        <v>0.295</v>
      </c>
      <c r="M33" s="9">
        <v>0.295</v>
      </c>
    </row>
    <row r="34" spans="2:13">
      <c r="B34" s="5" t="s">
        <v>140</v>
      </c>
      <c r="D34" s="6">
        <f>D32*D33</f>
      </c>
      <c r="E34" s="6">
        <f>E32*E33</f>
      </c>
      <c r="F34" s="6">
        <f>F32*F33</f>
      </c>
      <c r="G34" s="6">
        <f>G32*G33</f>
      </c>
      <c r="H34" s="6">
        <f>H32*H33</f>
      </c>
      <c r="I34" s="6">
        <f>I32*I33</f>
      </c>
      <c r="J34" s="6">
        <f>J32*J33</f>
      </c>
      <c r="K34" s="6">
        <f>K32*K33</f>
      </c>
      <c r="L34" s="6">
        <f>L32*L33</f>
      </c>
      <c r="M34" s="6">
        <f>M32*M33</f>
      </c>
    </row>
    <row r="35" spans="2:13">
      <c r="B35" s="5" t="s">
        <v>141</v>
      </c>
      <c r="D35" s="9">
        <v>0.03</v>
      </c>
      <c r="E35" s="9">
        <v>0.029</v>
      </c>
      <c r="F35" s="9">
        <v>0.028</v>
      </c>
      <c r="G35" s="9">
        <v>0.027</v>
      </c>
      <c r="H35" s="9">
        <v>0.0265</v>
      </c>
      <c r="I35" s="9">
        <v>0.026</v>
      </c>
      <c r="J35" s="9">
        <v>0.0255</v>
      </c>
      <c r="K35" s="9">
        <v>0.025</v>
      </c>
      <c r="L35" s="9">
        <v>0.025</v>
      </c>
      <c r="M35" s="9">
        <v>0.025</v>
      </c>
    </row>
    <row r="36" spans="2:13">
      <c r="B36" s="5" t="s">
        <v>142</v>
      </c>
      <c r="D36" s="6">
        <f>D32*D35</f>
      </c>
      <c r="E36" s="6">
        <f>E32*E35</f>
      </c>
      <c r="F36" s="6">
        <f>F32*F35</f>
      </c>
      <c r="G36" s="6">
        <f>G32*G35</f>
      </c>
      <c r="H36" s="6">
        <f>H32*H35</f>
      </c>
      <c r="I36" s="6">
        <f>I32*I35</f>
      </c>
      <c r="J36" s="6">
        <f>J32*J35</f>
      </c>
      <c r="K36" s="6">
        <f>K32*K35</f>
      </c>
      <c r="L36" s="6">
        <f>L32*L35</f>
      </c>
      <c r="M36" s="6">
        <f>M32*M35</f>
      </c>
    </row>
    <row r="37" spans="2:13">
      <c r="B37" s="5" t="s">
        <v>143</v>
      </c>
      <c r="D37" s="6">
        <f>D34-D36</f>
      </c>
      <c r="E37" s="6">
        <f>E34-E36</f>
      </c>
      <c r="F37" s="6">
        <f>F34-F36</f>
      </c>
      <c r="G37" s="6">
        <f>G34-G36</f>
      </c>
      <c r="H37" s="6">
        <f>H34-H36</f>
      </c>
      <c r="I37" s="6">
        <f>I34-I36</f>
      </c>
      <c r="J37" s="6">
        <f>J34-J36</f>
      </c>
      <c r="K37" s="6">
        <f>K34-K36</f>
      </c>
      <c r="L37" s="6">
        <f>L34-L36</f>
      </c>
      <c r="M37" s="6">
        <f>M34-M36</f>
      </c>
    </row>
    <row r="38" spans="2:13">
      <c r="B38" s="5" t="s">
        <v>93</v>
      </c>
      <c r="D38" s="8">
        <f>1/(1+$D$41)^1</f>
      </c>
      <c r="E38" s="8">
        <f>1/(1+$D$41)^2</f>
      </c>
      <c r="F38" s="8">
        <f>1/(1+$D$41)^3</f>
      </c>
      <c r="G38" s="8">
        <f>1/(1+$D$41)^4</f>
      </c>
      <c r="H38" s="8">
        <f>1/(1+$D$41)^5</f>
      </c>
      <c r="I38" s="8">
        <f>1/(1+$D$41)^6</f>
      </c>
      <c r="J38" s="8">
        <f>1/(1+$D$41)^7</f>
      </c>
      <c r="K38" s="8">
        <f>1/(1+$D$41)^8</f>
      </c>
      <c r="L38" s="8">
        <f>1/(1+$D$41)^9</f>
      </c>
      <c r="M38" s="8">
        <f>1/(1+$D$41)^10</f>
      </c>
    </row>
    <row r="39" spans="2:13">
      <c r="B39" s="5" t="s">
        <v>94</v>
      </c>
      <c r="D39" s="6">
        <f>D37*D38</f>
      </c>
      <c r="E39" s="6">
        <f>E37*E38</f>
      </c>
      <c r="F39" s="6">
        <f>F37*F38</f>
      </c>
      <c r="G39" s="6">
        <f>G37*G38</f>
      </c>
      <c r="H39" s="6">
        <f>H37*H38</f>
      </c>
      <c r="I39" s="6">
        <f>I37*I38</f>
      </c>
      <c r="J39" s="6">
        <f>J37*J38</f>
      </c>
      <c r="K39" s="6">
        <f>K37*K38</f>
      </c>
      <c r="L39" s="6">
        <f>L37*L38</f>
      </c>
      <c r="M39" s="6">
        <f>M37*M38</f>
      </c>
    </row>
    <row r="40" spans="2:13">
      <c r="B40" s="5" t="s">
        <v>81</v>
      </c>
      <c r="D40" s="9">
        <v>0.025</v>
      </c>
    </row>
    <row r="41" spans="2:13">
      <c r="B41" s="5" t="s">
        <v>144</v>
      </c>
      <c r="D41" s="9">
        <v>0.08</v>
      </c>
    </row>
    <row r="42" spans="2:13">
      <c r="B42" s="5" t="s">
        <v>145</v>
      </c>
      <c r="D42" s="6">
        <f>M37*(1+D40)/(D41-D40)</f>
      </c>
    </row>
    <row r="43" spans="2:13">
      <c r="B43" s="5" t="s">
        <v>146</v>
      </c>
      <c r="D43" s="6">
        <f>SUM(D39:M39)+D42/(1+D41)^10</f>
      </c>
    </row>
    <row r="44" spans="2:13">
      <c r="B44" s="5" t="s">
        <v>147</v>
      </c>
      <c r="D44" s="6">
        <f>D43-Valuation!$C$11</f>
      </c>
    </row>
    <row r="45" spans="2:13">
      <c r="B45" s="5" t="s">
        <v>88</v>
      </c>
      <c r="D45" s="4">
        <f>D44/Valuation!$C$6</f>
      </c>
    </row>
    <row r="46" spans="2:13">
      <c r="B46" s="5" t="s">
        <v>148</v>
      </c>
      <c r="D46" s="8">
        <f>POWER(D45/Valuation!$C$4,1/10)-1</f>
      </c>
    </row>
    <row r="48" spans="2:13">
      <c r="B48" s="11" t="s">
        <v>150</v>
      </c>
    </row>
    <row r="49" spans="2:13">
      <c r="C49" s="2" t="s">
        <v>137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 t="s">
        <v>19</v>
      </c>
      <c r="L49" s="2" t="s">
        <v>20</v>
      </c>
      <c r="M49" s="2" t="s">
        <v>21</v>
      </c>
    </row>
    <row r="50" spans="2:13">
      <c r="B50" s="5" t="s">
        <v>138</v>
      </c>
      <c r="C50" s="8"/>
      <c r="D50" s="9">
        <v>0.064</v>
      </c>
      <c r="E50" s="9">
        <v>0.07000000000000001</v>
      </c>
      <c r="F50" s="9">
        <v>0.068</v>
      </c>
      <c r="G50" s="9">
        <v>0.062</v>
      </c>
      <c r="H50" s="9">
        <v>0.058</v>
      </c>
      <c r="I50" s="9">
        <v>0.054</v>
      </c>
      <c r="J50" s="9">
        <v>0.05</v>
      </c>
      <c r="K50" s="9">
        <v>0.047</v>
      </c>
      <c r="L50" s="9">
        <v>0.044</v>
      </c>
      <c r="M50" s="9">
        <v>0.04</v>
      </c>
    </row>
    <row r="51" spans="2:13">
      <c r="B51" s="5" t="s">
        <v>45</v>
      </c>
      <c r="C51" s="6">
        <v>2321.748</v>
      </c>
      <c r="D51" s="6">
        <f>C51*(1+D50)</f>
      </c>
      <c r="E51" s="6">
        <f>D51*(1+E50)</f>
      </c>
      <c r="F51" s="6">
        <f>E51*(1+F50)</f>
      </c>
      <c r="G51" s="6">
        <f>F51*(1+G50)</f>
      </c>
      <c r="H51" s="6">
        <f>G51*(1+H50)</f>
      </c>
      <c r="I51" s="6">
        <f>H51*(1+I50)</f>
      </c>
      <c r="J51" s="6">
        <f>I51*(1+J50)</f>
      </c>
      <c r="K51" s="6">
        <f>J51*(1+K50)</f>
      </c>
      <c r="L51" s="6">
        <f>K51*(1+L50)</f>
      </c>
      <c r="M51" s="6">
        <f>L51*(1+M50)</f>
      </c>
    </row>
    <row r="52" spans="2:13">
      <c r="B52" s="5" t="s">
        <v>139</v>
      </c>
      <c r="D52" s="9">
        <v>0.29</v>
      </c>
      <c r="E52" s="9">
        <v>0.295</v>
      </c>
      <c r="F52" s="9">
        <v>0.3</v>
      </c>
      <c r="G52" s="9">
        <v>0.304</v>
      </c>
      <c r="H52" s="9">
        <v>0.307</v>
      </c>
      <c r="I52" s="9">
        <v>0.31</v>
      </c>
      <c r="J52" s="9">
        <v>0.312</v>
      </c>
      <c r="K52" s="9">
        <v>0.313</v>
      </c>
      <c r="L52" s="9">
        <v>0.314</v>
      </c>
      <c r="M52" s="9">
        <v>0.315</v>
      </c>
    </row>
    <row r="53" spans="2:13">
      <c r="B53" s="5" t="s">
        <v>140</v>
      </c>
      <c r="D53" s="6">
        <f>D51*D52</f>
      </c>
      <c r="E53" s="6">
        <f>E51*E52</f>
      </c>
      <c r="F53" s="6">
        <f>F51*F52</f>
      </c>
      <c r="G53" s="6">
        <f>G51*G52</f>
      </c>
      <c r="H53" s="6">
        <f>H51*H52</f>
      </c>
      <c r="I53" s="6">
        <f>I51*I52</f>
      </c>
      <c r="J53" s="6">
        <f>J51*J52</f>
      </c>
      <c r="K53" s="6">
        <f>K51*K52</f>
      </c>
      <c r="L53" s="6">
        <f>L51*L52</f>
      </c>
      <c r="M53" s="6">
        <f>M51*M52</f>
      </c>
    </row>
    <row r="54" spans="2:13">
      <c r="B54" s="5" t="s">
        <v>141</v>
      </c>
      <c r="D54" s="9">
        <v>0.028</v>
      </c>
      <c r="E54" s="9">
        <v>0.027</v>
      </c>
      <c r="F54" s="9">
        <v>0.026</v>
      </c>
      <c r="G54" s="9">
        <v>0.025</v>
      </c>
      <c r="H54" s="9">
        <v>0.0245</v>
      </c>
      <c r="I54" s="9">
        <v>0.024</v>
      </c>
      <c r="J54" s="9">
        <v>0.0235</v>
      </c>
      <c r="K54" s="9">
        <v>0.023</v>
      </c>
      <c r="L54" s="9">
        <v>0.023</v>
      </c>
      <c r="M54" s="9">
        <v>0.023</v>
      </c>
    </row>
    <row r="55" spans="2:13">
      <c r="B55" s="5" t="s">
        <v>142</v>
      </c>
      <c r="D55" s="6">
        <f>D51*D54</f>
      </c>
      <c r="E55" s="6">
        <f>E51*E54</f>
      </c>
      <c r="F55" s="6">
        <f>F51*F54</f>
      </c>
      <c r="G55" s="6">
        <f>G51*G54</f>
      </c>
      <c r="H55" s="6">
        <f>H51*H54</f>
      </c>
      <c r="I55" s="6">
        <f>I51*I54</f>
      </c>
      <c r="J55" s="6">
        <f>J51*J54</f>
      </c>
      <c r="K55" s="6">
        <f>K51*K54</f>
      </c>
      <c r="L55" s="6">
        <f>L51*L54</f>
      </c>
      <c r="M55" s="6">
        <f>M51*M54</f>
      </c>
    </row>
    <row r="56" spans="2:13">
      <c r="B56" s="5" t="s">
        <v>143</v>
      </c>
      <c r="D56" s="6">
        <f>D53-D55</f>
      </c>
      <c r="E56" s="6">
        <f>E53-E55</f>
      </c>
      <c r="F56" s="6">
        <f>F53-F55</f>
      </c>
      <c r="G56" s="6">
        <f>G53-G55</f>
      </c>
      <c r="H56" s="6">
        <f>H53-H55</f>
      </c>
      <c r="I56" s="6">
        <f>I53-I55</f>
      </c>
      <c r="J56" s="6">
        <f>J53-J55</f>
      </c>
      <c r="K56" s="6">
        <f>K53-K55</f>
      </c>
      <c r="L56" s="6">
        <f>L53-L55</f>
      </c>
      <c r="M56" s="6">
        <f>M53-M55</f>
      </c>
    </row>
    <row r="57" spans="2:13">
      <c r="B57" s="5" t="s">
        <v>93</v>
      </c>
      <c r="D57" s="8">
        <f>1/(1+$D$60)^1</f>
      </c>
      <c r="E57" s="8">
        <f>1/(1+$D$60)^2</f>
      </c>
      <c r="F57" s="8">
        <f>1/(1+$D$60)^3</f>
      </c>
      <c r="G57" s="8">
        <f>1/(1+$D$60)^4</f>
      </c>
      <c r="H57" s="8">
        <f>1/(1+$D$60)^5</f>
      </c>
      <c r="I57" s="8">
        <f>1/(1+$D$60)^6</f>
      </c>
      <c r="J57" s="8">
        <f>1/(1+$D$60)^7</f>
      </c>
      <c r="K57" s="8">
        <f>1/(1+$D$60)^8</f>
      </c>
      <c r="L57" s="8">
        <f>1/(1+$D$60)^9</f>
      </c>
      <c r="M57" s="8">
        <f>1/(1+$D$60)^10</f>
      </c>
    </row>
    <row r="58" spans="2:13">
      <c r="B58" s="5" t="s">
        <v>94</v>
      </c>
      <c r="D58" s="6">
        <f>D56*D57</f>
      </c>
      <c r="E58" s="6">
        <f>E56*E57</f>
      </c>
      <c r="F58" s="6">
        <f>F56*F57</f>
      </c>
      <c r="G58" s="6">
        <f>G56*G57</f>
      </c>
      <c r="H58" s="6">
        <f>H56*H57</f>
      </c>
      <c r="I58" s="6">
        <f>I56*I57</f>
      </c>
      <c r="J58" s="6">
        <f>J56*J57</f>
      </c>
      <c r="K58" s="6">
        <f>K56*K57</f>
      </c>
      <c r="L58" s="6">
        <f>L56*L57</f>
      </c>
      <c r="M58" s="6">
        <f>M56*M57</f>
      </c>
    </row>
    <row r="59" spans="2:13">
      <c r="B59" s="5" t="s">
        <v>81</v>
      </c>
      <c r="D59" s="9">
        <v>0.03</v>
      </c>
    </row>
    <row r="60" spans="2:13">
      <c r="B60" s="5" t="s">
        <v>144</v>
      </c>
      <c r="D60" s="9">
        <v>0.075</v>
      </c>
    </row>
    <row r="61" spans="2:13">
      <c r="B61" s="5" t="s">
        <v>145</v>
      </c>
      <c r="D61" s="6">
        <f>M56*(1+D59)/(D60-D59)</f>
      </c>
    </row>
    <row r="62" spans="2:13">
      <c r="B62" s="5" t="s">
        <v>146</v>
      </c>
      <c r="D62" s="6">
        <f>SUM(D58:M58)+D61/(1+D60)^10</f>
      </c>
    </row>
    <row r="63" spans="2:13">
      <c r="B63" s="5" t="s">
        <v>147</v>
      </c>
      <c r="D63" s="6">
        <f>D62-Valuation!$C$11</f>
      </c>
    </row>
    <row r="64" spans="2:13">
      <c r="B64" s="5" t="s">
        <v>88</v>
      </c>
      <c r="D64" s="4">
        <f>D63/Valuation!$C$6</f>
      </c>
    </row>
    <row r="65" spans="2:4">
      <c r="B65" s="5" t="s">
        <v>148</v>
      </c>
      <c r="D65" s="8">
        <f>POWER(D64/Valuation!$C$4,1/10)-1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5" width="16.7109375" customWidth="1"/>
    <col min="6" max="6" width="30.7109375" customWidth="1"/>
    <col min="7" max="7" width="42.7109375" customWidth="1"/>
    <col min="8" max="11" width="22.7109375" customWidth="1"/>
    <col min="12" max="13" width="42.7109375" customWidth="1"/>
    <col min="14" max="14" width="15.7109375" customWidth="1"/>
  </cols>
  <sheetData>
    <row r="1" spans="1:14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162</v>
      </c>
      <c r="M1" s="2" t="s">
        <v>163</v>
      </c>
      <c r="N1" s="2" t="s">
        <v>164</v>
      </c>
    </row>
    <row r="2" spans="1:14">
      <c r="A2" s="3" t="s">
        <v>45</v>
      </c>
      <c r="B2" s="3" t="s">
        <v>6</v>
      </c>
      <c r="C2" s="6">
        <v>1591.445</v>
      </c>
      <c r="D2" s="3" t="s">
        <v>165</v>
      </c>
      <c r="E2" s="6">
        <v>1591.445</v>
      </c>
      <c r="F2" s="3" t="s">
        <v>166</v>
      </c>
      <c r="G2" s="3" t="s">
        <v>167</v>
      </c>
      <c r="H2" s="6">
        <v>1591.445</v>
      </c>
      <c r="I2" s="3" t="s">
        <v>168</v>
      </c>
      <c r="J2" s="6">
        <v>1591.445</v>
      </c>
      <c r="K2" s="3" t="s">
        <v>169</v>
      </c>
      <c r="L2" s="3" t="s">
        <v>170</v>
      </c>
      <c r="M2" s="3" t="s">
        <v>171</v>
      </c>
      <c r="N2" s="3" t="s">
        <v>172</v>
      </c>
    </row>
    <row r="3" spans="1:14">
      <c r="A3" s="3" t="s">
        <v>45</v>
      </c>
      <c r="B3" s="3" t="s">
        <v>7</v>
      </c>
      <c r="C3" s="6">
        <v>1843.892</v>
      </c>
      <c r="D3" s="3" t="s">
        <v>165</v>
      </c>
      <c r="E3" s="6">
        <v>1843.892</v>
      </c>
      <c r="F3" s="3" t="s">
        <v>166</v>
      </c>
      <c r="G3" s="3" t="s">
        <v>167</v>
      </c>
      <c r="H3" s="6">
        <v>1843.892</v>
      </c>
      <c r="I3" s="3" t="s">
        <v>168</v>
      </c>
      <c r="J3" s="6">
        <v>1843.892</v>
      </c>
      <c r="K3" s="3" t="s">
        <v>169</v>
      </c>
      <c r="L3" s="3" t="s">
        <v>170</v>
      </c>
      <c r="M3" s="3" t="s">
        <v>171</v>
      </c>
      <c r="N3" s="3" t="s">
        <v>173</v>
      </c>
    </row>
    <row r="4" spans="1:14">
      <c r="A4" s="3" t="s">
        <v>45</v>
      </c>
      <c r="B4" s="3" t="s">
        <v>8</v>
      </c>
      <c r="C4" s="6">
        <v>2085.508</v>
      </c>
      <c r="D4" s="3" t="s">
        <v>165</v>
      </c>
      <c r="E4" s="6">
        <v>2085.508</v>
      </c>
      <c r="F4" s="3" t="s">
        <v>166</v>
      </c>
      <c r="G4" s="3" t="s">
        <v>167</v>
      </c>
      <c r="H4" s="6">
        <v>2085.508</v>
      </c>
      <c r="I4" s="3" t="s">
        <v>168</v>
      </c>
      <c r="J4" s="6">
        <v>2085.508</v>
      </c>
      <c r="K4" s="3" t="s">
        <v>169</v>
      </c>
      <c r="L4" s="3" t="s">
        <v>170</v>
      </c>
      <c r="M4" s="3" t="s">
        <v>171</v>
      </c>
      <c r="N4" s="3" t="s">
        <v>174</v>
      </c>
    </row>
    <row r="5" spans="1:14">
      <c r="A5" s="3" t="s">
        <v>45</v>
      </c>
      <c r="B5" s="3" t="s">
        <v>9</v>
      </c>
      <c r="C5" s="6">
        <v>2203.056</v>
      </c>
      <c r="D5" s="3" t="s">
        <v>165</v>
      </c>
      <c r="E5" s="6">
        <v>2203.056</v>
      </c>
      <c r="F5" s="3" t="s">
        <v>166</v>
      </c>
      <c r="G5" s="3" t="s">
        <v>167</v>
      </c>
      <c r="H5" s="6">
        <v>2203.056</v>
      </c>
      <c r="I5" s="3" t="s">
        <v>168</v>
      </c>
      <c r="J5" s="6">
        <v>2203.056</v>
      </c>
      <c r="K5" s="3" t="s">
        <v>169</v>
      </c>
      <c r="L5" s="3" t="s">
        <v>170</v>
      </c>
      <c r="M5" s="3" t="s">
        <v>171</v>
      </c>
      <c r="N5" s="3" t="s">
        <v>175</v>
      </c>
    </row>
    <row r="6" spans="1:14">
      <c r="A6" s="3" t="s">
        <v>45</v>
      </c>
      <c r="B6" s="3" t="s">
        <v>10</v>
      </c>
      <c r="C6" s="6">
        <v>2321.748</v>
      </c>
      <c r="D6" s="3" t="s">
        <v>165</v>
      </c>
      <c r="E6" s="6">
        <v>2321.748</v>
      </c>
      <c r="F6" s="3" t="s">
        <v>166</v>
      </c>
      <c r="G6" s="3" t="s">
        <v>167</v>
      </c>
      <c r="H6" s="6">
        <v>2321.748</v>
      </c>
      <c r="I6" s="3" t="s">
        <v>168</v>
      </c>
      <c r="J6" s="6">
        <v>2321.748</v>
      </c>
      <c r="K6" s="3" t="s">
        <v>169</v>
      </c>
      <c r="L6" s="3" t="s">
        <v>170</v>
      </c>
      <c r="M6" s="3" t="s">
        <v>171</v>
      </c>
      <c r="N6" s="3" t="s">
        <v>176</v>
      </c>
    </row>
    <row r="7" spans="1:14">
      <c r="A7" s="3" t="s">
        <v>45</v>
      </c>
      <c r="B7" s="3" t="s">
        <v>11</v>
      </c>
      <c r="C7" s="6">
        <v>2401.061</v>
      </c>
      <c r="D7" s="3" t="s">
        <v>165</v>
      </c>
      <c r="E7" s="6">
        <v>2401.061</v>
      </c>
      <c r="F7" s="3" t="s">
        <v>166</v>
      </c>
      <c r="G7" s="3" t="s">
        <v>167</v>
      </c>
      <c r="H7" s="6">
        <v>2401.061</v>
      </c>
      <c r="I7" s="3" t="s">
        <v>168</v>
      </c>
      <c r="J7" s="6">
        <v>2401.061</v>
      </c>
      <c r="K7" s="3" t="s">
        <v>169</v>
      </c>
      <c r="L7" s="3" t="s">
        <v>170</v>
      </c>
      <c r="M7" s="3" t="s">
        <v>171</v>
      </c>
      <c r="N7" s="3" t="s">
        <v>177</v>
      </c>
    </row>
    <row r="8" spans="1:14">
      <c r="A8" s="3" t="s">
        <v>49</v>
      </c>
      <c r="B8" s="3" t="s">
        <v>6</v>
      </c>
      <c r="C8" s="6">
        <v>805.05</v>
      </c>
      <c r="D8" s="3" t="s">
        <v>165</v>
      </c>
      <c r="E8" s="6">
        <v>805.05</v>
      </c>
      <c r="F8" s="3" t="s">
        <v>178</v>
      </c>
      <c r="G8" s="3" t="s">
        <v>179</v>
      </c>
      <c r="H8" s="6">
        <v>805.05</v>
      </c>
      <c r="I8" s="3" t="s">
        <v>168</v>
      </c>
      <c r="J8" s="6">
        <v>805.05</v>
      </c>
      <c r="K8" s="3" t="s">
        <v>169</v>
      </c>
      <c r="L8" s="3" t="s">
        <v>170</v>
      </c>
      <c r="M8" s="3" t="s">
        <v>171</v>
      </c>
      <c r="N8" s="3" t="s">
        <v>180</v>
      </c>
    </row>
    <row r="9" spans="1:14">
      <c r="A9" s="3" t="s">
        <v>49</v>
      </c>
      <c r="B9" s="3" t="s">
        <v>7</v>
      </c>
      <c r="C9" s="6">
        <v>972.79</v>
      </c>
      <c r="D9" s="3" t="s">
        <v>165</v>
      </c>
      <c r="E9" s="6">
        <v>972.79</v>
      </c>
      <c r="F9" s="3" t="s">
        <v>178</v>
      </c>
      <c r="G9" s="3" t="s">
        <v>179</v>
      </c>
      <c r="H9" s="6">
        <v>972.79</v>
      </c>
      <c r="I9" s="3" t="s">
        <v>168</v>
      </c>
      <c r="J9" s="6">
        <v>972.79</v>
      </c>
      <c r="K9" s="3" t="s">
        <v>169</v>
      </c>
      <c r="L9" s="3" t="s">
        <v>170</v>
      </c>
      <c r="M9" s="3" t="s">
        <v>171</v>
      </c>
      <c r="N9" s="3" t="s">
        <v>181</v>
      </c>
    </row>
    <row r="10" spans="1:14">
      <c r="A10" s="3" t="s">
        <v>49</v>
      </c>
      <c r="B10" s="3" t="s">
        <v>8</v>
      </c>
      <c r="C10" s="6">
        <v>1112.3</v>
      </c>
      <c r="D10" s="3" t="s">
        <v>165</v>
      </c>
      <c r="E10" s="6">
        <v>1112.3</v>
      </c>
      <c r="F10" s="3" t="s">
        <v>178</v>
      </c>
      <c r="G10" s="3" t="s">
        <v>179</v>
      </c>
      <c r="H10" s="6">
        <v>1112.3</v>
      </c>
      <c r="I10" s="3" t="s">
        <v>168</v>
      </c>
      <c r="J10" s="6">
        <v>1112.3</v>
      </c>
      <c r="K10" s="3" t="s">
        <v>169</v>
      </c>
      <c r="L10" s="3" t="s">
        <v>170</v>
      </c>
      <c r="M10" s="3" t="s">
        <v>171</v>
      </c>
      <c r="N10" s="3" t="s">
        <v>182</v>
      </c>
    </row>
    <row r="11" spans="1:14">
      <c r="A11" s="3" t="s">
        <v>49</v>
      </c>
      <c r="B11" s="3" t="s">
        <v>9</v>
      </c>
      <c r="C11" s="6">
        <v>1191.1</v>
      </c>
      <c r="D11" s="3" t="s">
        <v>165</v>
      </c>
      <c r="E11" s="6">
        <v>1191.1</v>
      </c>
      <c r="F11" s="3" t="s">
        <v>178</v>
      </c>
      <c r="G11" s="3" t="s">
        <v>179</v>
      </c>
      <c r="H11" s="6">
        <v>1191.1</v>
      </c>
      <c r="I11" s="3" t="s">
        <v>168</v>
      </c>
      <c r="J11" s="6">
        <v>1191.1</v>
      </c>
      <c r="K11" s="3" t="s">
        <v>169</v>
      </c>
      <c r="L11" s="3" t="s">
        <v>170</v>
      </c>
      <c r="M11" s="3" t="s">
        <v>171</v>
      </c>
      <c r="N11" s="3" t="s">
        <v>183</v>
      </c>
    </row>
    <row r="12" spans="1:14">
      <c r="A12" s="3" t="s">
        <v>49</v>
      </c>
      <c r="B12" s="3" t="s">
        <v>10</v>
      </c>
      <c r="C12" s="6">
        <v>1224</v>
      </c>
      <c r="D12" s="3" t="s">
        <v>165</v>
      </c>
      <c r="E12" s="6">
        <v>1224</v>
      </c>
      <c r="F12" s="3" t="s">
        <v>178</v>
      </c>
      <c r="G12" s="3" t="s">
        <v>179</v>
      </c>
      <c r="H12" s="6">
        <v>1224</v>
      </c>
      <c r="I12" s="3" t="s">
        <v>168</v>
      </c>
      <c r="J12" s="6">
        <v>1224</v>
      </c>
      <c r="K12" s="3" t="s">
        <v>169</v>
      </c>
      <c r="L12" s="3" t="s">
        <v>170</v>
      </c>
      <c r="M12" s="3" t="s">
        <v>171</v>
      </c>
      <c r="N12" s="3" t="s">
        <v>184</v>
      </c>
    </row>
    <row r="13" spans="1:14">
      <c r="A13" s="3" t="s">
        <v>49</v>
      </c>
      <c r="B13" s="3" t="s">
        <v>11</v>
      </c>
      <c r="C13" s="6">
        <v>1247</v>
      </c>
      <c r="D13" s="3" t="s">
        <v>165</v>
      </c>
      <c r="E13" s="6">
        <v>1247</v>
      </c>
      <c r="F13" s="3" t="s">
        <v>178</v>
      </c>
      <c r="G13" s="3" t="s">
        <v>179</v>
      </c>
      <c r="H13" s="6">
        <v>1247</v>
      </c>
      <c r="I13" s="3" t="s">
        <v>168</v>
      </c>
      <c r="J13" s="6">
        <v>1247</v>
      </c>
      <c r="K13" s="3" t="s">
        <v>169</v>
      </c>
      <c r="L13" s="3" t="s">
        <v>170</v>
      </c>
      <c r="M13" s="3" t="s">
        <v>171</v>
      </c>
      <c r="N13" s="3" t="s">
        <v>185</v>
      </c>
    </row>
    <row r="14" spans="1:14">
      <c r="A14" s="3" t="s">
        <v>56</v>
      </c>
      <c r="B14" s="3" t="s">
        <v>6</v>
      </c>
      <c r="C14" s="6">
        <v>474.041</v>
      </c>
      <c r="D14" s="3" t="s">
        <v>165</v>
      </c>
      <c r="E14" s="6">
        <v>474.041</v>
      </c>
      <c r="F14" s="3" t="s">
        <v>166</v>
      </c>
      <c r="G14" s="3" t="s">
        <v>186</v>
      </c>
      <c r="H14" s="6">
        <v>474.041</v>
      </c>
      <c r="I14" s="3" t="s">
        <v>168</v>
      </c>
      <c r="J14" s="6">
        <v>474.041</v>
      </c>
      <c r="K14" s="3" t="s">
        <v>169</v>
      </c>
      <c r="L14" s="3" t="s">
        <v>170</v>
      </c>
      <c r="M14" s="3" t="s">
        <v>171</v>
      </c>
      <c r="N14" s="3" t="s">
        <v>187</v>
      </c>
    </row>
    <row r="15" spans="1:14">
      <c r="A15" s="3" t="s">
        <v>56</v>
      </c>
      <c r="B15" s="3" t="s">
        <v>7</v>
      </c>
      <c r="C15" s="6">
        <v>475.482</v>
      </c>
      <c r="D15" s="3" t="s">
        <v>165</v>
      </c>
      <c r="E15" s="6">
        <v>475.482</v>
      </c>
      <c r="F15" s="3" t="s">
        <v>166</v>
      </c>
      <c r="G15" s="3" t="s">
        <v>186</v>
      </c>
      <c r="H15" s="6">
        <v>475.482</v>
      </c>
      <c r="I15" s="3" t="s">
        <v>168</v>
      </c>
      <c r="J15" s="6">
        <v>475.482</v>
      </c>
      <c r="K15" s="3" t="s">
        <v>169</v>
      </c>
      <c r="L15" s="3" t="s">
        <v>170</v>
      </c>
      <c r="M15" s="3" t="s">
        <v>171</v>
      </c>
      <c r="N15" s="3" t="s">
        <v>188</v>
      </c>
    </row>
    <row r="16" spans="1:14">
      <c r="A16" s="3" t="s">
        <v>56</v>
      </c>
      <c r="B16" s="3" t="s">
        <v>8</v>
      </c>
      <c r="C16" s="6">
        <v>629.207</v>
      </c>
      <c r="D16" s="3" t="s">
        <v>165</v>
      </c>
      <c r="E16" s="6">
        <v>629.207</v>
      </c>
      <c r="F16" s="3" t="s">
        <v>166</v>
      </c>
      <c r="G16" s="3" t="s">
        <v>186</v>
      </c>
      <c r="H16" s="6">
        <v>629.207</v>
      </c>
      <c r="I16" s="3" t="s">
        <v>168</v>
      </c>
      <c r="J16" s="6">
        <v>629.207</v>
      </c>
      <c r="K16" s="3" t="s">
        <v>169</v>
      </c>
      <c r="L16" s="3" t="s">
        <v>170</v>
      </c>
      <c r="M16" s="3" t="s">
        <v>171</v>
      </c>
      <c r="N16" s="3" t="s">
        <v>189</v>
      </c>
    </row>
    <row r="17" spans="1:14">
      <c r="A17" s="3" t="s">
        <v>56</v>
      </c>
      <c r="B17" s="3" t="s">
        <v>9</v>
      </c>
      <c r="C17" s="6">
        <v>701.299</v>
      </c>
      <c r="D17" s="3" t="s">
        <v>165</v>
      </c>
      <c r="E17" s="6">
        <v>701.299</v>
      </c>
      <c r="F17" s="3" t="s">
        <v>166</v>
      </c>
      <c r="G17" s="3" t="s">
        <v>186</v>
      </c>
      <c r="H17" s="6">
        <v>701.299</v>
      </c>
      <c r="I17" s="3" t="s">
        <v>168</v>
      </c>
      <c r="J17" s="6">
        <v>701.299</v>
      </c>
      <c r="K17" s="3" t="s">
        <v>169</v>
      </c>
      <c r="L17" s="3" t="s">
        <v>170</v>
      </c>
      <c r="M17" s="3" t="s">
        <v>171</v>
      </c>
      <c r="N17" s="3" t="s">
        <v>190</v>
      </c>
    </row>
    <row r="18" spans="1:14">
      <c r="A18" s="3" t="s">
        <v>56</v>
      </c>
      <c r="B18" s="3" t="s">
        <v>10</v>
      </c>
      <c r="C18" s="6">
        <v>748.303</v>
      </c>
      <c r="D18" s="3" t="s">
        <v>165</v>
      </c>
      <c r="E18" s="6">
        <v>748.303</v>
      </c>
      <c r="F18" s="3" t="s">
        <v>166</v>
      </c>
      <c r="G18" s="3" t="s">
        <v>186</v>
      </c>
      <c r="H18" s="6">
        <v>748.303</v>
      </c>
      <c r="I18" s="3" t="s">
        <v>168</v>
      </c>
      <c r="J18" s="6">
        <v>748.303</v>
      </c>
      <c r="K18" s="3" t="s">
        <v>169</v>
      </c>
      <c r="L18" s="3" t="s">
        <v>170</v>
      </c>
      <c r="M18" s="3" t="s">
        <v>171</v>
      </c>
      <c r="N18" s="3" t="s">
        <v>191</v>
      </c>
    </row>
    <row r="19" spans="1:14">
      <c r="A19" s="3" t="s">
        <v>56</v>
      </c>
      <c r="B19" s="3" t="s">
        <v>11</v>
      </c>
      <c r="C19" s="6">
        <v>748.508</v>
      </c>
      <c r="D19" s="3" t="s">
        <v>165</v>
      </c>
      <c r="E19" s="6">
        <v>748.508</v>
      </c>
      <c r="F19" s="3" t="s">
        <v>166</v>
      </c>
      <c r="G19" s="3" t="s">
        <v>186</v>
      </c>
      <c r="H19" s="6">
        <v>748.508</v>
      </c>
      <c r="I19" s="3" t="s">
        <v>168</v>
      </c>
      <c r="J19" s="6">
        <v>748.508</v>
      </c>
      <c r="K19" s="3" t="s">
        <v>169</v>
      </c>
      <c r="L19" s="3" t="s">
        <v>170</v>
      </c>
      <c r="M19" s="3" t="s">
        <v>171</v>
      </c>
      <c r="N19" s="3" t="s">
        <v>192</v>
      </c>
    </row>
    <row r="20" spans="1:14">
      <c r="A20" s="3" t="s">
        <v>63</v>
      </c>
      <c r="B20" s="3" t="s">
        <v>6</v>
      </c>
      <c r="C20" s="6">
        <v>399.59</v>
      </c>
      <c r="D20" s="3" t="s">
        <v>165</v>
      </c>
      <c r="E20" s="6">
        <v>399.59</v>
      </c>
      <c r="F20" s="3" t="s">
        <v>166</v>
      </c>
      <c r="G20" s="3" t="s">
        <v>193</v>
      </c>
      <c r="H20" s="6">
        <v>399.59</v>
      </c>
      <c r="I20" s="3" t="s">
        <v>168</v>
      </c>
      <c r="J20" s="6">
        <v>399.59</v>
      </c>
      <c r="K20" s="3" t="s">
        <v>169</v>
      </c>
      <c r="L20" s="3" t="s">
        <v>170</v>
      </c>
      <c r="M20" s="3" t="s">
        <v>171</v>
      </c>
      <c r="N20" s="3" t="s">
        <v>194</v>
      </c>
    </row>
    <row r="21" spans="1:14">
      <c r="A21" s="3" t="s">
        <v>63</v>
      </c>
      <c r="B21" s="3" t="s">
        <v>7</v>
      </c>
      <c r="C21" s="6">
        <v>396.917</v>
      </c>
      <c r="D21" s="3" t="s">
        <v>165</v>
      </c>
      <c r="E21" s="6">
        <v>396.917</v>
      </c>
      <c r="F21" s="3" t="s">
        <v>166</v>
      </c>
      <c r="G21" s="3" t="s">
        <v>193</v>
      </c>
      <c r="H21" s="6">
        <v>396.917</v>
      </c>
      <c r="I21" s="3" t="s">
        <v>168</v>
      </c>
      <c r="J21" s="6">
        <v>396.917</v>
      </c>
      <c r="K21" s="3" t="s">
        <v>169</v>
      </c>
      <c r="L21" s="3" t="s">
        <v>170</v>
      </c>
      <c r="M21" s="3" t="s">
        <v>171</v>
      </c>
      <c r="N21" s="3" t="s">
        <v>195</v>
      </c>
    </row>
    <row r="22" spans="1:14">
      <c r="A22" s="3" t="s">
        <v>63</v>
      </c>
      <c r="B22" s="3" t="s">
        <v>8</v>
      </c>
      <c r="C22" s="6">
        <v>468.173</v>
      </c>
      <c r="D22" s="3" t="s">
        <v>165</v>
      </c>
      <c r="E22" s="6">
        <v>468.173</v>
      </c>
      <c r="F22" s="3" t="s">
        <v>166</v>
      </c>
      <c r="G22" s="3" t="s">
        <v>193</v>
      </c>
      <c r="H22" s="6">
        <v>468.173</v>
      </c>
      <c r="I22" s="3" t="s">
        <v>168</v>
      </c>
      <c r="J22" s="6">
        <v>468.173</v>
      </c>
      <c r="K22" s="3" t="s">
        <v>169</v>
      </c>
      <c r="L22" s="3" t="s">
        <v>170</v>
      </c>
      <c r="M22" s="3" t="s">
        <v>171</v>
      </c>
      <c r="N22" s="3" t="s">
        <v>196</v>
      </c>
    </row>
    <row r="23" spans="1:14">
      <c r="A23" s="3" t="s">
        <v>63</v>
      </c>
      <c r="B23" s="3" t="s">
        <v>9</v>
      </c>
      <c r="C23" s="6">
        <v>537.126</v>
      </c>
      <c r="D23" s="3" t="s">
        <v>165</v>
      </c>
      <c r="E23" s="6">
        <v>537.126</v>
      </c>
      <c r="F23" s="3" t="s">
        <v>166</v>
      </c>
      <c r="G23" s="3" t="s">
        <v>193</v>
      </c>
      <c r="H23" s="6">
        <v>537.126</v>
      </c>
      <c r="I23" s="3" t="s">
        <v>168</v>
      </c>
      <c r="J23" s="6">
        <v>537.126</v>
      </c>
      <c r="K23" s="3" t="s">
        <v>169</v>
      </c>
      <c r="L23" s="3" t="s">
        <v>170</v>
      </c>
      <c r="M23" s="3" t="s">
        <v>171</v>
      </c>
      <c r="N23" s="3" t="s">
        <v>197</v>
      </c>
    </row>
    <row r="24" spans="1:14">
      <c r="A24" s="3" t="s">
        <v>63</v>
      </c>
      <c r="B24" s="3" t="s">
        <v>10</v>
      </c>
      <c r="C24" s="6">
        <v>597.04</v>
      </c>
      <c r="D24" s="3" t="s">
        <v>165</v>
      </c>
      <c r="E24" s="6">
        <v>597.04</v>
      </c>
      <c r="F24" s="3" t="s">
        <v>166</v>
      </c>
      <c r="G24" s="3" t="s">
        <v>193</v>
      </c>
      <c r="H24" s="6">
        <v>597.04</v>
      </c>
      <c r="I24" s="3" t="s">
        <v>168</v>
      </c>
      <c r="J24" s="6">
        <v>597.04</v>
      </c>
      <c r="K24" s="3" t="s">
        <v>169</v>
      </c>
      <c r="L24" s="3" t="s">
        <v>170</v>
      </c>
      <c r="M24" s="3" t="s">
        <v>171</v>
      </c>
      <c r="N24" s="3" t="s">
        <v>198</v>
      </c>
    </row>
    <row r="25" spans="1:14">
      <c r="A25" s="3" t="s">
        <v>63</v>
      </c>
      <c r="B25" s="3" t="s">
        <v>11</v>
      </c>
      <c r="C25" s="6">
        <v>587.794</v>
      </c>
      <c r="D25" s="3" t="s">
        <v>165</v>
      </c>
      <c r="E25" s="6">
        <v>587.794</v>
      </c>
      <c r="F25" s="3" t="s">
        <v>166</v>
      </c>
      <c r="G25" s="3" t="s">
        <v>193</v>
      </c>
      <c r="H25" s="6">
        <v>587.794</v>
      </c>
      <c r="I25" s="3" t="s">
        <v>168</v>
      </c>
      <c r="J25" s="6">
        <v>587.794</v>
      </c>
      <c r="K25" s="3" t="s">
        <v>169</v>
      </c>
      <c r="L25" s="3" t="s">
        <v>170</v>
      </c>
      <c r="M25" s="3" t="s">
        <v>171</v>
      </c>
      <c r="N25" s="3" t="s">
        <v>199</v>
      </c>
    </row>
    <row r="26" spans="1:14">
      <c r="A26" s="3" t="s">
        <v>67</v>
      </c>
      <c r="B26" s="3" t="s">
        <v>6</v>
      </c>
      <c r="C26" s="6">
        <v>555.226</v>
      </c>
      <c r="D26" s="3" t="s">
        <v>165</v>
      </c>
      <c r="E26" s="6">
        <v>555.226</v>
      </c>
      <c r="F26" s="3" t="s">
        <v>200</v>
      </c>
      <c r="G26" s="3" t="s">
        <v>201</v>
      </c>
      <c r="H26" s="6">
        <v>555.226</v>
      </c>
      <c r="I26" s="3" t="s">
        <v>202</v>
      </c>
      <c r="J26" s="6">
        <v>555.226</v>
      </c>
      <c r="K26" s="3" t="s">
        <v>169</v>
      </c>
      <c r="L26" s="3" t="s">
        <v>170</v>
      </c>
      <c r="M26" s="3" t="s">
        <v>171</v>
      </c>
      <c r="N26" s="3" t="s">
        <v>203</v>
      </c>
    </row>
    <row r="27" spans="1:14">
      <c r="A27" s="3" t="s">
        <v>67</v>
      </c>
      <c r="B27" s="3" t="s">
        <v>7</v>
      </c>
      <c r="C27" s="6">
        <v>538.277</v>
      </c>
      <c r="D27" s="3" t="s">
        <v>165</v>
      </c>
      <c r="E27" s="6">
        <v>538.277</v>
      </c>
      <c r="F27" s="3" t="s">
        <v>200</v>
      </c>
      <c r="G27" s="3" t="s">
        <v>201</v>
      </c>
      <c r="H27" s="6">
        <v>538.277</v>
      </c>
      <c r="I27" s="3" t="s">
        <v>202</v>
      </c>
      <c r="J27" s="6">
        <v>538.277</v>
      </c>
      <c r="K27" s="3" t="s">
        <v>169</v>
      </c>
      <c r="L27" s="3" t="s">
        <v>170</v>
      </c>
      <c r="M27" s="3" t="s">
        <v>171</v>
      </c>
      <c r="N27" s="3" t="s">
        <v>204</v>
      </c>
    </row>
    <row r="28" spans="1:14">
      <c r="A28" s="3" t="s">
        <v>67</v>
      </c>
      <c r="B28" s="3" t="s">
        <v>8</v>
      </c>
      <c r="C28" s="6">
        <v>645.573</v>
      </c>
      <c r="D28" s="3" t="s">
        <v>165</v>
      </c>
      <c r="E28" s="6">
        <v>645.573</v>
      </c>
      <c r="F28" s="3" t="s">
        <v>200</v>
      </c>
      <c r="G28" s="3" t="s">
        <v>201</v>
      </c>
      <c r="H28" s="6">
        <v>645.573</v>
      </c>
      <c r="I28" s="3" t="s">
        <v>202</v>
      </c>
      <c r="J28" s="6">
        <v>645.573</v>
      </c>
      <c r="K28" s="3" t="s">
        <v>169</v>
      </c>
      <c r="L28" s="3" t="s">
        <v>170</v>
      </c>
      <c r="M28" s="3" t="s">
        <v>171</v>
      </c>
      <c r="N28" s="3" t="s">
        <v>205</v>
      </c>
    </row>
    <row r="29" spans="1:14">
      <c r="A29" s="3" t="s">
        <v>67</v>
      </c>
      <c r="B29" s="3" t="s">
        <v>9</v>
      </c>
      <c r="C29" s="6">
        <v>700.338</v>
      </c>
      <c r="D29" s="3" t="s">
        <v>165</v>
      </c>
      <c r="E29" s="6">
        <v>700.338</v>
      </c>
      <c r="F29" s="3" t="s">
        <v>200</v>
      </c>
      <c r="G29" s="3" t="s">
        <v>201</v>
      </c>
      <c r="H29" s="6">
        <v>700.338</v>
      </c>
      <c r="I29" s="3" t="s">
        <v>202</v>
      </c>
      <c r="J29" s="6">
        <v>700.338</v>
      </c>
      <c r="K29" s="3" t="s">
        <v>169</v>
      </c>
      <c r="L29" s="3" t="s">
        <v>170</v>
      </c>
      <c r="M29" s="3" t="s">
        <v>171</v>
      </c>
      <c r="N29" s="3" t="s">
        <v>206</v>
      </c>
    </row>
    <row r="30" spans="1:14">
      <c r="A30" s="3" t="s">
        <v>67</v>
      </c>
      <c r="B30" s="3" t="s">
        <v>10</v>
      </c>
      <c r="C30" s="6">
        <v>726.26</v>
      </c>
      <c r="D30" s="3" t="s">
        <v>165</v>
      </c>
      <c r="E30" s="6">
        <v>726.26</v>
      </c>
      <c r="F30" s="3" t="s">
        <v>200</v>
      </c>
      <c r="G30" s="3" t="s">
        <v>201</v>
      </c>
      <c r="H30" s="6">
        <v>726.26</v>
      </c>
      <c r="I30" s="3" t="s">
        <v>202</v>
      </c>
      <c r="J30" s="6">
        <v>726.26</v>
      </c>
      <c r="K30" s="3" t="s">
        <v>169</v>
      </c>
      <c r="L30" s="3" t="s">
        <v>170</v>
      </c>
      <c r="M30" s="3" t="s">
        <v>171</v>
      </c>
      <c r="N30" s="3" t="s">
        <v>207</v>
      </c>
    </row>
    <row r="31" spans="1:14">
      <c r="A31" s="3" t="s">
        <v>67</v>
      </c>
      <c r="B31" s="3" t="s">
        <v>11</v>
      </c>
      <c r="C31" s="6">
        <v>798.905</v>
      </c>
      <c r="D31" s="3" t="s">
        <v>165</v>
      </c>
      <c r="E31" s="6">
        <v>798.905</v>
      </c>
      <c r="F31" s="3" t="s">
        <v>200</v>
      </c>
      <c r="G31" s="3" t="s">
        <v>201</v>
      </c>
      <c r="H31" s="6">
        <v>798.905</v>
      </c>
      <c r="I31" s="3" t="s">
        <v>202</v>
      </c>
      <c r="J31" s="6">
        <v>798.905</v>
      </c>
      <c r="K31" s="3" t="s">
        <v>169</v>
      </c>
      <c r="L31" s="3" t="s">
        <v>170</v>
      </c>
      <c r="M31" s="3" t="s">
        <v>171</v>
      </c>
      <c r="N31" s="3" t="s">
        <v>208</v>
      </c>
    </row>
    <row r="32" spans="1:14">
      <c r="A32" s="3" t="s">
        <v>68</v>
      </c>
      <c r="B32" s="3" t="s">
        <v>6</v>
      </c>
      <c r="C32" s="6">
        <v>-61.325</v>
      </c>
      <c r="D32" s="3" t="s">
        <v>165</v>
      </c>
      <c r="E32" s="6">
        <v>61.325</v>
      </c>
      <c r="F32" s="3" t="s">
        <v>209</v>
      </c>
      <c r="G32" s="3" t="s">
        <v>210</v>
      </c>
      <c r="H32" s="6">
        <v>-61.325</v>
      </c>
      <c r="I32" s="3" t="s">
        <v>202</v>
      </c>
      <c r="J32" s="6">
        <v>-61.325</v>
      </c>
      <c r="K32" s="3" t="s">
        <v>169</v>
      </c>
      <c r="L32" s="3" t="s">
        <v>211</v>
      </c>
      <c r="M32" s="3" t="s">
        <v>212</v>
      </c>
      <c r="N32" s="3" t="s">
        <v>213</v>
      </c>
    </row>
    <row r="33" spans="1:14">
      <c r="A33" s="3" t="s">
        <v>68</v>
      </c>
      <c r="B33" s="3" t="s">
        <v>7</v>
      </c>
      <c r="C33" s="6">
        <v>-51.156</v>
      </c>
      <c r="D33" s="3" t="s">
        <v>165</v>
      </c>
      <c r="E33" s="6">
        <v>51.156</v>
      </c>
      <c r="F33" s="3" t="s">
        <v>209</v>
      </c>
      <c r="G33" s="3" t="s">
        <v>210</v>
      </c>
      <c r="H33" s="6">
        <v>-51.156</v>
      </c>
      <c r="I33" s="3" t="s">
        <v>202</v>
      </c>
      <c r="J33" s="6">
        <v>-51.156</v>
      </c>
      <c r="K33" s="3" t="s">
        <v>169</v>
      </c>
      <c r="L33" s="3" t="s">
        <v>211</v>
      </c>
      <c r="M33" s="3" t="s">
        <v>212</v>
      </c>
      <c r="N33" s="3" t="s">
        <v>214</v>
      </c>
    </row>
    <row r="34" spans="1:14">
      <c r="A34" s="3" t="s">
        <v>68</v>
      </c>
      <c r="B34" s="3" t="s">
        <v>8</v>
      </c>
      <c r="C34" s="6">
        <v>-60.786</v>
      </c>
      <c r="D34" s="3" t="s">
        <v>165</v>
      </c>
      <c r="E34" s="6">
        <v>60.786</v>
      </c>
      <c r="F34" s="3" t="s">
        <v>209</v>
      </c>
      <c r="G34" s="3" t="s">
        <v>210</v>
      </c>
      <c r="H34" s="6">
        <v>-60.786</v>
      </c>
      <c r="I34" s="3" t="s">
        <v>202</v>
      </c>
      <c r="J34" s="6">
        <v>-60.786</v>
      </c>
      <c r="K34" s="3" t="s">
        <v>169</v>
      </c>
      <c r="L34" s="3" t="s">
        <v>211</v>
      </c>
      <c r="M34" s="3" t="s">
        <v>212</v>
      </c>
      <c r="N34" s="3" t="s">
        <v>215</v>
      </c>
    </row>
    <row r="35" spans="1:14">
      <c r="A35" s="3" t="s">
        <v>68</v>
      </c>
      <c r="B35" s="3" t="s">
        <v>9</v>
      </c>
      <c r="C35" s="6">
        <v>-85.681</v>
      </c>
      <c r="D35" s="3" t="s">
        <v>165</v>
      </c>
      <c r="E35" s="6">
        <v>85.681</v>
      </c>
      <c r="F35" s="3" t="s">
        <v>209</v>
      </c>
      <c r="G35" s="3" t="s">
        <v>210</v>
      </c>
      <c r="H35" s="6">
        <v>-85.681</v>
      </c>
      <c r="I35" s="3" t="s">
        <v>202</v>
      </c>
      <c r="J35" s="6">
        <v>-85.681</v>
      </c>
      <c r="K35" s="3" t="s">
        <v>169</v>
      </c>
      <c r="L35" s="3" t="s">
        <v>211</v>
      </c>
      <c r="M35" s="3" t="s">
        <v>212</v>
      </c>
      <c r="N35" s="3" t="s">
        <v>216</v>
      </c>
    </row>
    <row r="36" spans="1:14">
      <c r="A36" s="3" t="s">
        <v>68</v>
      </c>
      <c r="B36" s="3" t="s">
        <v>10</v>
      </c>
      <c r="C36" s="6">
        <v>-108.806</v>
      </c>
      <c r="D36" s="3" t="s">
        <v>165</v>
      </c>
      <c r="E36" s="6">
        <v>108.806</v>
      </c>
      <c r="F36" s="3" t="s">
        <v>209</v>
      </c>
      <c r="G36" s="3" t="s">
        <v>210</v>
      </c>
      <c r="H36" s="6">
        <v>-108.806</v>
      </c>
      <c r="I36" s="3" t="s">
        <v>202</v>
      </c>
      <c r="J36" s="6">
        <v>-108.806</v>
      </c>
      <c r="K36" s="3" t="s">
        <v>169</v>
      </c>
      <c r="L36" s="3" t="s">
        <v>211</v>
      </c>
      <c r="M36" s="3" t="s">
        <v>212</v>
      </c>
      <c r="N36" s="3" t="s">
        <v>217</v>
      </c>
    </row>
    <row r="37" spans="1:14">
      <c r="A37" s="3" t="s">
        <v>68</v>
      </c>
      <c r="B37" s="3" t="s">
        <v>11</v>
      </c>
      <c r="C37" s="6">
        <v>-116.04</v>
      </c>
      <c r="D37" s="3" t="s">
        <v>165</v>
      </c>
      <c r="E37" s="6">
        <v>116.04</v>
      </c>
      <c r="F37" s="3" t="s">
        <v>209</v>
      </c>
      <c r="G37" s="3" t="s">
        <v>210</v>
      </c>
      <c r="H37" s="6">
        <v>-116.04</v>
      </c>
      <c r="I37" s="3" t="s">
        <v>202</v>
      </c>
      <c r="J37" s="6">
        <v>-116.04</v>
      </c>
      <c r="K37" s="3" t="s">
        <v>169</v>
      </c>
      <c r="L37" s="3" t="s">
        <v>211</v>
      </c>
      <c r="M37" s="3" t="s">
        <v>212</v>
      </c>
      <c r="N37" s="3" t="s">
        <v>218</v>
      </c>
    </row>
    <row r="38" spans="1:14">
      <c r="A38" s="3" t="s">
        <v>69</v>
      </c>
      <c r="B38" s="3" t="s">
        <v>6</v>
      </c>
      <c r="C38" s="6">
        <v>493.901</v>
      </c>
      <c r="D38" s="3" t="s">
        <v>165</v>
      </c>
      <c r="E38" s="6">
        <v>493.901</v>
      </c>
      <c r="F38" s="3" t="s">
        <v>219</v>
      </c>
      <c r="G38" s="3" t="s">
        <v>220</v>
      </c>
      <c r="H38" s="6">
        <v>493.901</v>
      </c>
      <c r="I38" s="3" t="s">
        <v>202</v>
      </c>
      <c r="J38" s="6">
        <v>493.901</v>
      </c>
      <c r="K38" s="3" t="s">
        <v>169</v>
      </c>
      <c r="L38" s="3" t="s">
        <v>170</v>
      </c>
      <c r="M38" s="3" t="s">
        <v>171</v>
      </c>
      <c r="N38" s="3" t="s">
        <v>221</v>
      </c>
    </row>
    <row r="39" spans="1:14">
      <c r="A39" s="3" t="s">
        <v>69</v>
      </c>
      <c r="B39" s="3" t="s">
        <v>7</v>
      </c>
      <c r="C39" s="6">
        <v>487.121</v>
      </c>
      <c r="D39" s="3" t="s">
        <v>165</v>
      </c>
      <c r="E39" s="6">
        <v>487.121</v>
      </c>
      <c r="F39" s="3" t="s">
        <v>219</v>
      </c>
      <c r="G39" s="3" t="s">
        <v>220</v>
      </c>
      <c r="H39" s="6">
        <v>487.121</v>
      </c>
      <c r="I39" s="3" t="s">
        <v>202</v>
      </c>
      <c r="J39" s="6">
        <v>487.121</v>
      </c>
      <c r="K39" s="3" t="s">
        <v>169</v>
      </c>
      <c r="L39" s="3" t="s">
        <v>170</v>
      </c>
      <c r="M39" s="3" t="s">
        <v>171</v>
      </c>
      <c r="N39" s="3" t="s">
        <v>222</v>
      </c>
    </row>
    <row r="40" spans="1:14">
      <c r="A40" s="3" t="s">
        <v>69</v>
      </c>
      <c r="B40" s="3" t="s">
        <v>8</v>
      </c>
      <c r="C40" s="6">
        <v>584.787</v>
      </c>
      <c r="D40" s="3" t="s">
        <v>165</v>
      </c>
      <c r="E40" s="6">
        <v>584.787</v>
      </c>
      <c r="F40" s="3" t="s">
        <v>219</v>
      </c>
      <c r="G40" s="3" t="s">
        <v>220</v>
      </c>
      <c r="H40" s="6">
        <v>584.787</v>
      </c>
      <c r="I40" s="3" t="s">
        <v>202</v>
      </c>
      <c r="J40" s="6">
        <v>584.787</v>
      </c>
      <c r="K40" s="3" t="s">
        <v>169</v>
      </c>
      <c r="L40" s="3" t="s">
        <v>170</v>
      </c>
      <c r="M40" s="3" t="s">
        <v>171</v>
      </c>
      <c r="N40" s="3" t="s">
        <v>223</v>
      </c>
    </row>
    <row r="41" spans="1:14">
      <c r="A41" s="3" t="s">
        <v>69</v>
      </c>
      <c r="B41" s="3" t="s">
        <v>9</v>
      </c>
      <c r="C41" s="6">
        <v>614.657</v>
      </c>
      <c r="D41" s="3" t="s">
        <v>165</v>
      </c>
      <c r="E41" s="6">
        <v>614.657</v>
      </c>
      <c r="F41" s="3" t="s">
        <v>219</v>
      </c>
      <c r="G41" s="3" t="s">
        <v>220</v>
      </c>
      <c r="H41" s="6">
        <v>614.657</v>
      </c>
      <c r="I41" s="3" t="s">
        <v>202</v>
      </c>
      <c r="J41" s="6">
        <v>614.657</v>
      </c>
      <c r="K41" s="3" t="s">
        <v>169</v>
      </c>
      <c r="L41" s="3" t="s">
        <v>170</v>
      </c>
      <c r="M41" s="3" t="s">
        <v>171</v>
      </c>
      <c r="N41" s="3" t="s">
        <v>224</v>
      </c>
    </row>
    <row r="42" spans="1:14">
      <c r="A42" s="3" t="s">
        <v>69</v>
      </c>
      <c r="B42" s="3" t="s">
        <v>10</v>
      </c>
      <c r="C42" s="6">
        <v>617.454</v>
      </c>
      <c r="D42" s="3" t="s">
        <v>165</v>
      </c>
      <c r="E42" s="6">
        <v>617.454</v>
      </c>
      <c r="F42" s="3" t="s">
        <v>219</v>
      </c>
      <c r="G42" s="3" t="s">
        <v>220</v>
      </c>
      <c r="H42" s="6">
        <v>617.454</v>
      </c>
      <c r="I42" s="3" t="s">
        <v>202</v>
      </c>
      <c r="J42" s="6">
        <v>617.454</v>
      </c>
      <c r="K42" s="3" t="s">
        <v>169</v>
      </c>
      <c r="L42" s="3" t="s">
        <v>170</v>
      </c>
      <c r="M42" s="3" t="s">
        <v>171</v>
      </c>
      <c r="N42" s="3" t="s">
        <v>225</v>
      </c>
    </row>
    <row r="43" spans="1:14">
      <c r="A43" s="3" t="s">
        <v>69</v>
      </c>
      <c r="B43" s="3" t="s">
        <v>11</v>
      </c>
      <c r="C43" s="6">
        <v>682.865</v>
      </c>
      <c r="D43" s="3" t="s">
        <v>165</v>
      </c>
      <c r="E43" s="6">
        <v>682.865</v>
      </c>
      <c r="F43" s="3" t="s">
        <v>219</v>
      </c>
      <c r="G43" s="3" t="s">
        <v>220</v>
      </c>
      <c r="H43" s="6">
        <v>682.865</v>
      </c>
      <c r="I43" s="3" t="s">
        <v>202</v>
      </c>
      <c r="J43" s="6">
        <v>682.865</v>
      </c>
      <c r="K43" s="3" t="s">
        <v>169</v>
      </c>
      <c r="L43" s="3" t="s">
        <v>170</v>
      </c>
      <c r="M43" s="3" t="s">
        <v>171</v>
      </c>
      <c r="N43" s="3" t="s">
        <v>226</v>
      </c>
    </row>
    <row r="44" spans="1:14">
      <c r="A44" s="3" t="s">
        <v>71</v>
      </c>
      <c r="B44" s="3" t="s">
        <v>6</v>
      </c>
      <c r="C44" s="6">
        <v>45.065</v>
      </c>
      <c r="D44" s="3" t="s">
        <v>165</v>
      </c>
      <c r="E44" s="6">
        <v>45.065</v>
      </c>
      <c r="F44" s="3" t="s">
        <v>200</v>
      </c>
      <c r="G44" s="3" t="s">
        <v>227</v>
      </c>
      <c r="H44" s="6">
        <v>45.065</v>
      </c>
      <c r="I44" s="3" t="s">
        <v>202</v>
      </c>
      <c r="J44" s="6">
        <v>45.065</v>
      </c>
      <c r="K44" s="3" t="s">
        <v>169</v>
      </c>
      <c r="L44" s="3" t="s">
        <v>170</v>
      </c>
      <c r="M44" s="3" t="s">
        <v>171</v>
      </c>
      <c r="N44" s="3" t="s">
        <v>228</v>
      </c>
    </row>
    <row r="45" spans="1:14">
      <c r="A45" s="3" t="s">
        <v>71</v>
      </c>
      <c r="B45" s="3" t="s">
        <v>7</v>
      </c>
      <c r="C45" s="6">
        <v>56.003</v>
      </c>
      <c r="D45" s="3" t="s">
        <v>165</v>
      </c>
      <c r="E45" s="6">
        <v>56.003</v>
      </c>
      <c r="F45" s="3" t="s">
        <v>200</v>
      </c>
      <c r="G45" s="3" t="s">
        <v>227</v>
      </c>
      <c r="H45" s="6">
        <v>56.003</v>
      </c>
      <c r="I45" s="3" t="s">
        <v>202</v>
      </c>
      <c r="J45" s="6">
        <v>56.003</v>
      </c>
      <c r="K45" s="3" t="s">
        <v>169</v>
      </c>
      <c r="L45" s="3" t="s">
        <v>170</v>
      </c>
      <c r="M45" s="3" t="s">
        <v>171</v>
      </c>
      <c r="N45" s="3" t="s">
        <v>229</v>
      </c>
    </row>
    <row r="46" spans="1:14">
      <c r="A46" s="3" t="s">
        <v>71</v>
      </c>
      <c r="B46" s="3" t="s">
        <v>8</v>
      </c>
      <c r="C46" s="6">
        <v>62.038</v>
      </c>
      <c r="D46" s="3" t="s">
        <v>165</v>
      </c>
      <c r="E46" s="6">
        <v>62.038</v>
      </c>
      <c r="F46" s="3" t="s">
        <v>200</v>
      </c>
      <c r="G46" s="3" t="s">
        <v>227</v>
      </c>
      <c r="H46" s="6">
        <v>62.038</v>
      </c>
      <c r="I46" s="3" t="s">
        <v>202</v>
      </c>
      <c r="J46" s="6">
        <v>62.038</v>
      </c>
      <c r="K46" s="3" t="s">
        <v>169</v>
      </c>
      <c r="L46" s="3" t="s">
        <v>170</v>
      </c>
      <c r="M46" s="3" t="s">
        <v>171</v>
      </c>
      <c r="N46" s="3" t="s">
        <v>230</v>
      </c>
    </row>
    <row r="47" spans="1:14">
      <c r="A47" s="3" t="s">
        <v>71</v>
      </c>
      <c r="B47" s="3" t="s">
        <v>9</v>
      </c>
      <c r="C47" s="6">
        <v>63.501</v>
      </c>
      <c r="D47" s="3" t="s">
        <v>165</v>
      </c>
      <c r="E47" s="6">
        <v>63.501</v>
      </c>
      <c r="F47" s="3" t="s">
        <v>200</v>
      </c>
      <c r="G47" s="3" t="s">
        <v>227</v>
      </c>
      <c r="H47" s="6">
        <v>63.501</v>
      </c>
      <c r="I47" s="3" t="s">
        <v>202</v>
      </c>
      <c r="J47" s="6">
        <v>63.501</v>
      </c>
      <c r="K47" s="3" t="s">
        <v>169</v>
      </c>
      <c r="L47" s="3" t="s">
        <v>170</v>
      </c>
      <c r="M47" s="3" t="s">
        <v>171</v>
      </c>
      <c r="N47" s="3" t="s">
        <v>231</v>
      </c>
    </row>
    <row r="48" spans="1:14">
      <c r="A48" s="3" t="s">
        <v>71</v>
      </c>
      <c r="B48" s="3" t="s">
        <v>10</v>
      </c>
      <c r="C48" s="6">
        <v>61.229</v>
      </c>
      <c r="D48" s="3" t="s">
        <v>165</v>
      </c>
      <c r="E48" s="6">
        <v>61.229</v>
      </c>
      <c r="F48" s="3" t="s">
        <v>200</v>
      </c>
      <c r="G48" s="3" t="s">
        <v>227</v>
      </c>
      <c r="H48" s="6">
        <v>61.229</v>
      </c>
      <c r="I48" s="3" t="s">
        <v>202</v>
      </c>
      <c r="J48" s="6">
        <v>61.229</v>
      </c>
      <c r="K48" s="3" t="s">
        <v>169</v>
      </c>
      <c r="L48" s="3" t="s">
        <v>170</v>
      </c>
      <c r="M48" s="3" t="s">
        <v>171</v>
      </c>
      <c r="N48" s="3" t="s">
        <v>232</v>
      </c>
    </row>
    <row r="49" spans="1:14">
      <c r="A49" s="3" t="s">
        <v>71</v>
      </c>
      <c r="B49" s="3" t="s">
        <v>11</v>
      </c>
      <c r="C49" s="6">
        <v>70.414</v>
      </c>
      <c r="D49" s="3" t="s">
        <v>165</v>
      </c>
      <c r="E49" s="6">
        <v>70.414</v>
      </c>
      <c r="F49" s="3" t="s">
        <v>200</v>
      </c>
      <c r="G49" s="3" t="s">
        <v>227</v>
      </c>
      <c r="H49" s="6">
        <v>70.414</v>
      </c>
      <c r="I49" s="3" t="s">
        <v>202</v>
      </c>
      <c r="J49" s="6">
        <v>70.414</v>
      </c>
      <c r="K49" s="3" t="s">
        <v>169</v>
      </c>
      <c r="L49" s="3" t="s">
        <v>170</v>
      </c>
      <c r="M49" s="3" t="s">
        <v>171</v>
      </c>
      <c r="N49" s="3" t="s">
        <v>233</v>
      </c>
    </row>
    <row r="50" spans="1:14">
      <c r="A50" s="3" t="s">
        <v>65</v>
      </c>
      <c r="B50" s="3" t="s">
        <v>6</v>
      </c>
      <c r="C50" s="6">
        <v>38.57</v>
      </c>
      <c r="D50" s="3" t="s">
        <v>234</v>
      </c>
      <c r="E50" s="6">
        <v>38.57</v>
      </c>
      <c r="F50" s="3" t="s">
        <v>235</v>
      </c>
      <c r="G50" s="3" t="s">
        <v>236</v>
      </c>
      <c r="H50" s="6">
        <v>38.57</v>
      </c>
      <c r="I50" s="3" t="s">
        <v>168</v>
      </c>
      <c r="J50" s="6">
        <v>38.57</v>
      </c>
      <c r="K50" s="3" t="s">
        <v>169</v>
      </c>
      <c r="L50" s="3" t="s">
        <v>170</v>
      </c>
      <c r="M50" s="3" t="s">
        <v>171</v>
      </c>
      <c r="N50" s="3" t="s">
        <v>237</v>
      </c>
    </row>
    <row r="51" spans="1:14">
      <c r="A51" s="3" t="s">
        <v>65</v>
      </c>
      <c r="B51" s="3" t="s">
        <v>7</v>
      </c>
      <c r="C51" s="6">
        <v>38.736</v>
      </c>
      <c r="D51" s="3" t="s">
        <v>234</v>
      </c>
      <c r="E51" s="6">
        <v>38.736</v>
      </c>
      <c r="F51" s="3" t="s">
        <v>235</v>
      </c>
      <c r="G51" s="3" t="s">
        <v>236</v>
      </c>
      <c r="H51" s="6">
        <v>38.736</v>
      </c>
      <c r="I51" s="3" t="s">
        <v>168</v>
      </c>
      <c r="J51" s="6">
        <v>38.736</v>
      </c>
      <c r="K51" s="3" t="s">
        <v>169</v>
      </c>
      <c r="L51" s="3" t="s">
        <v>170</v>
      </c>
      <c r="M51" s="3" t="s">
        <v>171</v>
      </c>
      <c r="N51" s="3" t="s">
        <v>238</v>
      </c>
    </row>
    <row r="52" spans="1:14">
      <c r="A52" s="3" t="s">
        <v>65</v>
      </c>
      <c r="B52" s="3" t="s">
        <v>8</v>
      </c>
      <c r="C52" s="6">
        <v>38.898</v>
      </c>
      <c r="D52" s="3" t="s">
        <v>234</v>
      </c>
      <c r="E52" s="6">
        <v>38.898</v>
      </c>
      <c r="F52" s="3" t="s">
        <v>235</v>
      </c>
      <c r="G52" s="3" t="s">
        <v>236</v>
      </c>
      <c r="H52" s="6">
        <v>38.898</v>
      </c>
      <c r="I52" s="3" t="s">
        <v>168</v>
      </c>
      <c r="J52" s="6">
        <v>38.898</v>
      </c>
      <c r="K52" s="3" t="s">
        <v>169</v>
      </c>
      <c r="L52" s="3" t="s">
        <v>170</v>
      </c>
      <c r="M52" s="3" t="s">
        <v>171</v>
      </c>
      <c r="N52" s="3" t="s">
        <v>239</v>
      </c>
    </row>
    <row r="53" spans="1:14">
      <c r="A53" s="3" t="s">
        <v>65</v>
      </c>
      <c r="B53" s="3" t="s">
        <v>9</v>
      </c>
      <c r="C53" s="6">
        <v>38.618</v>
      </c>
      <c r="D53" s="3" t="s">
        <v>234</v>
      </c>
      <c r="E53" s="6">
        <v>38.618</v>
      </c>
      <c r="F53" s="3" t="s">
        <v>235</v>
      </c>
      <c r="G53" s="3" t="s">
        <v>236</v>
      </c>
      <c r="H53" s="6">
        <v>38.618</v>
      </c>
      <c r="I53" s="3" t="s">
        <v>168</v>
      </c>
      <c r="J53" s="6">
        <v>38.618</v>
      </c>
      <c r="K53" s="3" t="s">
        <v>169</v>
      </c>
      <c r="L53" s="3" t="s">
        <v>170</v>
      </c>
      <c r="M53" s="3" t="s">
        <v>171</v>
      </c>
      <c r="N53" s="3" t="s">
        <v>240</v>
      </c>
    </row>
    <row r="54" spans="1:14">
      <c r="A54" s="3" t="s">
        <v>65</v>
      </c>
      <c r="B54" s="3" t="s">
        <v>10</v>
      </c>
      <c r="C54" s="6">
        <v>38.385</v>
      </c>
      <c r="D54" s="3" t="s">
        <v>234</v>
      </c>
      <c r="E54" s="6">
        <v>38.385</v>
      </c>
      <c r="F54" s="3" t="s">
        <v>235</v>
      </c>
      <c r="G54" s="3" t="s">
        <v>236</v>
      </c>
      <c r="H54" s="6">
        <v>38.385</v>
      </c>
      <c r="I54" s="3" t="s">
        <v>168</v>
      </c>
      <c r="J54" s="6">
        <v>38.385</v>
      </c>
      <c r="K54" s="3" t="s">
        <v>169</v>
      </c>
      <c r="L54" s="3" t="s">
        <v>170</v>
      </c>
      <c r="M54" s="3" t="s">
        <v>171</v>
      </c>
      <c r="N54" s="3" t="s">
        <v>241</v>
      </c>
    </row>
    <row r="55" spans="1:14">
      <c r="A55" s="3" t="s">
        <v>65</v>
      </c>
      <c r="B55" s="3" t="s">
        <v>11</v>
      </c>
      <c r="C55" s="6">
        <v>37.84</v>
      </c>
      <c r="D55" s="3" t="s">
        <v>234</v>
      </c>
      <c r="E55" s="6">
        <v>37.84</v>
      </c>
      <c r="F55" s="3" t="s">
        <v>235</v>
      </c>
      <c r="G55" s="3" t="s">
        <v>236</v>
      </c>
      <c r="H55" s="6">
        <v>37.84</v>
      </c>
      <c r="I55" s="3" t="s">
        <v>168</v>
      </c>
      <c r="J55" s="6">
        <v>37.84</v>
      </c>
      <c r="K55" s="3" t="s">
        <v>169</v>
      </c>
      <c r="L55" s="3" t="s">
        <v>170</v>
      </c>
      <c r="M55" s="3" t="s">
        <v>171</v>
      </c>
      <c r="N55" s="3" t="s">
        <v>242</v>
      </c>
    </row>
    <row r="56" spans="1:14">
      <c r="A56" s="3" t="s">
        <v>75</v>
      </c>
      <c r="B56" s="3" t="s">
        <v>6</v>
      </c>
      <c r="C56" s="6">
        <v>681.9</v>
      </c>
      <c r="D56" s="3" t="s">
        <v>165</v>
      </c>
      <c r="E56" s="6">
        <v>681.9</v>
      </c>
      <c r="F56" s="3" t="s">
        <v>243</v>
      </c>
      <c r="G56" s="3" t="s">
        <v>244</v>
      </c>
      <c r="H56" s="6">
        <v>681.9</v>
      </c>
      <c r="I56" s="3" t="s">
        <v>245</v>
      </c>
      <c r="J56" s="3" t="s">
        <v>246</v>
      </c>
      <c r="K56" s="3" t="s">
        <v>246</v>
      </c>
      <c r="L56" s="3" t="s">
        <v>170</v>
      </c>
      <c r="M56" s="3" t="s">
        <v>171</v>
      </c>
      <c r="N56" s="3" t="s">
        <v>247</v>
      </c>
    </row>
    <row r="57" spans="1:14">
      <c r="A57" s="3" t="s">
        <v>75</v>
      </c>
      <c r="B57" s="3" t="s">
        <v>7</v>
      </c>
      <c r="C57" s="6">
        <v>503.3</v>
      </c>
      <c r="D57" s="3" t="s">
        <v>165</v>
      </c>
      <c r="E57" s="6">
        <v>503.3</v>
      </c>
      <c r="F57" s="3" t="s">
        <v>243</v>
      </c>
      <c r="G57" s="3" t="s">
        <v>244</v>
      </c>
      <c r="H57" s="6">
        <v>503.3</v>
      </c>
      <c r="I57" s="3" t="s">
        <v>245</v>
      </c>
      <c r="J57" s="3" t="s">
        <v>246</v>
      </c>
      <c r="K57" s="3" t="s">
        <v>246</v>
      </c>
      <c r="L57" s="3" t="s">
        <v>170</v>
      </c>
      <c r="M57" s="3" t="s">
        <v>171</v>
      </c>
      <c r="N57" s="3" t="s">
        <v>248</v>
      </c>
    </row>
    <row r="58" spans="1:14">
      <c r="A58" s="3" t="s">
        <v>75</v>
      </c>
      <c r="B58" s="3" t="s">
        <v>8</v>
      </c>
      <c r="C58" s="6">
        <v>425.4</v>
      </c>
      <c r="D58" s="3" t="s">
        <v>165</v>
      </c>
      <c r="E58" s="6">
        <v>425.4</v>
      </c>
      <c r="F58" s="3" t="s">
        <v>243</v>
      </c>
      <c r="G58" s="3" t="s">
        <v>244</v>
      </c>
      <c r="H58" s="6">
        <v>425.4</v>
      </c>
      <c r="I58" s="3" t="s">
        <v>245</v>
      </c>
      <c r="J58" s="3" t="s">
        <v>246</v>
      </c>
      <c r="K58" s="3" t="s">
        <v>246</v>
      </c>
      <c r="L58" s="3" t="s">
        <v>170</v>
      </c>
      <c r="M58" s="3" t="s">
        <v>171</v>
      </c>
      <c r="N58" s="3" t="s">
        <v>249</v>
      </c>
    </row>
    <row r="59" spans="1:14">
      <c r="A59" s="3" t="s">
        <v>75</v>
      </c>
      <c r="B59" s="3" t="s">
        <v>9</v>
      </c>
      <c r="C59" s="6">
        <v>423</v>
      </c>
      <c r="D59" s="3" t="s">
        <v>165</v>
      </c>
      <c r="E59" s="6">
        <v>423</v>
      </c>
      <c r="F59" s="3" t="s">
        <v>243</v>
      </c>
      <c r="G59" s="3" t="s">
        <v>244</v>
      </c>
      <c r="H59" s="6">
        <v>423</v>
      </c>
      <c r="I59" s="3" t="s">
        <v>245</v>
      </c>
      <c r="J59" s="3" t="s">
        <v>246</v>
      </c>
      <c r="K59" s="3" t="s">
        <v>246</v>
      </c>
      <c r="L59" s="3" t="s">
        <v>170</v>
      </c>
      <c r="M59" s="3" t="s">
        <v>171</v>
      </c>
      <c r="N59" s="3" t="s">
        <v>250</v>
      </c>
    </row>
    <row r="60" spans="1:14">
      <c r="A60" s="3" t="s">
        <v>75</v>
      </c>
      <c r="B60" s="3" t="s">
        <v>10</v>
      </c>
      <c r="C60" s="6">
        <v>355.1</v>
      </c>
      <c r="D60" s="3" t="s">
        <v>165</v>
      </c>
      <c r="E60" s="6">
        <v>355.1</v>
      </c>
      <c r="F60" s="3" t="s">
        <v>243</v>
      </c>
      <c r="G60" s="3" t="s">
        <v>244</v>
      </c>
      <c r="H60" s="6">
        <v>355.1</v>
      </c>
      <c r="I60" s="3" t="s">
        <v>245</v>
      </c>
      <c r="J60" s="3" t="s">
        <v>246</v>
      </c>
      <c r="K60" s="3" t="s">
        <v>246</v>
      </c>
      <c r="L60" s="3" t="s">
        <v>170</v>
      </c>
      <c r="M60" s="3" t="s">
        <v>171</v>
      </c>
      <c r="N60" s="3" t="s">
        <v>251</v>
      </c>
    </row>
    <row r="61" spans="1:14">
      <c r="A61" s="3" t="s">
        <v>75</v>
      </c>
      <c r="B61" s="3" t="s">
        <v>11</v>
      </c>
      <c r="C61" s="6">
        <v>285.267</v>
      </c>
      <c r="D61" s="3" t="s">
        <v>165</v>
      </c>
      <c r="E61" s="6">
        <v>285.267</v>
      </c>
      <c r="F61" s="3" t="s">
        <v>243</v>
      </c>
      <c r="G61" s="3" t="s">
        <v>244</v>
      </c>
      <c r="H61" s="6">
        <v>285.267</v>
      </c>
      <c r="I61" s="3" t="s">
        <v>245</v>
      </c>
      <c r="J61" s="3" t="s">
        <v>246</v>
      </c>
      <c r="K61" s="3" t="s">
        <v>246</v>
      </c>
      <c r="L61" s="3" t="s">
        <v>170</v>
      </c>
      <c r="M61" s="3" t="s">
        <v>171</v>
      </c>
      <c r="N61" s="3" t="s">
        <v>252</v>
      </c>
    </row>
    <row r="62" spans="1:14">
      <c r="A62" s="3" t="s">
        <v>76</v>
      </c>
      <c r="B62" s="3" t="s">
        <v>6</v>
      </c>
      <c r="C62" s="6">
        <v>574.5</v>
      </c>
      <c r="D62" s="3" t="s">
        <v>165</v>
      </c>
      <c r="E62" s="6">
        <v>574.5</v>
      </c>
      <c r="F62" s="3" t="s">
        <v>253</v>
      </c>
      <c r="G62" s="3" t="s">
        <v>254</v>
      </c>
      <c r="H62" s="6">
        <v>574.5</v>
      </c>
      <c r="I62" s="3" t="s">
        <v>245</v>
      </c>
      <c r="J62" s="3" t="s">
        <v>246</v>
      </c>
      <c r="K62" s="3" t="s">
        <v>246</v>
      </c>
      <c r="L62" s="3" t="s">
        <v>170</v>
      </c>
      <c r="M62" s="3" t="s">
        <v>171</v>
      </c>
      <c r="N62" s="3" t="s">
        <v>255</v>
      </c>
    </row>
    <row r="63" spans="1:14">
      <c r="A63" s="3" t="s">
        <v>76</v>
      </c>
      <c r="B63" s="3" t="s">
        <v>7</v>
      </c>
      <c r="C63" s="6">
        <v>1982.4</v>
      </c>
      <c r="D63" s="3" t="s">
        <v>165</v>
      </c>
      <c r="E63" s="6">
        <v>1982.4</v>
      </c>
      <c r="F63" s="3" t="s">
        <v>253</v>
      </c>
      <c r="G63" s="3" t="s">
        <v>254</v>
      </c>
      <c r="H63" s="6">
        <v>1982.4</v>
      </c>
      <c r="I63" s="3" t="s">
        <v>245</v>
      </c>
      <c r="J63" s="3" t="s">
        <v>246</v>
      </c>
      <c r="K63" s="3" t="s">
        <v>246</v>
      </c>
      <c r="L63" s="3" t="s">
        <v>170</v>
      </c>
      <c r="M63" s="3" t="s">
        <v>171</v>
      </c>
      <c r="N63" s="3" t="s">
        <v>256</v>
      </c>
    </row>
    <row r="64" spans="1:14">
      <c r="A64" s="3" t="s">
        <v>76</v>
      </c>
      <c r="B64" s="3" t="s">
        <v>8</v>
      </c>
      <c r="C64" s="6">
        <v>1612.7</v>
      </c>
      <c r="D64" s="3" t="s">
        <v>165</v>
      </c>
      <c r="E64" s="6">
        <v>1612.7</v>
      </c>
      <c r="F64" s="3" t="s">
        <v>253</v>
      </c>
      <c r="G64" s="3" t="s">
        <v>254</v>
      </c>
      <c r="H64" s="6">
        <v>1612.7</v>
      </c>
      <c r="I64" s="3" t="s">
        <v>245</v>
      </c>
      <c r="J64" s="3" t="s">
        <v>246</v>
      </c>
      <c r="K64" s="3" t="s">
        <v>246</v>
      </c>
      <c r="L64" s="3" t="s">
        <v>170</v>
      </c>
      <c r="M64" s="3" t="s">
        <v>171</v>
      </c>
      <c r="N64" s="3" t="s">
        <v>257</v>
      </c>
    </row>
    <row r="65" spans="1:14">
      <c r="A65" s="3" t="s">
        <v>76</v>
      </c>
      <c r="B65" s="3" t="s">
        <v>9</v>
      </c>
      <c r="C65" s="6">
        <v>1366</v>
      </c>
      <c r="D65" s="3" t="s">
        <v>165</v>
      </c>
      <c r="E65" s="6">
        <v>1366</v>
      </c>
      <c r="F65" s="3" t="s">
        <v>253</v>
      </c>
      <c r="G65" s="3" t="s">
        <v>254</v>
      </c>
      <c r="H65" s="6">
        <v>1366</v>
      </c>
      <c r="I65" s="3" t="s">
        <v>245</v>
      </c>
      <c r="J65" s="3" t="s">
        <v>246</v>
      </c>
      <c r="K65" s="3" t="s">
        <v>246</v>
      </c>
      <c r="L65" s="3" t="s">
        <v>170</v>
      </c>
      <c r="M65" s="3" t="s">
        <v>171</v>
      </c>
      <c r="N65" s="3" t="s">
        <v>258</v>
      </c>
    </row>
    <row r="66" spans="1:14">
      <c r="A66" s="3" t="s">
        <v>76</v>
      </c>
      <c r="B66" s="3" t="s">
        <v>10</v>
      </c>
      <c r="C66" s="6">
        <v>1368.3</v>
      </c>
      <c r="D66" s="3" t="s">
        <v>165</v>
      </c>
      <c r="E66" s="6">
        <v>1368.3</v>
      </c>
      <c r="F66" s="3" t="s">
        <v>253</v>
      </c>
      <c r="G66" s="3" t="s">
        <v>254</v>
      </c>
      <c r="H66" s="6">
        <v>1368.3</v>
      </c>
      <c r="I66" s="3" t="s">
        <v>245</v>
      </c>
      <c r="J66" s="3" t="s">
        <v>246</v>
      </c>
      <c r="K66" s="3" t="s">
        <v>246</v>
      </c>
      <c r="L66" s="3" t="s">
        <v>170</v>
      </c>
      <c r="M66" s="3" t="s">
        <v>171</v>
      </c>
      <c r="N66" s="3" t="s">
        <v>259</v>
      </c>
    </row>
    <row r="67" spans="1:14">
      <c r="A67" s="3" t="s">
        <v>76</v>
      </c>
      <c r="B67" s="3" t="s">
        <v>11</v>
      </c>
      <c r="C67" s="6">
        <v>1369.216</v>
      </c>
      <c r="D67" s="3" t="s">
        <v>165</v>
      </c>
      <c r="E67" s="6">
        <v>1369.216</v>
      </c>
      <c r="F67" s="3" t="s">
        <v>253</v>
      </c>
      <c r="G67" s="3" t="s">
        <v>254</v>
      </c>
      <c r="H67" s="6">
        <v>1369.216</v>
      </c>
      <c r="I67" s="3" t="s">
        <v>245</v>
      </c>
      <c r="J67" s="3" t="s">
        <v>246</v>
      </c>
      <c r="K67" s="3" t="s">
        <v>246</v>
      </c>
      <c r="L67" s="3" t="s">
        <v>170</v>
      </c>
      <c r="M67" s="3" t="s">
        <v>171</v>
      </c>
      <c r="N67" s="3" t="s">
        <v>260</v>
      </c>
    </row>
    <row r="68" spans="1:14">
      <c r="A68" s="3" t="s">
        <v>77</v>
      </c>
      <c r="B68" s="3" t="s">
        <v>6</v>
      </c>
      <c r="C68" s="6">
        <v>291.6</v>
      </c>
      <c r="D68" s="3" t="s">
        <v>165</v>
      </c>
      <c r="E68" s="6">
        <v>291.6</v>
      </c>
      <c r="F68" s="3" t="s">
        <v>261</v>
      </c>
      <c r="G68" s="3" t="s">
        <v>262</v>
      </c>
      <c r="H68" s="6">
        <v>291.6</v>
      </c>
      <c r="I68" s="3" t="s">
        <v>245</v>
      </c>
      <c r="J68" s="3" t="s">
        <v>246</v>
      </c>
      <c r="K68" s="3" t="s">
        <v>246</v>
      </c>
      <c r="L68" s="3" t="s">
        <v>170</v>
      </c>
      <c r="M68" s="3" t="s">
        <v>171</v>
      </c>
      <c r="N68" s="3" t="s">
        <v>263</v>
      </c>
    </row>
    <row r="69" spans="1:14">
      <c r="A69" s="3" t="s">
        <v>77</v>
      </c>
      <c r="B69" s="3" t="s">
        <v>7</v>
      </c>
      <c r="C69" s="6">
        <v>237.8</v>
      </c>
      <c r="D69" s="3" t="s">
        <v>165</v>
      </c>
      <c r="E69" s="6">
        <v>237.8</v>
      </c>
      <c r="F69" s="3" t="s">
        <v>261</v>
      </c>
      <c r="G69" s="3" t="s">
        <v>262</v>
      </c>
      <c r="H69" s="6">
        <v>237.8</v>
      </c>
      <c r="I69" s="3" t="s">
        <v>245</v>
      </c>
      <c r="J69" s="3" t="s">
        <v>246</v>
      </c>
      <c r="K69" s="3" t="s">
        <v>246</v>
      </c>
      <c r="L69" s="3" t="s">
        <v>170</v>
      </c>
      <c r="M69" s="3" t="s">
        <v>171</v>
      </c>
      <c r="N69" s="3" t="s">
        <v>264</v>
      </c>
    </row>
    <row r="70" spans="1:14">
      <c r="A70" s="3" t="s">
        <v>77</v>
      </c>
      <c r="B70" s="3" t="s">
        <v>8</v>
      </c>
      <c r="C70" s="6">
        <v>227.2</v>
      </c>
      <c r="D70" s="3" t="s">
        <v>165</v>
      </c>
      <c r="E70" s="6">
        <v>227.2</v>
      </c>
      <c r="F70" s="3" t="s">
        <v>261</v>
      </c>
      <c r="G70" s="3" t="s">
        <v>262</v>
      </c>
      <c r="H70" s="6">
        <v>227.2</v>
      </c>
      <c r="I70" s="3" t="s">
        <v>245</v>
      </c>
      <c r="J70" s="3" t="s">
        <v>246</v>
      </c>
      <c r="K70" s="3" t="s">
        <v>246</v>
      </c>
      <c r="L70" s="3" t="s">
        <v>170</v>
      </c>
      <c r="M70" s="3" t="s">
        <v>171</v>
      </c>
      <c r="N70" s="3" t="s">
        <v>265</v>
      </c>
    </row>
    <row r="71" spans="1:14">
      <c r="A71" s="3" t="s">
        <v>77</v>
      </c>
      <c r="B71" s="3" t="s">
        <v>9</v>
      </c>
      <c r="C71" s="6">
        <v>208.6</v>
      </c>
      <c r="D71" s="3" t="s">
        <v>165</v>
      </c>
      <c r="E71" s="6">
        <v>208.6</v>
      </c>
      <c r="F71" s="3" t="s">
        <v>261</v>
      </c>
      <c r="G71" s="3" t="s">
        <v>262</v>
      </c>
      <c r="H71" s="6">
        <v>208.6</v>
      </c>
      <c r="I71" s="3" t="s">
        <v>245</v>
      </c>
      <c r="J71" s="3" t="s">
        <v>246</v>
      </c>
      <c r="K71" s="3" t="s">
        <v>246</v>
      </c>
      <c r="L71" s="3" t="s">
        <v>170</v>
      </c>
      <c r="M71" s="3" t="s">
        <v>171</v>
      </c>
      <c r="N71" s="3" t="s">
        <v>266</v>
      </c>
    </row>
    <row r="72" spans="1:14">
      <c r="A72" s="3" t="s">
        <v>77</v>
      </c>
      <c r="B72" s="3" t="s">
        <v>10</v>
      </c>
      <c r="C72" s="6">
        <v>190.2</v>
      </c>
      <c r="D72" s="3" t="s">
        <v>165</v>
      </c>
      <c r="E72" s="6">
        <v>190.2</v>
      </c>
      <c r="F72" s="3" t="s">
        <v>261</v>
      </c>
      <c r="G72" s="3" t="s">
        <v>262</v>
      </c>
      <c r="H72" s="6">
        <v>190.2</v>
      </c>
      <c r="I72" s="3" t="s">
        <v>245</v>
      </c>
      <c r="J72" s="3" t="s">
        <v>246</v>
      </c>
      <c r="K72" s="3" t="s">
        <v>246</v>
      </c>
      <c r="L72" s="3" t="s">
        <v>170</v>
      </c>
      <c r="M72" s="3" t="s">
        <v>171</v>
      </c>
      <c r="N72" s="3" t="s">
        <v>267</v>
      </c>
    </row>
    <row r="73" spans="1:14">
      <c r="A73" s="3" t="s">
        <v>77</v>
      </c>
      <c r="B73" s="3" t="s">
        <v>11</v>
      </c>
      <c r="C73" s="6">
        <v>184.441</v>
      </c>
      <c r="D73" s="3" t="s">
        <v>165</v>
      </c>
      <c r="E73" s="6">
        <v>184.441</v>
      </c>
      <c r="F73" s="3" t="s">
        <v>261</v>
      </c>
      <c r="G73" s="3" t="s">
        <v>262</v>
      </c>
      <c r="H73" s="6">
        <v>184.441</v>
      </c>
      <c r="I73" s="3" t="s">
        <v>245</v>
      </c>
      <c r="J73" s="3" t="s">
        <v>246</v>
      </c>
      <c r="K73" s="3" t="s">
        <v>246</v>
      </c>
      <c r="L73" s="3" t="s">
        <v>170</v>
      </c>
      <c r="M73" s="3" t="s">
        <v>171</v>
      </c>
      <c r="N73" s="3" t="s">
        <v>268</v>
      </c>
    </row>
  </sheetData>
  <hyperlinks>
    <hyperlink ref="I2" r:id="rId1"/>
    <hyperlink ref="K2" r:id="rId2"/>
    <hyperlink ref="I3" r:id="rId3"/>
    <hyperlink ref="K3" r:id="rId4"/>
    <hyperlink ref="I4" r:id="rId5"/>
    <hyperlink ref="K4" r:id="rId6"/>
    <hyperlink ref="I5" r:id="rId7"/>
    <hyperlink ref="K5" r:id="rId8"/>
    <hyperlink ref="I6" r:id="rId9"/>
    <hyperlink ref="K6" r:id="rId10"/>
    <hyperlink ref="I7" r:id="rId11"/>
    <hyperlink ref="K7" r:id="rId12"/>
    <hyperlink ref="I8" r:id="rId13"/>
    <hyperlink ref="K8" r:id="rId14"/>
    <hyperlink ref="I9" r:id="rId15"/>
    <hyperlink ref="K9" r:id="rId16"/>
    <hyperlink ref="I10" r:id="rId17"/>
    <hyperlink ref="K10" r:id="rId18"/>
    <hyperlink ref="I11" r:id="rId19"/>
    <hyperlink ref="K11" r:id="rId20"/>
    <hyperlink ref="I12" r:id="rId21"/>
    <hyperlink ref="K12" r:id="rId22"/>
    <hyperlink ref="I13" r:id="rId23"/>
    <hyperlink ref="K13" r:id="rId24"/>
    <hyperlink ref="I14" r:id="rId25"/>
    <hyperlink ref="K14" r:id="rId26"/>
    <hyperlink ref="I15" r:id="rId27"/>
    <hyperlink ref="K15" r:id="rId28"/>
    <hyperlink ref="I16" r:id="rId29"/>
    <hyperlink ref="K16" r:id="rId30"/>
    <hyperlink ref="I17" r:id="rId31"/>
    <hyperlink ref="K17" r:id="rId32"/>
    <hyperlink ref="I18" r:id="rId33"/>
    <hyperlink ref="K18" r:id="rId34"/>
    <hyperlink ref="I19" r:id="rId35"/>
    <hyperlink ref="K19" r:id="rId36"/>
    <hyperlink ref="I20" r:id="rId37"/>
    <hyperlink ref="K20" r:id="rId38"/>
    <hyperlink ref="I21" r:id="rId39"/>
    <hyperlink ref="K21" r:id="rId40"/>
    <hyperlink ref="I22" r:id="rId41"/>
    <hyperlink ref="K22" r:id="rId42"/>
    <hyperlink ref="I23" r:id="rId43"/>
    <hyperlink ref="K23" r:id="rId44"/>
    <hyperlink ref="I24" r:id="rId45"/>
    <hyperlink ref="K24" r:id="rId46"/>
    <hyperlink ref="I25" r:id="rId47"/>
    <hyperlink ref="K25" r:id="rId48"/>
    <hyperlink ref="I26" r:id="rId49"/>
    <hyperlink ref="K26" r:id="rId50"/>
    <hyperlink ref="I27" r:id="rId51"/>
    <hyperlink ref="K27" r:id="rId52"/>
    <hyperlink ref="I28" r:id="rId53"/>
    <hyperlink ref="K28" r:id="rId54"/>
    <hyperlink ref="I29" r:id="rId55"/>
    <hyperlink ref="K29" r:id="rId56"/>
    <hyperlink ref="I30" r:id="rId57"/>
    <hyperlink ref="K30" r:id="rId58"/>
    <hyperlink ref="I31" r:id="rId59"/>
    <hyperlink ref="K31" r:id="rId60"/>
    <hyperlink ref="I32" r:id="rId61"/>
    <hyperlink ref="K32" r:id="rId62"/>
    <hyperlink ref="I33" r:id="rId63"/>
    <hyperlink ref="K33" r:id="rId64"/>
    <hyperlink ref="I34" r:id="rId65"/>
    <hyperlink ref="K34" r:id="rId66"/>
    <hyperlink ref="I35" r:id="rId67"/>
    <hyperlink ref="K35" r:id="rId68"/>
    <hyperlink ref="I36" r:id="rId69"/>
    <hyperlink ref="K36" r:id="rId70"/>
    <hyperlink ref="I37" r:id="rId71"/>
    <hyperlink ref="K37" r:id="rId72"/>
    <hyperlink ref="I38" r:id="rId73"/>
    <hyperlink ref="K38" r:id="rId74"/>
    <hyperlink ref="I39" r:id="rId75"/>
    <hyperlink ref="K39" r:id="rId76"/>
    <hyperlink ref="I40" r:id="rId77"/>
    <hyperlink ref="K40" r:id="rId78"/>
    <hyperlink ref="I41" r:id="rId79"/>
    <hyperlink ref="K41" r:id="rId80"/>
    <hyperlink ref="I42" r:id="rId81"/>
    <hyperlink ref="K42" r:id="rId82"/>
    <hyperlink ref="I43" r:id="rId83"/>
    <hyperlink ref="K43" r:id="rId84"/>
    <hyperlink ref="I44" r:id="rId85"/>
    <hyperlink ref="K44" r:id="rId86"/>
    <hyperlink ref="I45" r:id="rId87"/>
    <hyperlink ref="K45" r:id="rId88"/>
    <hyperlink ref="I46" r:id="rId89"/>
    <hyperlink ref="K46" r:id="rId90"/>
    <hyperlink ref="I47" r:id="rId91"/>
    <hyperlink ref="K47" r:id="rId92"/>
    <hyperlink ref="I48" r:id="rId93"/>
    <hyperlink ref="K48" r:id="rId94"/>
    <hyperlink ref="I49" r:id="rId95"/>
    <hyperlink ref="K49" r:id="rId96"/>
    <hyperlink ref="I50" r:id="rId97"/>
    <hyperlink ref="K50" r:id="rId98"/>
    <hyperlink ref="I51" r:id="rId99"/>
    <hyperlink ref="K51" r:id="rId100"/>
    <hyperlink ref="I52" r:id="rId101"/>
    <hyperlink ref="K52" r:id="rId102"/>
    <hyperlink ref="I53" r:id="rId103"/>
    <hyperlink ref="K53" r:id="rId104"/>
    <hyperlink ref="I54" r:id="rId105"/>
    <hyperlink ref="K54" r:id="rId106"/>
    <hyperlink ref="I55" r:id="rId107"/>
    <hyperlink ref="K55" r:id="rId108"/>
    <hyperlink ref="I56" r:id="rId109"/>
    <hyperlink ref="I57" r:id="rId110"/>
    <hyperlink ref="I58" r:id="rId111"/>
    <hyperlink ref="I59" r:id="rId112"/>
    <hyperlink ref="I60" r:id="rId113"/>
    <hyperlink ref="I61" r:id="rId114"/>
    <hyperlink ref="I62" r:id="rId115"/>
    <hyperlink ref="I63" r:id="rId116"/>
    <hyperlink ref="I64" r:id="rId117"/>
    <hyperlink ref="I65" r:id="rId118"/>
    <hyperlink ref="I66" r:id="rId119"/>
    <hyperlink ref="I67" r:id="rId120"/>
    <hyperlink ref="I68" r:id="rId121"/>
    <hyperlink ref="I69" r:id="rId122"/>
    <hyperlink ref="I70" r:id="rId123"/>
    <hyperlink ref="I71" r:id="rId124"/>
    <hyperlink ref="I72" r:id="rId125"/>
    <hyperlink ref="I73" r:id="rId1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3:B14"/>
  <sheetViews>
    <sheetView workbookViewId="0"/>
  </sheetViews>
  <sheetFormatPr defaultRowHeight="15"/>
  <cols>
    <col min="2" max="2" width="120.7109375" customWidth="1"/>
  </cols>
  <sheetData>
    <row r="3" spans="2:2">
      <c r="B3" s="1" t="s">
        <v>269</v>
      </c>
    </row>
    <row r="5" spans="2:2">
      <c r="B5" s="3" t="s">
        <v>270</v>
      </c>
    </row>
    <row r="6" spans="2:2">
      <c r="B6" s="3" t="s">
        <v>271</v>
      </c>
    </row>
    <row r="7" spans="2:2">
      <c r="B7" s="3" t="s">
        <v>272</v>
      </c>
    </row>
    <row r="8" spans="2:2">
      <c r="B8" s="3" t="s">
        <v>273</v>
      </c>
    </row>
    <row r="9" spans="2:2">
      <c r="B9" s="3" t="s">
        <v>274</v>
      </c>
    </row>
    <row r="10" spans="2:2">
      <c r="B10" s="3" t="s">
        <v>275</v>
      </c>
    </row>
    <row r="11" spans="2:2">
      <c r="B11" s="3" t="s">
        <v>276</v>
      </c>
    </row>
    <row r="12" spans="2:2">
      <c r="B12" s="3" t="s">
        <v>277</v>
      </c>
    </row>
    <row r="13" spans="2:2">
      <c r="B13" s="3" t="s">
        <v>278</v>
      </c>
    </row>
    <row r="14" spans="2:2">
      <c r="B14" s="3" t="s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10.7109375" customWidth="1"/>
    <col min="3" max="3" width="24.7109375" customWidth="1"/>
    <col min="4" max="4" width="70.7109375" customWidth="1"/>
  </cols>
  <sheetData>
    <row r="1" spans="1:4">
      <c r="A1" s="2" t="s">
        <v>280</v>
      </c>
      <c r="B1" s="2" t="s">
        <v>281</v>
      </c>
      <c r="C1" s="2" t="s">
        <v>282</v>
      </c>
      <c r="D1" s="2" t="s">
        <v>283</v>
      </c>
    </row>
    <row r="2" spans="1:4">
      <c r="A2" s="3" t="s">
        <v>284</v>
      </c>
      <c r="B2" s="3" t="s">
        <v>285</v>
      </c>
      <c r="C2" s="3" t="s">
        <v>286</v>
      </c>
      <c r="D2" s="3" t="s">
        <v>287</v>
      </c>
    </row>
    <row r="3" spans="1:4">
      <c r="A3" s="3" t="s">
        <v>284</v>
      </c>
      <c r="B3" s="3" t="s">
        <v>288</v>
      </c>
      <c r="C3" s="3" t="s">
        <v>289</v>
      </c>
      <c r="D3" s="3" t="s">
        <v>290</v>
      </c>
    </row>
    <row r="4" spans="1:4">
      <c r="A4" s="3" t="s">
        <v>291</v>
      </c>
      <c r="B4" s="3" t="s">
        <v>292</v>
      </c>
      <c r="C4" s="3" t="s">
        <v>293</v>
      </c>
      <c r="D4" s="3" t="s">
        <v>294</v>
      </c>
    </row>
    <row r="5" spans="1:4">
      <c r="A5" s="3" t="s">
        <v>295</v>
      </c>
      <c r="B5" s="3" t="s">
        <v>296</v>
      </c>
      <c r="C5" s="3" t="s">
        <v>297</v>
      </c>
      <c r="D5" s="3" t="s">
        <v>298</v>
      </c>
    </row>
    <row r="6" spans="1:4">
      <c r="A6" s="3" t="s">
        <v>299</v>
      </c>
      <c r="B6" s="3" t="s">
        <v>300</v>
      </c>
      <c r="C6" s="3" t="s">
        <v>301</v>
      </c>
      <c r="D6" s="3" t="s">
        <v>302</v>
      </c>
    </row>
    <row r="7" spans="1:4">
      <c r="A7" s="3" t="s">
        <v>303</v>
      </c>
      <c r="B7" s="3" t="s">
        <v>168</v>
      </c>
      <c r="C7" s="3" t="s">
        <v>304</v>
      </c>
      <c r="D7" s="3" t="s">
        <v>305</v>
      </c>
    </row>
    <row r="8" spans="1:4">
      <c r="A8" s="3" t="s">
        <v>303</v>
      </c>
      <c r="B8" s="3" t="s">
        <v>306</v>
      </c>
      <c r="C8" s="3" t="s">
        <v>304</v>
      </c>
      <c r="D8" s="3" t="s">
        <v>307</v>
      </c>
    </row>
    <row r="9" spans="1:4">
      <c r="A9" s="3" t="s">
        <v>303</v>
      </c>
      <c r="B9" s="3" t="s">
        <v>308</v>
      </c>
      <c r="C9" s="3" t="s">
        <v>304</v>
      </c>
      <c r="D9" s="3" t="s">
        <v>309</v>
      </c>
    </row>
    <row r="10" spans="1:4">
      <c r="A10" s="3" t="s">
        <v>310</v>
      </c>
      <c r="B10" s="3" t="s">
        <v>311</v>
      </c>
      <c r="C10" s="3" t="s">
        <v>304</v>
      </c>
      <c r="D10" s="3" t="s">
        <v>312</v>
      </c>
    </row>
    <row r="11" spans="1:4">
      <c r="A11" s="3" t="s">
        <v>313</v>
      </c>
      <c r="B11" s="3" t="s">
        <v>314</v>
      </c>
      <c r="C11" s="3" t="s">
        <v>315</v>
      </c>
      <c r="D11" s="3" t="s">
        <v>316</v>
      </c>
    </row>
    <row r="12" spans="1:4">
      <c r="A12" s="3" t="s">
        <v>317</v>
      </c>
      <c r="B12" s="3" t="s">
        <v>318</v>
      </c>
      <c r="C12" s="3" t="s">
        <v>319</v>
      </c>
      <c r="D12" s="3" t="s">
        <v>320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</vt:lpstr>
      <vt:lpstr>WACC</vt:lpstr>
      <vt:lpstr>Scenarios</vt:lpstr>
      <vt:lpstr>Actuals Source Audit</vt:lpstr>
      <vt:lpstr>Questions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2026-05-26T14:20:09Z</dcterms:created>
  <dcterms:modified xsi:type="dcterms:W3CDTF">2026-05-26T14:20:09Z</dcterms:modified>
</cp:coreProperties>
</file>