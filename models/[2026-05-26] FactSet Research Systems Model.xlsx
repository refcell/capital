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aluation" sheetId="1" r:id="rId1"/>
    <sheet name="Scenarios" sheetId="2" r:id="rId2"/>
    <sheet name="Peers" sheetId="3" r:id="rId3"/>
    <sheet name="Sources" sheetId="4" r:id="rId4"/>
  </sheets>
  <calcPr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1">
      <c r="A1" t="inlineStr">
        <is>
          <t>FactSet Research Systems Inc. (NYSE:FDS) valuation support</t>
        </is>
      </c>
      <c r="B1" t="inlineStr">
        <is>
          <t>Model date: 2026-05-26</t>
        </is>
      </c>
    </row>
    <row r="2"/>
    <row r="3">
      <c r="A3" t="inlineStr">
        <is>
          <t>Market snapshot</t>
        </is>
      </c>
      <c r="B3" t="inlineStr">
        <is>
          <t>Value</t>
        </is>
      </c>
    </row>
    <row r="4">
      <c r="A4" t="inlineStr">
        <is>
          <t>Last close / quote used</t>
        </is>
      </c>
      <c r="B4">
        <v>232.0</v>
      </c>
    </row>
    <row r="5">
      <c r="A5" t="inlineStr">
        <is>
          <t>Shares outstanding (M)</t>
        </is>
      </c>
      <c r="B5">
        <v>36.431127</v>
      </c>
    </row>
    <row r="6">
      <c r="A6" t="inlineStr">
        <is>
          <t>Market cap ($M)</t>
        </is>
      </c>
      <c r="B6">
        <v>8452.021464</v>
      </c>
    </row>
    <row r="7">
      <c r="A7" t="inlineStr">
        <is>
          <t>Debt ($M)</t>
        </is>
      </c>
      <c r="B7">
        <v>1369.216</v>
      </c>
    </row>
    <row r="8">
      <c r="A8" t="inlineStr">
        <is>
          <t>Cash + short-term investments ($M)</t>
        </is>
      </c>
      <c r="B8">
        <v>285.267</v>
      </c>
    </row>
    <row r="9">
      <c r="A9" t="inlineStr">
        <is>
          <t>Net financial debt ($M)</t>
        </is>
      </c>
      <c r="B9">
        <v>1083.9489999999998</v>
      </c>
    </row>
    <row r="10">
      <c r="A10" t="inlineStr">
        <is>
          <t>Operating lease liability ($M)</t>
        </is>
      </c>
      <c r="B10">
        <v>184.441</v>
      </c>
    </row>
    <row r="11">
      <c r="A11" t="inlineStr">
        <is>
          <t>Lease-adjusted net debt ($M)</t>
        </is>
      </c>
      <c r="B11">
        <v>1268.3899999999999</v>
      </c>
    </row>
    <row r="12">
      <c r="A12" t="inlineStr">
        <is>
          <t>Financial EV ($M)</t>
        </is>
      </c>
      <c r="B12">
        <v>9535.970464</v>
      </c>
    </row>
    <row r="13">
      <c r="A13" t="inlineStr">
        <is>
          <t>Lease-adjusted EV ($M)</t>
        </is>
      </c>
      <c r="B13">
        <v>9720.411463999999</v>
      </c>
    </row>
    <row r="14"/>
    <row r="15">
      <c r="A15" t="inlineStr">
        <is>
          <t>Actuals / base ($M)</t>
        </is>
      </c>
      <c r="B15" t="inlineStr">
        <is>
          <t>FY2025</t>
        </is>
      </c>
      <c r="C15" t="inlineStr">
        <is>
          <t>TTM to 2026-02-28</t>
        </is>
      </c>
    </row>
    <row r="16">
      <c r="A16" t="inlineStr">
        <is>
          <t>Revenue</t>
        </is>
      </c>
      <c r="B16">
        <v>2321.748</v>
      </c>
      <c r="C16">
        <v>2401.061</v>
      </c>
    </row>
    <row r="17">
      <c r="A17" t="inlineStr">
        <is>
          <t>Operating income</t>
        </is>
      </c>
      <c r="B17">
        <v>748.303</v>
      </c>
      <c r="C17">
        <v>748.508</v>
      </c>
    </row>
    <row r="18">
      <c r="A18" t="inlineStr">
        <is>
          <t>GAAP net income</t>
        </is>
      </c>
      <c r="B18">
        <v>597.04</v>
      </c>
      <c r="C18">
        <v>587.794</v>
      </c>
    </row>
    <row r="19">
      <c r="A19" t="inlineStr">
        <is>
          <t>Operating cash flow</t>
        </is>
      </c>
      <c r="B19">
        <v>726.26</v>
      </c>
      <c r="C19">
        <v>798.905</v>
      </c>
    </row>
    <row r="20">
      <c r="A20" t="inlineStr">
        <is>
          <t>Capex / productive assets</t>
        </is>
      </c>
      <c r="B20">
        <v>108.806</v>
      </c>
      <c r="C20">
        <v>116.04</v>
      </c>
    </row>
    <row r="21">
      <c r="A21" t="inlineStr">
        <is>
          <t>Reported FCF</t>
        </is>
      </c>
      <c r="B21">
        <v>617.454</v>
      </c>
      <c r="C21">
        <v>682.865</v>
      </c>
    </row>
    <row r="22">
      <c r="A22" t="inlineStr">
        <is>
          <t>SBC</t>
        </is>
      </c>
      <c r="B22">
        <v>61.229</v>
      </c>
      <c r="C22">
        <v>70.414</v>
      </c>
    </row>
    <row r="23">
      <c r="A23" t="inlineStr">
        <is>
          <t>Owner FCF after SBC</t>
        </is>
      </c>
      <c r="B23">
        <v>556.225</v>
      </c>
      <c r="C23">
        <v>612.451</v>
      </c>
    </row>
    <row r="24"/>
    <row r="25">
      <c r="A25" t="inlineStr">
        <is>
          <t>Scenario outputs ($M except share price)</t>
        </is>
      </c>
    </row>
    <row r="26">
      <c r="A26" t="inlineStr">
        <is>
          <t>Scenario</t>
        </is>
      </c>
      <c r="B26" t="inlineStr">
        <is>
          <t>PV explicit FCF</t>
        </is>
      </c>
      <c r="C26" t="inlineStr">
        <is>
          <t>PV terminal</t>
        </is>
      </c>
      <c r="D26" t="inlineStr">
        <is>
          <t>Enterprise value</t>
        </is>
      </c>
      <c r="E26" t="inlineStr">
        <is>
          <t>Equity value</t>
        </is>
      </c>
      <c r="F26" t="inlineStr">
        <is>
          <t>Implied/share</t>
        </is>
      </c>
      <c r="G26" t="inlineStr">
        <is>
          <t>Upside/(downside)</t>
        </is>
      </c>
    </row>
    <row r="27">
      <c r="A27" t="inlineStr">
        <is>
          <t>Bear</t>
        </is>
      </c>
      <c r="B27">
        <v>4327.923</v>
      </c>
      <c r="C27">
        <v>4616.586</v>
      </c>
      <c r="D27">
        <v>8944.509</v>
      </c>
      <c r="E27">
        <v>7860.56</v>
      </c>
      <c r="F27">
        <v>215.765</v>
      </c>
      <c r="G27">
        <v>-0.06998</v>
      </c>
    </row>
    <row r="28">
      <c r="A28" t="inlineStr">
        <is>
          <t>Base</t>
        </is>
      </c>
      <c r="B28">
        <v>5600.179</v>
      </c>
      <c r="C28">
        <v>8619.791</v>
      </c>
      <c r="D28">
        <v>14219.97</v>
      </c>
      <c r="E28">
        <v>13136.021</v>
      </c>
      <c r="F28">
        <v>360.571</v>
      </c>
      <c r="G28">
        <v>0.55419</v>
      </c>
    </row>
    <row r="29">
      <c r="A29" t="inlineStr">
        <is>
          <t>Bull</t>
        </is>
      </c>
      <c r="B29">
        <v>6645.877</v>
      </c>
      <c r="C29">
        <v>13266.753</v>
      </c>
      <c r="D29">
        <v>19912.63</v>
      </c>
      <c r="E29">
        <v>18828.681</v>
      </c>
      <c r="F29">
        <v>516.829</v>
      </c>
      <c r="G29">
        <v>1.22771</v>
      </c>
    </row>
    <row r="30"/>
    <row r="31">
      <c r="A31" t="inlineStr">
        <is>
          <t>Reverse DCF</t>
        </is>
      </c>
    </row>
    <row r="32">
      <c r="A32" t="inlineStr">
        <is>
          <t>Reverse DCF item</t>
        </is>
      </c>
      <c r="B32" t="inlineStr">
        <is>
          <t>Output</t>
        </is>
      </c>
    </row>
    <row r="33">
      <c r="A33" t="inlineStr">
        <is>
          <t>Current price</t>
        </is>
      </c>
      <c r="B33" t="inlineStr">
        <is>
          <t>$232.00</t>
        </is>
      </c>
    </row>
    <row r="34">
      <c r="A34" t="inlineStr">
        <is>
          <t>Current financial EV</t>
        </is>
      </c>
      <c r="B34" t="inlineStr">
        <is>
          <t>$9.536B</t>
        </is>
      </c>
    </row>
    <row r="35">
      <c r="A35" t="inlineStr">
        <is>
          <t>EV / TTM reported FCF</t>
        </is>
      </c>
      <c r="B35" t="inlineStr">
        <is>
          <t>14.0x</t>
        </is>
      </c>
    </row>
    <row r="36">
      <c r="A36" t="inlineStr">
        <is>
          <t>EV / TTM owner FCF after SBC</t>
        </is>
      </c>
      <c r="B36" t="inlineStr">
        <is>
          <t>15.6x</t>
        </is>
      </c>
    </row>
    <row r="37">
      <c r="A37" t="inlineStr">
        <is>
          <t>Implied owner-FCF CAGR at 8% discount, 16x terminal</t>
        </is>
      </c>
      <c r="B37" t="inlineStr">
        <is>
          <t>~0.0%</t>
        </is>
      </c>
    </row>
    <row r="38">
      <c r="A38" t="inlineStr">
        <is>
          <t>Implied owner-FCF CAGR at 8% discount, 14x terminal</t>
        </is>
      </c>
      <c r="B38" t="inlineStr">
        <is>
          <t>~1.0%</t>
        </is>
      </c>
    </row>
    <row r="39">
      <c r="A39" t="inlineStr">
        <is>
          <t>Owner FCF margin required on base revenue path, 16x terminal</t>
        </is>
      </c>
      <c r="B39" t="inlineStr">
        <is>
          <t>19.3%</t>
        </is>
      </c>
    </row>
    <row r="40">
      <c r="A40" t="inlineStr">
        <is>
          <t>Terminal multiple required if base FCF path is right</t>
        </is>
      </c>
      <c r="B40" t="inlineStr">
        <is>
          <t>8.2x</t>
        </is>
      </c>
    </row>
    <row r="41"/>
    <row r="42">
      <c r="A42" t="inlineStr">
        <is>
          <t>Formulas</t>
        </is>
      </c>
    </row>
    <row r="43">
      <c r="A43" t="inlineStr">
        <is>
          <t>Formula</t>
        </is>
      </c>
      <c r="B43" t="inlineStr">
        <is>
          <t>Plain-English expression</t>
        </is>
      </c>
    </row>
    <row r="44">
      <c r="A44" t="inlineStr">
        <is>
          <t>Reported FCF</t>
        </is>
      </c>
      <c r="B44" t="inlineStr">
        <is>
          <t>Operating cash flow minus purchases of productive assets / capex</t>
        </is>
      </c>
    </row>
    <row r="45">
      <c r="A45" t="inlineStr">
        <is>
          <t>Owner FCF</t>
        </is>
      </c>
      <c r="B45" t="inlineStr">
        <is>
          <t>Reported FCF minus SBC, treating stock comp as an owner cost</t>
        </is>
      </c>
    </row>
    <row r="46">
      <c r="A46" t="inlineStr">
        <is>
          <t>DCF EV</t>
        </is>
      </c>
      <c r="B46" t="inlineStr">
        <is>
          <t>Sum of discounted explicit owner FCF plus discounted terminal value</t>
        </is>
      </c>
    </row>
    <row r="47">
      <c r="A47" t="inlineStr">
        <is>
          <t>Terminal value</t>
        </is>
      </c>
      <c r="B47" t="inlineStr">
        <is>
          <t>Final-year owner FCF times terminal owner-FCF multiple</t>
        </is>
      </c>
    </row>
    <row r="48">
      <c r="A48" t="inlineStr">
        <is>
          <t>Equity value</t>
        </is>
      </c>
      <c r="B48" t="inlineStr">
        <is>
          <t>Enterprise value minus financial net debt</t>
        </is>
      </c>
    </row>
    <row r="49">
      <c r="A49" t="inlineStr">
        <is>
          <t>Implied price</t>
        </is>
      </c>
      <c r="B49" t="inlineStr">
        <is>
          <t>Equity value divided by current diluted/outstanding shares</t>
        </is>
      </c>
    </row>
    <row r="50">
      <c r="A50" t="inlineStr">
        <is>
          <t>Reverse DCF</t>
        </is>
      </c>
      <c r="B50" t="inlineStr">
        <is>
          <t>Solve the growth/margin/multiple that makes DCF EV equal current EV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Metric</t>
        </is>
      </c>
      <c r="B1" t="inlineStr">
        <is>
          <t>Bear</t>
        </is>
      </c>
      <c r="C1" t="inlineStr">
        <is>
          <t>Base</t>
        </is>
      </c>
      <c r="D1" t="inlineStr">
        <is>
          <t>Bull</t>
        </is>
      </c>
    </row>
    <row r="2">
      <c r="A2" t="inlineStr">
        <is>
          <t>FY26 revenue / ASV growth</t>
        </is>
      </c>
      <c r="B2" t="inlineStr">
        <is>
          <t>$2.45B; ASV +4-5%</t>
        </is>
      </c>
      <c r="C2" t="inlineStr">
        <is>
          <t>$2.46B; ASV +5.4-6.7%</t>
        </is>
      </c>
      <c r="D2" t="inlineStr">
        <is>
          <t>$2.47B; ASV +6.7%+</t>
        </is>
      </c>
    </row>
    <row r="3">
      <c r="A3" t="inlineStr">
        <is>
          <t>FY26-FY30 revenue CAGR</t>
        </is>
      </c>
      <c r="B3" t="inlineStr">
        <is>
          <t>3.3%</t>
        </is>
      </c>
      <c r="C3" t="inlineStr">
        <is>
          <t>5.2%</t>
        </is>
      </c>
      <c r="D3" t="inlineStr">
        <is>
          <t>6.7%</t>
        </is>
      </c>
    </row>
    <row r="4">
      <c r="A4" t="inlineStr">
        <is>
          <t>FY26-FY35 revenue CAGR</t>
        </is>
      </c>
      <c r="B4" t="inlineStr">
        <is>
          <t>2.7%</t>
        </is>
      </c>
      <c r="C4" t="inlineStr">
        <is>
          <t>4.4%</t>
        </is>
      </c>
      <c r="D4" t="inlineStr">
        <is>
          <t>5.5%</t>
        </is>
      </c>
    </row>
    <row r="5">
      <c r="A5" t="inlineStr">
        <is>
          <t>Owner FCF margin start -&gt; terminal</t>
        </is>
      </c>
      <c r="B5" t="inlineStr">
        <is>
          <t>22.5% -&gt; 23.5%</t>
        </is>
      </c>
      <c r="C5" t="inlineStr">
        <is>
          <t>26.0% -&gt; 27.0%</t>
        </is>
      </c>
      <c r="D5" t="inlineStr">
        <is>
          <t>28.5% -&gt; 29.5%</t>
        </is>
      </c>
    </row>
    <row r="6">
      <c r="A6" t="inlineStr">
        <is>
          <t>Tax rate</t>
        </is>
      </c>
      <c r="B6" t="inlineStr">
        <is>
          <t>21%</t>
        </is>
      </c>
      <c r="C6" t="inlineStr">
        <is>
          <t>19%</t>
        </is>
      </c>
      <c r="D6" t="inlineStr">
        <is>
          <t>18%</t>
        </is>
      </c>
    </row>
    <row r="7">
      <c r="A7" t="inlineStr">
        <is>
          <t>Capex / revenue</t>
        </is>
      </c>
      <c r="B7" t="inlineStr">
        <is>
          <t>5.0%</t>
        </is>
      </c>
      <c r="C7" t="inlineStr">
        <is>
          <t>4.5%</t>
        </is>
      </c>
      <c r="D7" t="inlineStr">
        <is>
          <t>4.0%</t>
        </is>
      </c>
    </row>
    <row r="8">
      <c r="A8" t="inlineStr">
        <is>
          <t>SBC / revenue</t>
        </is>
      </c>
      <c r="B8" t="inlineStr">
        <is>
          <t>3.5%</t>
        </is>
      </c>
      <c r="C8" t="inlineStr">
        <is>
          <t>3.0%</t>
        </is>
      </c>
      <c r="D8" t="inlineStr">
        <is>
          <t>2.5%</t>
        </is>
      </c>
    </row>
    <row r="9">
      <c r="A9" t="inlineStr">
        <is>
          <t>Discount rate</t>
        </is>
      </c>
      <c r="B9" t="inlineStr">
        <is>
          <t>9.0%</t>
        </is>
      </c>
      <c r="C9" t="inlineStr">
        <is>
          <t>8.0%</t>
        </is>
      </c>
      <c r="D9" t="inlineStr">
        <is>
          <t>7.5%</t>
        </is>
      </c>
    </row>
    <row r="10">
      <c r="A10" t="inlineStr">
        <is>
          <t>Terminal owner-FCF multiple</t>
        </is>
      </c>
      <c r="B10" t="inlineStr">
        <is>
          <t>14.0x</t>
        </is>
      </c>
      <c r="C10" t="inlineStr">
        <is>
          <t>18.0x</t>
        </is>
      </c>
      <c r="D10" t="inlineStr">
        <is>
          <t>22.0x</t>
        </is>
      </c>
    </row>
    <row r="11">
      <c r="A11" t="inlineStr">
        <is>
          <t>Net financial debt</t>
        </is>
      </c>
      <c r="B11" t="inlineStr">
        <is>
          <t>$1.084B</t>
        </is>
      </c>
      <c r="C11" t="inlineStr">
        <is>
          <t>$1.084B</t>
        </is>
      </c>
      <c r="D11" t="inlineStr">
        <is>
          <t>$1.084B</t>
        </is>
      </c>
    </row>
    <row r="12">
      <c r="A12" t="inlineStr">
        <is>
          <t>Current shares</t>
        </is>
      </c>
      <c r="B12" t="inlineStr">
        <is>
          <t>36.43M</t>
        </is>
      </c>
      <c r="C12" t="inlineStr">
        <is>
          <t>36.43M</t>
        </is>
      </c>
      <c r="D12" t="inlineStr">
        <is>
          <t>36.43M</t>
        </is>
      </c>
    </row>
    <row r="13">
      <c r="A13" t="inlineStr">
        <is>
          <t>Net share-count CAGR check</t>
        </is>
      </c>
      <c r="B13" t="inlineStr">
        <is>
          <t>-0.5%</t>
        </is>
      </c>
      <c r="C13" t="inlineStr">
        <is>
          <t>-1.5%</t>
        </is>
      </c>
      <c r="D13" t="inlineStr">
        <is>
          <t>-2.0%</t>
        </is>
      </c>
    </row>
    <row r="14">
      <c r="A14" t="inlineStr">
        <is>
          <t>10Y implied price CAGR vs current price</t>
        </is>
      </c>
      <c r="B14" s="1">
        <f>POWER(Valuation!F27/Valuation!$B$4,1/10)-1</f>
        <v>-0.007228499730664306</v>
      </c>
      <c r="C14" s="1">
        <f>POWER(Valuation!F28/Valuation!$B$4,1/10)-1</f>
        <v>0.04508179118965949</v>
      </c>
      <c r="D14" s="1">
        <f>POWER(Valuation!F29/Valuation!$B$4,1/10)-1</f>
        <v>0.08339266013744284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>Company</t>
        </is>
      </c>
      <c r="B1" t="inlineStr">
        <is>
          <t>Ticker</t>
        </is>
      </c>
      <c r="C1" t="inlineStr">
        <is>
          <t>Market cap</t>
        </is>
      </c>
      <c r="D1" t="inlineStr">
        <is>
          <t>EV</t>
        </is>
      </c>
      <c r="E1" t="inlineStr">
        <is>
          <t>Forward P/E</t>
        </is>
      </c>
      <c r="F1" t="inlineStr">
        <is>
          <t>EV/Sales</t>
        </is>
      </c>
      <c r="G1" t="inlineStr">
        <is>
          <t>EV/EBITDA</t>
        </is>
      </c>
      <c r="H1" t="inlineStr">
        <is>
          <t>EV/FCF</t>
        </is>
      </c>
    </row>
    <row r="2">
      <c r="A2" t="inlineStr">
        <is>
          <t>FactSet</t>
        </is>
      </c>
      <c r="B2" t="inlineStr">
        <is>
          <t>FDS</t>
        </is>
      </c>
      <c r="C2" t="inlineStr">
        <is>
          <t>8.45B</t>
        </is>
      </c>
      <c r="D2" t="inlineStr">
        <is>
          <t>9.72B</t>
        </is>
      </c>
      <c r="E2" t="inlineStr">
        <is>
          <t>12.6x</t>
        </is>
      </c>
      <c r="F2" t="inlineStr">
        <is>
          <t>4.1x</t>
        </is>
      </c>
      <c r="G2" t="inlineStr">
        <is>
          <t>10.7x</t>
        </is>
      </c>
      <c r="H2" t="inlineStr">
        <is>
          <t>14.2x</t>
        </is>
      </c>
    </row>
    <row r="3">
      <c r="A3" t="inlineStr">
        <is>
          <t>S&amp;P Global</t>
        </is>
      </c>
      <c r="B3" t="inlineStr">
        <is>
          <t>SPGI</t>
        </is>
      </c>
      <c r="C3" t="inlineStr">
        <is>
          <t>123.6B</t>
        </is>
      </c>
      <c r="D3" t="inlineStr">
        <is>
          <t>135.7B</t>
        </is>
      </c>
      <c r="E3" t="inlineStr">
        <is>
          <t>20.6x</t>
        </is>
      </c>
      <c r="F3" t="inlineStr">
        <is>
          <t>8.6x</t>
        </is>
      </c>
      <c r="G3" t="inlineStr">
        <is>
          <t>17.2x</t>
        </is>
      </c>
      <c r="H3" t="inlineStr">
        <is>
          <t>24.4x</t>
        </is>
      </c>
    </row>
    <row r="4">
      <c r="A4" t="inlineStr">
        <is>
          <t>Moody's</t>
        </is>
      </c>
      <c r="B4" t="inlineStr">
        <is>
          <t>MCO</t>
        </is>
      </c>
      <c r="C4" t="inlineStr">
        <is>
          <t>78.5B</t>
        </is>
      </c>
      <c r="D4" t="inlineStr">
        <is>
          <t>84.3B</t>
        </is>
      </c>
      <c r="E4" t="inlineStr">
        <is>
          <t>26.3x</t>
        </is>
      </c>
      <c r="F4" t="inlineStr">
        <is>
          <t>10.7x</t>
        </is>
      </c>
      <c r="G4" t="inlineStr">
        <is>
          <t>22.1x</t>
        </is>
      </c>
      <c r="H4" t="inlineStr">
        <is>
          <t>30.7x</t>
        </is>
      </c>
    </row>
    <row r="5">
      <c r="A5" t="inlineStr">
        <is>
          <t>MSCI</t>
        </is>
      </c>
      <c r="B5" t="inlineStr">
        <is>
          <t>MSCI</t>
        </is>
      </c>
      <c r="C5" t="inlineStr">
        <is>
          <t>42.9B</t>
        </is>
      </c>
      <c r="D5" t="inlineStr">
        <is>
          <t>49.0B</t>
        </is>
      </c>
      <c r="E5" t="inlineStr">
        <is>
          <t>28.9x</t>
        </is>
      </c>
      <c r="F5" t="inlineStr">
        <is>
          <t>15.1x</t>
        </is>
      </c>
      <c r="G5" t="inlineStr">
        <is>
          <t>25.8x</t>
        </is>
      </c>
      <c r="H5" t="inlineStr">
        <is>
          <t>31.4x</t>
        </is>
      </c>
    </row>
    <row r="6">
      <c r="A6" t="inlineStr">
        <is>
          <t>Thomson Reuters</t>
        </is>
      </c>
      <c r="B6" t="inlineStr">
        <is>
          <t>TRI</t>
        </is>
      </c>
      <c r="C6" t="inlineStr">
        <is>
          <t>37.7B</t>
        </is>
      </c>
      <c r="D6" t="inlineStr">
        <is>
          <t>39.9B</t>
        </is>
      </c>
      <c r="E6" t="inlineStr">
        <is>
          <t>18.6x</t>
        </is>
      </c>
      <c r="F6" t="inlineStr">
        <is>
          <t>5.2x</t>
        </is>
      </c>
      <c r="G6" t="inlineStr">
        <is>
          <t>18.4x</t>
        </is>
      </c>
      <c r="H6" t="inlineStr">
        <is>
          <t>19.3x</t>
        </is>
      </c>
    </row>
    <row r="7">
      <c r="A7" t="inlineStr">
        <is>
          <t>Morningstar</t>
        </is>
      </c>
      <c r="B7" t="inlineStr">
        <is>
          <t>MORN</t>
        </is>
      </c>
      <c r="C7" t="inlineStr">
        <is>
          <t>6.8B</t>
        </is>
      </c>
      <c r="D7" t="inlineStr">
        <is>
          <t>8.2B</t>
        </is>
      </c>
      <c r="E7" t="inlineStr">
        <is>
          <t>14.8x</t>
        </is>
      </c>
      <c r="F7" t="inlineStr">
        <is>
          <t>3.3x</t>
        </is>
      </c>
      <c r="G7" t="inlineStr">
        <is>
          <t>12.8x</t>
        </is>
      </c>
      <c r="H7" t="inlineStr">
        <is>
          <t>18.8x</t>
        </is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>Source</t>
        </is>
      </c>
      <c r="B1" t="inlineStr">
        <is>
          <t>Use</t>
        </is>
      </c>
    </row>
    <row r="2">
      <c r="A2" t="inlineStr">
        <is>
          <t>SEC companyfacts / 2025 10-K / Q2 2026 10-Q</t>
        </is>
      </c>
      <c r="B2" t="inlineStr">
        <is>
          <t>Historical actuals, cash, investments, debt, leases, share count</t>
        </is>
      </c>
    </row>
    <row r="3">
      <c r="A3" t="inlineStr">
        <is>
          <t>SEC 8-K / Q2 2026 press release</t>
        </is>
      </c>
      <c r="B3" t="inlineStr">
        <is>
          <t>Guidance, ASV, adjusted margins, Q2 FCF</t>
        </is>
      </c>
    </row>
    <row r="4">
      <c r="A4" t="inlineStr">
        <is>
          <t>StockAnalysis FDS forecast</t>
        </is>
      </c>
      <c r="B4" t="inlineStr">
        <is>
          <t>Quote, consensus target, FY2026/FY2027 revenue and EPS estimates</t>
        </is>
      </c>
    </row>
    <row r="5">
      <c r="A5" t="inlineStr">
        <is>
          <t>MarketScreener FDS valuation</t>
        </is>
      </c>
      <c r="B5" t="inlineStr">
        <is>
          <t>Consensus revenue, EPS, EV, trading multiples cross-check</t>
        </is>
      </c>
    </row>
    <row r="6">
      <c r="A6" t="inlineStr">
        <is>
          <t>StockAnalysis peer statistics</t>
        </is>
      </c>
      <c r="B6" t="inlineStr">
        <is>
          <t>Peer market caps and valuation multiples</t>
        </is>
      </c>
    </row>
    <row r="7">
      <c r="A7" t="inlineStr">
        <is>
          <t>FRED DGS10 / Federal Reserve H.15</t>
        </is>
      </c>
      <c r="B7" t="inlineStr">
        <is>
          <t>10-year Treasury input</t>
        </is>
      </c>
    </row>
    <row r="8">
      <c r="A8" t="inlineStr">
        <is>
          <t>Damodaran ERP data</t>
        </is>
      </c>
      <c r="B8" t="inlineStr">
        <is>
          <t>Equity risk premium input</t>
        </is>
      </c>
    </row>
    <row r="9">
      <c r="A9" t="inlineStr">
        <is>
          <t>Stooq FDS quote CSV</t>
        </is>
      </c>
      <c r="B9" t="inlineStr">
        <is>
          <t>Latest clean regular-session close used for current price: $232.00 on 2026-05-22</t>
        </is>
      </c>
    </row>
  </sheetData>
</worksheet>
</file>