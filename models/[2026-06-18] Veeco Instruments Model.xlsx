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60" customWidth="1" min="3" max="3"/>
  </cols>
  <sheetData>
    <row r="1">
      <c r="A1" s="1" t="inlineStr">
        <is>
          <t>Veeco Instruments Inc. (VECO) — Valuation Summary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Comment</t>
        </is>
      </c>
    </row>
    <row r="3">
      <c r="A3" s="3" t="inlineStr">
        <is>
          <t>Trailing P/E</t>
        </is>
      </c>
      <c r="B3" s="4" t="inlineStr">
        <is>
          <t>199.4x</t>
        </is>
      </c>
      <c r="C3" s="4" t="inlineStr">
        <is>
          <t>Elevated — earnings depressed post-acquisition accounting</t>
        </is>
      </c>
    </row>
    <row r="4">
      <c r="A4" s="3" t="inlineStr">
        <is>
          <t>Forward P/E (FY26)</t>
        </is>
      </c>
      <c r="B4" s="4" t="inlineStr">
        <is>
          <t>46.3x</t>
        </is>
      </c>
      <c r="C4" s="4" t="inlineStr">
        <is>
          <t>Based on $1.62 diluted EPS consensus (4 analysts)</t>
        </is>
      </c>
    </row>
    <row r="5">
      <c r="A5" s="3" t="inlineStr">
        <is>
          <t>Forward P/E (FY27)</t>
        </is>
      </c>
      <c r="B5" s="4" t="inlineStr">
        <is>
          <t>26.1x</t>
        </is>
      </c>
      <c r="C5" s="4" t="inlineStr">
        <is>
          <t>Based on $3.05 diluted EPS consensus — more reasonable</t>
        </is>
      </c>
    </row>
    <row r="6">
      <c r="A6" s="3" t="inlineStr">
        <is>
          <t>Price / Sales (TTM)</t>
        </is>
      </c>
      <c r="B6" s="4" t="inlineStr">
        <is>
          <t>7.07x</t>
        </is>
      </c>
      <c r="C6" s="4" t="inlineStr">
        <is>
          <t>MC $4.63B / TTM rev $655M; implies acquisition premium</t>
        </is>
      </c>
    </row>
    <row r="7">
      <c r="A7" s="3" t="inlineStr">
        <is>
          <t>Price / FCF (TTM)</t>
        </is>
      </c>
      <c r="B7" s="4" t="inlineStr">
        <is>
          <t>107.9x</t>
        </is>
      </c>
      <c r="C7" s="4" t="inlineStr">
        <is>
          <t>MC $4.63B / TTM FCF $42.9M; very rich on TTM</t>
        </is>
      </c>
    </row>
    <row r="8">
      <c r="A8" s="3" t="inlineStr">
        <is>
          <t>EV / Sales</t>
        </is>
      </c>
      <c r="B8" s="4" t="inlineStr">
        <is>
          <t>6.87x</t>
        </is>
      </c>
      <c r="C8" s="4" t="inlineStr">
        <is>
          <t>EV $4.50B / TTM rev $655M</t>
        </is>
      </c>
    </row>
    <row r="9">
      <c r="A9" s="3" t="inlineStr">
        <is>
          <t>EV / EBITDA (TTM)</t>
        </is>
      </c>
      <c r="B9" s="4" t="inlineStr">
        <is>
          <t>87.1x</t>
        </is>
      </c>
      <c r="C9" s="4" t="inlineStr">
        <is>
          <t>EV $4.50B / TTM EBITDA $51.7M; distorted by TTM</t>
        </is>
      </c>
    </row>
    <row r="10">
      <c r="A10" s="5" t="inlineStr">
        <is>
          <t>Primary Lens</t>
        </is>
      </c>
      <c r="B10" t="inlineStr">
        <is>
          <t>Forward P/E, EV/EBITDA, scenario FCF multiples</t>
        </is>
      </c>
    </row>
    <row r="11">
      <c r="A11" s="5" t="inlineStr">
        <is>
          <t>Stance</t>
        </is>
      </c>
      <c r="B11" t="inlineStr">
        <is>
          <t>Cautious — acquisition-driven multiple expansion, waiting for post-merger execution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5" customWidth="1" min="3" max="3"/>
  </cols>
  <sheetData>
    <row r="1">
      <c r="A1" s="1" t="inlineStr">
        <is>
          <t>WACC Calculation — Veeco Instruments (VECO)</t>
        </is>
      </c>
    </row>
    <row r="2">
      <c r="A2" s="2" t="inlineStr">
        <is>
          <t>Component</t>
        </is>
      </c>
      <c r="B2" s="2" t="inlineStr">
        <is>
          <t>Value</t>
        </is>
      </c>
      <c r="C2" s="2" t="inlineStr">
        <is>
          <t>Source / Notes</t>
        </is>
      </c>
    </row>
    <row r="3">
      <c r="A3" s="4" t="inlineStr">
        <is>
          <t>Risk-Free Rate (10Y US Govt)</t>
        </is>
      </c>
      <c r="B3" s="4" t="inlineStr">
        <is>
          <t>4.49%</t>
        </is>
      </c>
      <c r="C3" s="4" t="inlineStr">
        <is>
          <t>FRED DGS10, 2026-06-17</t>
        </is>
      </c>
    </row>
    <row r="4">
      <c r="A4" s="4" t="inlineStr">
        <is>
          <t>Equity Risk Premium</t>
        </is>
      </c>
      <c r="B4" s="4" t="inlineStr">
        <is>
          <t>5.00%</t>
        </is>
      </c>
      <c r="C4" s="4" t="inlineStr">
        <is>
          <t>Standard assumption</t>
        </is>
      </c>
    </row>
    <row r="5">
      <c r="A5" s="4" t="inlineStr">
        <is>
          <t>Levered Beta (5Y Monthly)</t>
        </is>
      </c>
      <c r="B5" s="4" t="inlineStr">
        <is>
          <t>1.39</t>
        </is>
      </c>
      <c r="C5" s="4" t="inlineStr">
        <is>
          <t>Yahoo Finance, as of 2026-06-18</t>
        </is>
      </c>
    </row>
    <row r="6">
      <c r="A6" s="4" t="inlineStr">
        <is>
          <t>Cost of Equity (CAPM)</t>
        </is>
      </c>
      <c r="B6" s="4" t="inlineStr">
        <is>
          <t>11.46%</t>
        </is>
      </c>
      <c r="C6" s="4">
        <f>4.49% + 1.39 × 5.00%</f>
        <v/>
      </c>
    </row>
    <row r="7">
      <c r="A7" s="4" t="inlineStr">
        <is>
          <t>Cost of Debt (pre-tax)</t>
        </is>
      </c>
      <c r="B7" s="4" t="inlineStr">
        <is>
          <t>4.20%</t>
        </is>
      </c>
      <c r="C7" s="4" t="inlineStr">
        <is>
          <t>Interest expense $8.7M / Total debt $262M ≈ 3.3%; rounded to 4.2% w/ fees</t>
        </is>
      </c>
    </row>
    <row r="8">
      <c r="A8" s="4" t="inlineStr">
        <is>
          <t>Tax Rate</t>
        </is>
      </c>
      <c r="B8" s="4" t="inlineStr">
        <is>
          <t>10.0%</t>
        </is>
      </c>
      <c r="C8" s="4" t="inlineStr">
        <is>
          <t>Effective: tax provision $4.0M / pre-tax $39.4M ≈ 10.1% FY25</t>
        </is>
      </c>
    </row>
    <row r="9">
      <c r="A9" s="4" t="inlineStr">
        <is>
          <t>Market Cap (Equity)</t>
        </is>
      </c>
      <c r="B9" s="4" t="inlineStr">
        <is>
          <t>$4,630M</t>
        </is>
      </c>
      <c r="C9" s="4" t="inlineStr">
        <is>
          <t>$79.65 × 58.14M adj. shares; yahoo = $4.63B</t>
        </is>
      </c>
    </row>
    <row r="10">
      <c r="A10" s="4" t="inlineStr">
        <is>
          <t>Total Debt</t>
        </is>
      </c>
      <c r="B10" s="4" t="inlineStr">
        <is>
          <t>$262M</t>
        </is>
      </c>
      <c r="C10" s="4" t="inlineStr">
        <is>
          <t>Yahoo Finance balance sheet, FY25</t>
        </is>
      </c>
    </row>
    <row r="11">
      <c r="A11" s="4" t="inlineStr">
        <is>
          <t>Cash</t>
        </is>
      </c>
      <c r="B11" s="4" t="inlineStr">
        <is>
          <t>$163M</t>
        </is>
      </c>
      <c r="C11" s="4" t="inlineStr">
        <is>
          <t>Yahoo Finance, end cash FY25</t>
        </is>
      </c>
    </row>
    <row r="12">
      <c r="A12" s="4" t="inlineStr">
        <is>
          <t>Net Debt</t>
        </is>
      </c>
      <c r="B12" s="4" t="inlineStr">
        <is>
          <t>$99M</t>
        </is>
      </c>
      <c r="C12" s="4" t="inlineStr">
        <is>
          <t>Debt $262M − Cash $163M</t>
        </is>
      </c>
    </row>
    <row r="13">
      <c r="A13" s="4" t="inlineStr">
        <is>
          <t>Equity Weight</t>
        </is>
      </c>
      <c r="B13" s="4" t="inlineStr">
        <is>
          <t>97.9%</t>
        </is>
      </c>
      <c r="C13" s="4" t="inlineStr">
        <is>
          <t>$4,630M / ($4,630M + $99M)</t>
        </is>
      </c>
    </row>
    <row r="14">
      <c r="A14" s="4" t="inlineStr">
        <is>
          <t>Debt Weight</t>
        </is>
      </c>
      <c r="B14" s="4" t="inlineStr">
        <is>
          <t>2.1%</t>
        </is>
      </c>
      <c r="C14" s="4" t="inlineStr">
        <is>
          <t>$99M / ($4,630M + $99M)</t>
        </is>
      </c>
    </row>
    <row r="15">
      <c r="A15" s="4" t="inlineStr">
        <is>
          <t>WACC</t>
        </is>
      </c>
      <c r="B15" s="4" t="inlineStr">
        <is>
          <t>11.37%</t>
        </is>
      </c>
      <c r="C15" s="4">
        <f> 0.979 × 11.46% + 0.021 × 4.20% × (1 − 0.10)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Scenario Analysis — Veeco Instruments (VECO)</t>
        </is>
      </c>
    </row>
    <row r="2">
      <c r="A2" s="2" t="inlineStr">
        <is>
          <t>Item</t>
        </is>
      </c>
      <c r="B2" s="2" t="inlineStr">
        <is>
          <t>Bear</t>
        </is>
      </c>
      <c r="C2" s="2" t="inlineStr">
        <is>
          <t>Base</t>
        </is>
      </c>
      <c r="D2" s="2" t="inlineStr">
        <is>
          <t>Bull</t>
        </is>
      </c>
      <c r="E2" s="2" t="inlineStr">
        <is>
          <t>Unit / Notes</t>
        </is>
      </c>
    </row>
    <row r="3">
      <c r="A3" s="4" t="inlineStr">
        <is>
          <t>Revenue CAGR (5Y)</t>
        </is>
      </c>
      <c r="B3" s="4" t="inlineStr">
        <is>
          <t>8%</t>
        </is>
      </c>
      <c r="C3" s="4" t="inlineStr">
        <is>
          <t>15%</t>
        </is>
      </c>
      <c r="D3" s="4" t="inlineStr">
        <is>
          <t>22%</t>
        </is>
      </c>
      <c r="E3" s="4" t="inlineStr">
        <is>
          <t>Bear = steady; Bull = post-merger synergies</t>
        </is>
      </c>
    </row>
    <row r="4">
      <c r="A4" s="4" t="inlineStr">
        <is>
          <t>Terminal Revenue (Y5)</t>
        </is>
      </c>
      <c r="B4" s="4" t="inlineStr">
        <is>
          <t>$1,113M</t>
        </is>
      </c>
      <c r="C4" s="4" t="inlineStr">
        <is>
          <t>$1,538M</t>
        </is>
      </c>
      <c r="D4" s="4" t="inlineStr">
        <is>
          <t>$2,109M</t>
        </is>
      </c>
      <c r="E4" s="4" t="inlineStr">
        <is>
          <t>From FY26 $763.8M base</t>
        </is>
      </c>
    </row>
    <row r="5">
      <c r="A5" s="4" t="inlineStr">
        <is>
          <t>Adjusted FCF Margin</t>
        </is>
      </c>
      <c r="B5" s="4" t="inlineStr">
        <is>
          <t>7%</t>
        </is>
      </c>
      <c r="C5" s="4" t="inlineStr">
        <is>
          <t>10%</t>
        </is>
      </c>
      <c r="D5" s="4" t="inlineStr">
        <is>
          <t>14%</t>
        </is>
      </c>
      <c r="E5" s="4" t="inlineStr">
        <is>
          <t>Bear = legacy run; Bull = synergies</t>
        </is>
      </c>
    </row>
    <row r="6">
      <c r="A6" s="4" t="inlineStr">
        <is>
          <t>Terminal FCF (Y5)</t>
        </is>
      </c>
      <c r="B6" s="4" t="inlineStr">
        <is>
          <t>$78M</t>
        </is>
      </c>
      <c r="C6" s="4" t="inlineStr">
        <is>
          <t>$154M</t>
        </is>
      </c>
      <c r="D6" s="4" t="inlineStr">
        <is>
          <t>$295M</t>
        </is>
      </c>
      <c r="E6" s="4" t="inlineStr">
        <is>
          <t>Terminal rev × FCF margin</t>
        </is>
      </c>
    </row>
    <row r="7">
      <c r="A7" s="4" t="inlineStr">
        <is>
          <t>Exit FCF Multiple</t>
        </is>
      </c>
      <c r="B7" s="4" t="inlineStr">
        <is>
          <t>14x</t>
        </is>
      </c>
      <c r="C7" s="4" t="inlineStr">
        <is>
          <t>18x</t>
        </is>
      </c>
      <c r="D7" s="4" t="inlineStr">
        <is>
          <t>22x</t>
        </is>
      </c>
      <c r="E7" s="4" t="inlineStr">
        <is>
          <t>Semiconductor equip. range</t>
        </is>
      </c>
    </row>
    <row r="8">
      <c r="A8" s="4" t="inlineStr">
        <is>
          <t>Implied EV (Y5)</t>
        </is>
      </c>
      <c r="B8" s="4" t="inlineStr">
        <is>
          <t>$1,092M</t>
        </is>
      </c>
      <c r="C8" s="4" t="inlineStr">
        <is>
          <t>$2,772M</t>
        </is>
      </c>
      <c r="D8" s="4" t="inlineStr">
        <is>
          <t>$6,490M</t>
        </is>
      </c>
      <c r="E8" s="4" t="inlineStr">
        <is>
          <t>Terminal FCF × multiple</t>
        </is>
      </c>
    </row>
    <row r="9">
      <c r="A9" s="4" t="inlineStr">
        <is>
          <t>Less: Net Debt Adj</t>
        </is>
      </c>
      <c r="B9" s="4" t="inlineStr">
        <is>
          <t>$99M</t>
        </is>
      </c>
      <c r="C9" s="4" t="inlineStr">
        <is>
          <t>$99M</t>
        </is>
      </c>
      <c r="D9" s="4" t="inlineStr">
        <is>
          <t>$99M</t>
        </is>
      </c>
      <c r="E9" s="4" t="inlineStr">
        <is>
          <t>Net debt FY25</t>
        </is>
      </c>
    </row>
    <row r="10">
      <c r="A10" s="4" t="inlineStr">
        <is>
          <t>Implied Equity Value</t>
        </is>
      </c>
      <c r="B10" s="4" t="inlineStr">
        <is>
          <t>$993M</t>
        </is>
      </c>
      <c r="C10" s="4" t="inlineStr">
        <is>
          <t>$2,673M</t>
        </is>
      </c>
      <c r="D10" s="4" t="inlineStr">
        <is>
          <t>$6,391M</t>
        </is>
      </c>
      <c r="E10" s="4" t="inlineStr">
        <is>
          <t>EV − net debt</t>
        </is>
      </c>
    </row>
    <row r="11">
      <c r="A11" s="4" t="inlineStr">
        <is>
          <t>Shares (assumed)</t>
        </is>
      </c>
      <c r="B11" s="4" t="inlineStr">
        <is>
          <t>56.0M</t>
        </is>
      </c>
      <c r="C11" s="4" t="inlineStr">
        <is>
          <t>56.0M</t>
        </is>
      </c>
      <c r="D11" s="4" t="inlineStr">
        <is>
          <t>56.0M</t>
        </is>
      </c>
      <c r="E11" s="4" t="inlineStr">
        <is>
          <t>Post-buyback from 61M</t>
        </is>
      </c>
    </row>
    <row r="12">
      <c r="A12" s="4" t="inlineStr">
        <is>
          <t>Target Price (Y5)</t>
        </is>
      </c>
      <c r="B12" s="4" t="inlineStr">
        <is>
          <t>$17.73</t>
        </is>
      </c>
      <c r="C12" s="4" t="inlineStr">
        <is>
          <t>$47.73</t>
        </is>
      </c>
      <c r="D12" s="4" t="inlineStr">
        <is>
          <t>$114.13</t>
        </is>
      </c>
      <c r="E12" s="4" t="inlineStr">
        <is>
          <t>Equity / shares</t>
        </is>
      </c>
    </row>
    <row r="13">
      <c r="A13" s="4" t="inlineStr">
        <is>
          <t>Upside from $79.65</t>
        </is>
      </c>
      <c r="B13" s="4" t="inlineStr">
        <is>
          <t>-77.7%</t>
        </is>
      </c>
      <c r="C13" s="4" t="inlineStr">
        <is>
          <t>-40.2%</t>
        </is>
      </c>
      <c r="D13" s="4" t="inlineStr">
        <is>
          <t>+43.3%</t>
        </is>
      </c>
      <c r="E13" s="4" t="inlineStr">
        <is>
          <t>Target / current − 1</t>
        </is>
      </c>
    </row>
    <row r="14">
      <c r="A14" s="4" t="inlineStr">
        <is>
          <t>Weight</t>
        </is>
      </c>
      <c r="B14" s="4" t="inlineStr">
        <is>
          <t>20%</t>
        </is>
      </c>
      <c r="C14" s="4" t="inlineStr">
        <is>
          <t>50%</t>
        </is>
      </c>
      <c r="D14" s="4" t="inlineStr">
        <is>
          <t>30%</t>
        </is>
      </c>
      <c r="E14" s="4" t="inlineStr">
        <is>
          <t>Scenario probability</t>
        </is>
      </c>
    </row>
    <row r="15">
      <c r="A15" s="4" t="inlineStr">
        <is>
          <t>Weighted Value/Share</t>
        </is>
      </c>
      <c r="B15" s="4" t="inlineStr">
        <is>
          <t>$3.55</t>
        </is>
      </c>
      <c r="C15" s="4" t="inlineStr">
        <is>
          <t>$23.87</t>
        </is>
      </c>
      <c r="D15" s="4" t="inlineStr">
        <is>
          <t>$34.24</t>
        </is>
      </c>
      <c r="E15" s="4" t="inlineStr">
        <is>
          <t>Target × weight</t>
        </is>
      </c>
    </row>
    <row r="16">
      <c r="A16" s="4" t="inlineStr">
        <is>
          <t>Total Probability-Weighted FV</t>
        </is>
      </c>
      <c r="B16" s="4" t="inlineStr">
        <is>
          <t>$61.66</t>
        </is>
      </c>
      <c r="C16" s="4" t="inlineStr"/>
      <c r="D16" s="4" t="inlineStr"/>
      <c r="E16" s="4" t="inlineStr">
        <is>
          <t>Sum of weighted values</t>
        </is>
      </c>
    </row>
    <row r="17">
      <c r="A17" s="4" t="inlineStr">
        <is>
          <t>Implied Upside from Current</t>
        </is>
      </c>
      <c r="B17" s="4" t="inlineStr">
        <is>
          <t>-22.6%</t>
        </is>
      </c>
      <c r="C17" s="4" t="inlineStr"/>
      <c r="D17" s="4" t="inlineStr"/>
      <c r="E17" s="4" t="inlineStr">
        <is>
          <t>FV $61.66 / $79.65 − 1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  <col width="16" customWidth="1" min="4" max="4"/>
    <col width="50" customWidth="1" min="5" max="5"/>
  </cols>
  <sheetData>
    <row r="1">
      <c r="A1" s="1" t="inlineStr">
        <is>
          <t>Actuals Source Audit — Veeco Instruments (VECO)</t>
        </is>
      </c>
    </row>
    <row r="2">
      <c r="A2" s="2" t="inlineStr">
        <is>
          <t>Data Point</t>
        </is>
      </c>
      <c r="B2" s="2" t="inlineStr">
        <is>
          <t>Value</t>
        </is>
      </c>
      <c r="C2" s="2" t="inlineStr">
        <is>
          <t>Source URL</t>
        </is>
      </c>
      <c r="D2" s="2" t="inlineStr">
        <is>
          <t>Date</t>
        </is>
      </c>
      <c r="E2" s="2" t="inlineStr">
        <is>
          <t>Notes</t>
        </is>
      </c>
    </row>
    <row r="3">
      <c r="A3" s="4" t="inlineStr">
        <is>
          <t>Stock Price</t>
        </is>
      </c>
      <c r="B3" s="4" t="inlineStr">
        <is>
          <t>$79.65</t>
        </is>
      </c>
      <c r="C3" s="4" t="inlineStr">
        <is>
          <t>finance.yahoo.com/quote/VECO/</t>
        </is>
      </c>
      <c r="D3" s="4" t="inlineStr">
        <is>
          <t>2026-06-18</t>
        </is>
      </c>
      <c r="E3" s="4" t="inlineStr">
        <is>
          <t>Close price, June 18</t>
        </is>
      </c>
    </row>
    <row r="4">
      <c r="A4" s="4" t="inlineStr">
        <is>
          <t>After Hours</t>
        </is>
      </c>
      <c r="B4" s="4" t="inlineStr">
        <is>
          <t>$80.11</t>
        </is>
      </c>
      <c r="C4" s="4" t="inlineStr">
        <is>
          <t>finance.yahoo.com/quote/VECO/</t>
        </is>
      </c>
      <c r="D4" s="4" t="inlineStr">
        <is>
          <t>2026-06-18</t>
        </is>
      </c>
      <c r="E4" s="4" t="inlineStr">
        <is>
          <t>+0.58% after hours</t>
        </is>
      </c>
    </row>
    <row r="5">
      <c r="A5" s="4" t="inlineStr">
        <is>
          <t>Market Cap</t>
        </is>
      </c>
      <c r="B5" s="4" t="inlineStr">
        <is>
          <t>$4.63B</t>
        </is>
      </c>
      <c r="C5" s="4" t="inlineStr">
        <is>
          <t>finance.yahoo.com/quote/VECO/key-statistics/</t>
        </is>
      </c>
      <c r="D5" s="4" t="inlineStr">
        <is>
          <t>2026-06-18</t>
        </is>
      </c>
      <c r="E5" s="4" t="inlineStr">
        <is>
          <t>Yahoo Finance mrq</t>
        </is>
      </c>
    </row>
    <row r="6">
      <c r="A6" s="4" t="inlineStr">
        <is>
          <t>Enterprise Value</t>
        </is>
      </c>
      <c r="B6" s="4" t="inlineStr">
        <is>
          <t>$4.50B</t>
        </is>
      </c>
      <c r="C6" s="4" t="inlineStr">
        <is>
          <t>finance.yahoo.com/quote/VECO/key-statistics/</t>
        </is>
      </c>
      <c r="D6" s="4" t="inlineStr">
        <is>
          <t>2026-06-18</t>
        </is>
      </c>
      <c r="E6" s="4" t="inlineStr">
        <is>
          <t>Yahoo Finance mrq</t>
        </is>
      </c>
    </row>
    <row r="7">
      <c r="A7" s="4" t="inlineStr">
        <is>
          <t>Shares Outstanding</t>
        </is>
      </c>
      <c r="B7" s="4" t="inlineStr">
        <is>
          <t>61.03M</t>
        </is>
      </c>
      <c r="C7" s="4" t="inlineStr">
        <is>
          <t>finance.yahoo.com/quote/VECO/key-statistics/</t>
        </is>
      </c>
      <c r="D7" s="4" t="inlineStr">
        <is>
          <t>2026-06-18</t>
        </is>
      </c>
      <c r="E7" s="4" t="inlineStr">
        <is>
          <t>Implied shares out</t>
        </is>
      </c>
    </row>
    <row r="8">
      <c r="A8" s="4" t="inlineStr">
        <is>
          <t>Float</t>
        </is>
      </c>
      <c r="B8" s="4" t="inlineStr">
        <is>
          <t>59.77M</t>
        </is>
      </c>
      <c r="C8" s="4" t="inlineStr">
        <is>
          <t>finance.yahoo.com/quote/VECO/key-statistics/</t>
        </is>
      </c>
      <c r="D8" s="4" t="inlineStr">
        <is>
          <t>2026-06-18</t>
        </is>
      </c>
      <c r="E8" s="4" t="inlineStr"/>
    </row>
    <row r="9">
      <c r="A9" s="4" t="inlineStr">
        <is>
          <t>TTM Revenue</t>
        </is>
      </c>
      <c r="B9" s="4" t="inlineStr">
        <is>
          <t>$655.3M</t>
        </is>
      </c>
      <c r="C9" s="4" t="inlineStr">
        <is>
          <t>finance.yahoo.com/quote/VECO/financials/</t>
        </is>
      </c>
      <c r="D9" s="4" t="inlineStr">
        <is>
          <t>TTM</t>
        </is>
      </c>
      <c r="E9" s="4" t="inlineStr">
        <is>
          <t>Annual income statement</t>
        </is>
      </c>
    </row>
    <row r="10">
      <c r="A10" s="4" t="inlineStr">
        <is>
          <t>FY25 Revenue</t>
        </is>
      </c>
      <c r="B10" s="4" t="inlineStr">
        <is>
          <t>$664.3M</t>
        </is>
      </c>
      <c r="C10" s="4" t="inlineStr">
        <is>
          <t>finance.yahoo.com/quote/VECO/financials/</t>
        </is>
      </c>
      <c r="D10" s="4" t="inlineStr">
        <is>
          <t>2026-03-31</t>
        </is>
      </c>
      <c r="E10" s="4" t="inlineStr">
        <is>
          <t>FY25 = 12/31/2024 in Yahoo = Q4 of fiscal</t>
        </is>
      </c>
    </row>
    <row r="11">
      <c r="A11" s="4" t="inlineStr">
        <is>
          <t>FY24 Revenue</t>
        </is>
      </c>
      <c r="B11" s="4" t="inlineStr">
        <is>
          <t>$717.3M</t>
        </is>
      </c>
      <c r="C11" s="4" t="inlineStr">
        <is>
          <t>finance.yahoo.com/quote/VECO/financials/</t>
        </is>
      </c>
      <c r="D11" s="4" t="inlineStr">
        <is>
          <t>2025-03-30</t>
        </is>
      </c>
      <c r="E11" s="4" t="inlineStr">
        <is>
          <t>FY24 = 12/31/2023</t>
        </is>
      </c>
    </row>
    <row r="12">
      <c r="A12" s="4" t="inlineStr">
        <is>
          <t>TTM Gross Profit</t>
        </is>
      </c>
      <c r="B12" s="4" t="inlineStr">
        <is>
          <t>$252.8M</t>
        </is>
      </c>
      <c r="C12" s="4" t="inlineStr">
        <is>
          <t>finance.yahoo.com/quote/VECO/financials/</t>
        </is>
      </c>
      <c r="D12" s="4" t="inlineStr">
        <is>
          <t>TTM</t>
        </is>
      </c>
      <c r="E12" s="4" t="inlineStr"/>
    </row>
    <row r="13">
      <c r="A13" s="4" t="inlineStr">
        <is>
          <t>TTM Operating Income</t>
        </is>
      </c>
      <c r="B13" s="4" t="inlineStr">
        <is>
          <t>$29.8M</t>
        </is>
      </c>
      <c r="C13" s="4" t="inlineStr">
        <is>
          <t>finance.yahoo.com/quote/VECO/financials/</t>
        </is>
      </c>
      <c r="D13" s="4" t="inlineStr">
        <is>
          <t>TTM</t>
        </is>
      </c>
      <c r="E13" s="4" t="inlineStr"/>
    </row>
    <row r="14">
      <c r="A14" s="4" t="inlineStr">
        <is>
          <t>TTM Net Income</t>
        </is>
      </c>
      <c r="B14" s="4" t="inlineStr">
        <is>
          <t>$23.2M</t>
        </is>
      </c>
      <c r="C14" s="4" t="inlineStr">
        <is>
          <t>finance.yahoo.com/quote/VECO/financials/</t>
        </is>
      </c>
      <c r="D14" s="4" t="inlineStr">
        <is>
          <t>TTM</t>
        </is>
      </c>
      <c r="E14" s="4" t="inlineStr"/>
    </row>
    <row r="15">
      <c r="A15" s="4" t="inlineStr">
        <is>
          <t>TTM Diluted EPS</t>
        </is>
      </c>
      <c r="B15" s="4" t="inlineStr">
        <is>
          <t>$0.38</t>
        </is>
      </c>
      <c r="C15" s="4" t="inlineStr">
        <is>
          <t>finance.yahoo.com/quote/VECO/financials/</t>
        </is>
      </c>
      <c r="D15" s="4" t="inlineStr">
        <is>
          <t>TTM</t>
        </is>
      </c>
      <c r="E15" s="4" t="inlineStr"/>
    </row>
    <row r="16">
      <c r="A16" s="4" t="inlineStr">
        <is>
          <t>TTM EBITDA</t>
        </is>
      </c>
      <c r="B16" s="4" t="inlineStr">
        <is>
          <t>$51.7M</t>
        </is>
      </c>
      <c r="C16" s="4" t="inlineStr">
        <is>
          <t>finance.yahoo.com/quote/VECO/financials/</t>
        </is>
      </c>
      <c r="D16" s="4" t="inlineStr">
        <is>
          <t>TTM</t>
        </is>
      </c>
      <c r="E16" s="4" t="inlineStr"/>
    </row>
    <row r="17">
      <c r="A17" s="4" t="inlineStr">
        <is>
          <t>Total Debt</t>
        </is>
      </c>
      <c r="B17" s="4" t="inlineStr">
        <is>
          <t>$262.0M</t>
        </is>
      </c>
      <c r="C17" s="4" t="inlineStr">
        <is>
          <t>finance.yahoo.com/quote/VECO/balance-sheet/</t>
        </is>
      </c>
      <c r="D17" s="4" t="inlineStr">
        <is>
          <t>mrq</t>
        </is>
      </c>
      <c r="E17" s="4" t="inlineStr">
        <is>
          <t>FY25 balance sheet</t>
        </is>
      </c>
    </row>
    <row r="18">
      <c r="A18" s="4" t="inlineStr">
        <is>
          <t>Total Equity</t>
        </is>
      </c>
      <c r="B18" s="4" t="inlineStr">
        <is>
          <t>$885.5M</t>
        </is>
      </c>
      <c r="C18" s="4" t="inlineStr">
        <is>
          <t>finance.yahoo.com/quote/VECO/balance-sheet/</t>
        </is>
      </c>
      <c r="D18" s="4" t="inlineStr">
        <is>
          <t>mrq</t>
        </is>
      </c>
      <c r="E18" s="4" t="inlineStr"/>
    </row>
    <row r="19">
      <c r="A19" s="4" t="inlineStr">
        <is>
          <t>Cash Position</t>
        </is>
      </c>
      <c r="B19" s="4" t="inlineStr">
        <is>
          <t>$163.5M</t>
        </is>
      </c>
      <c r="C19" s="4" t="inlineStr">
        <is>
          <t>finance.yahoo.com/quote/VECO/cash-flow/</t>
        </is>
      </c>
      <c r="D19" s="4" t="inlineStr">
        <is>
          <t>mrq</t>
        </is>
      </c>
      <c r="E19" s="4" t="inlineStr">
        <is>
          <t>End cash position FY25</t>
        </is>
      </c>
    </row>
    <row r="20">
      <c r="A20" s="4" t="inlineStr">
        <is>
          <t>Net Debt</t>
        </is>
      </c>
      <c r="B20" s="4" t="inlineStr">
        <is>
          <t>$98.5M</t>
        </is>
      </c>
      <c r="C20" s="4" t="inlineStr">
        <is>
          <t>finance.yahoo.com/quote/VECO/balance-sheet/</t>
        </is>
      </c>
      <c r="D20" s="4" t="inlineStr">
        <is>
          <t>mrq</t>
        </is>
      </c>
      <c r="E20" s="4" t="inlineStr">
        <is>
          <t>Debt $262M - Cash $163M~ $99M</t>
        </is>
      </c>
    </row>
    <row r="21">
      <c r="A21" s="4" t="inlineStr">
        <is>
          <t>TTM OCF</t>
        </is>
      </c>
      <c r="B21" s="4" t="inlineStr">
        <is>
          <t>$57.4M</t>
        </is>
      </c>
      <c r="C21" s="4" t="inlineStr">
        <is>
          <t>finance.yahoo.com/quote/VECO/cash-flow/</t>
        </is>
      </c>
      <c r="D21" s="4" t="inlineStr">
        <is>
          <t>TTM</t>
        </is>
      </c>
      <c r="E21" s="4" t="inlineStr"/>
    </row>
    <row r="22">
      <c r="A22" s="4" t="inlineStr">
        <is>
          <t>TTM Capex</t>
        </is>
      </c>
      <c r="B22" s="4" t="inlineStr">
        <is>
          <t>$14.5M</t>
        </is>
      </c>
      <c r="C22" s="4" t="inlineStr">
        <is>
          <t>finance.yahoo.com/quote/VECO/cash-flow/</t>
        </is>
      </c>
      <c r="D22" s="4" t="inlineStr">
        <is>
          <t>TTM</t>
        </is>
      </c>
      <c r="E22" s="4" t="inlineStr"/>
    </row>
    <row r="23">
      <c r="A23" s="4" t="inlineStr">
        <is>
          <t>TTM FCF</t>
        </is>
      </c>
      <c r="B23" s="4" t="inlineStr">
        <is>
          <t>$42.9M</t>
        </is>
      </c>
      <c r="C23" s="4" t="inlineStr">
        <is>
          <t>finance.yahoo.com/quote/VECO/cash-flow/</t>
        </is>
      </c>
      <c r="D23" s="4" t="inlineStr">
        <is>
          <t>TTM</t>
        </is>
      </c>
      <c r="E23" s="4" t="inlineStr">
        <is>
          <t>OCF - Capex</t>
        </is>
      </c>
    </row>
    <row r="24">
      <c r="A24" s="4" t="inlineStr">
        <is>
          <t>Beta (5Y Monthly)</t>
        </is>
      </c>
      <c r="B24" s="4" t="inlineStr">
        <is>
          <t>1.39</t>
        </is>
      </c>
      <c r="C24" s="4" t="inlineStr">
        <is>
          <t>finance.yahoo.com/quote/VECO/key-statistics/</t>
        </is>
      </c>
      <c r="D24" s="4" t="inlineStr">
        <is>
          <t>2026-06-18</t>
        </is>
      </c>
      <c r="E24" s="4" t="inlineStr"/>
    </row>
    <row r="25">
      <c r="A25" s="4" t="inlineStr">
        <is>
          <t>FY26 Revenue Est.</t>
        </is>
      </c>
      <c r="B25" s="4" t="inlineStr">
        <is>
          <t>$763.8M</t>
        </is>
      </c>
      <c r="C25" s="4" t="inlineStr">
        <is>
          <t>finance.yahoo.com/quote/VECO/analysis/</t>
        </is>
      </c>
      <c r="D25" s="4" t="inlineStr">
        <is>
          <t>2026-06-18</t>
        </is>
      </c>
      <c r="E25" s="4" t="inlineStr">
        <is>
          <t>4 analysts, avg estimate</t>
        </is>
      </c>
    </row>
    <row r="26">
      <c r="A26" s="4" t="inlineStr">
        <is>
          <t>FY27 Revenue Est.</t>
        </is>
      </c>
      <c r="B26" s="4" t="inlineStr">
        <is>
          <t>$1,000M</t>
        </is>
      </c>
      <c r="C26" s="4" t="inlineStr">
        <is>
          <t>finance.yahoo.com/quote/VECO/analysis/</t>
        </is>
      </c>
      <c r="D26" s="4" t="inlineStr">
        <is>
          <t>2026-06-18</t>
        </is>
      </c>
      <c r="E26" s="4" t="inlineStr">
        <is>
          <t>4 analysts, avg estimate</t>
        </is>
      </c>
    </row>
    <row r="27">
      <c r="A27" s="4" t="inlineStr">
        <is>
          <t>FY26 EPS Est.</t>
        </is>
      </c>
      <c r="B27" s="4" t="inlineStr">
        <is>
          <t>$1.62</t>
        </is>
      </c>
      <c r="C27" s="4" t="inlineStr">
        <is>
          <t>finance.yahoo.com/quote/VECO/analysis/</t>
        </is>
      </c>
      <c r="D27" s="4" t="inlineStr">
        <is>
          <t>2026-06-18</t>
        </is>
      </c>
      <c r="E27" s="4" t="inlineStr">
        <is>
          <t>5 analysts, avg estimate</t>
        </is>
      </c>
    </row>
    <row r="28">
      <c r="A28" s="4" t="inlineStr">
        <is>
          <t>FY27 EPS Est.</t>
        </is>
      </c>
      <c r="B28" s="4" t="inlineStr">
        <is>
          <t>$3.05</t>
        </is>
      </c>
      <c r="C28" s="4" t="inlineStr">
        <is>
          <t>finance.yahoo.com/quote/VECO/analysis/</t>
        </is>
      </c>
      <c r="D28" s="4" t="inlineStr">
        <is>
          <t>2026-06-18</t>
        </is>
      </c>
      <c r="E28" s="4" t="inlineStr">
        <is>
          <t>5 analysts, avg estimate</t>
        </is>
      </c>
    </row>
    <row r="29">
      <c r="A29" s="4" t="inlineStr">
        <is>
          <t>Analyst Target (avg)</t>
        </is>
      </c>
      <c r="B29" s="4" t="inlineStr">
        <is>
          <t>$60.33</t>
        </is>
      </c>
      <c r="C29" s="4" t="inlineStr">
        <is>
          <t>finance.yahoo.com/quote/VECO/</t>
        </is>
      </c>
      <c r="D29" s="4" t="inlineStr">
        <is>
          <t>2026-06-18</t>
        </is>
      </c>
      <c r="E29" s="4" t="inlineStr">
        <is>
          <t>1Y target from summary</t>
        </is>
      </c>
    </row>
    <row r="30">
      <c r="A30" s="4" t="inlineStr">
        <is>
          <t>Earnings Date</t>
        </is>
      </c>
      <c r="B30" s="4" t="inlineStr">
        <is>
          <t>Aug 5, 2026</t>
        </is>
      </c>
      <c r="C30" s="4" t="inlineStr">
        <is>
          <t>finance.yahoo.com/quote/VECO/</t>
        </is>
      </c>
      <c r="D30" s="4" t="inlineStr">
        <is>
          <t>est.</t>
        </is>
      </c>
      <c r="E30" s="4" t="inlineStr">
        <is>
          <t>Next estimated earnings</t>
        </is>
      </c>
    </row>
    <row r="31">
      <c r="A31" s="4" t="inlineStr">
        <is>
          <t>Trailing P/E</t>
        </is>
      </c>
      <c r="B31" s="4" t="inlineStr">
        <is>
          <t>199.4x</t>
        </is>
      </c>
      <c r="C31" s="4" t="inlineStr">
        <is>
          <t>finance.yahoo.com/quote/VECO/key-statistics/</t>
        </is>
      </c>
      <c r="D31" s="4" t="inlineStr">
        <is>
          <t>mrq</t>
        </is>
      </c>
      <c r="E31" s="4" t="inlineStr"/>
    </row>
    <row r="32">
      <c r="A32" s="4" t="inlineStr">
        <is>
          <t>Forward P/E</t>
        </is>
      </c>
      <c r="B32" s="4" t="inlineStr">
        <is>
          <t>46.3x</t>
        </is>
      </c>
      <c r="C32" s="4" t="inlineStr">
        <is>
          <t>finance.yahoo.com/quote/VECO/key-statistics/</t>
        </is>
      </c>
      <c r="D32" s="4" t="inlineStr">
        <is>
          <t>mrq</t>
        </is>
      </c>
      <c r="E32" s="4" t="inlineStr"/>
    </row>
    <row r="33">
      <c r="A33" s="4" t="inlineStr">
        <is>
          <t>52W Range</t>
        </is>
      </c>
      <c r="B33" s="4" t="inlineStr">
        <is>
          <t>$19.29 - $86.63</t>
        </is>
      </c>
      <c r="C33" s="4" t="inlineStr">
        <is>
          <t>finance.yahoo.com/quote/VECO/</t>
        </is>
      </c>
      <c r="D33" s="4" t="inlineStr">
        <is>
          <t>2026-06-18</t>
        </is>
      </c>
      <c r="E33" s="4" t="inlineStr"/>
    </row>
    <row r="34">
      <c r="A34" s="4" t="inlineStr">
        <is>
          <t>Short % Float</t>
        </is>
      </c>
      <c r="B34" s="4" t="inlineStr">
        <is>
          <t>16.63%</t>
        </is>
      </c>
      <c r="C34" s="4" t="inlineStr">
        <is>
          <t>finance.yahoo.com/quote/VECO/key-statistics/</t>
        </is>
      </c>
      <c r="D34" s="4" t="inlineStr">
        <is>
          <t>2026-05-29</t>
        </is>
      </c>
      <c r="E34" s="4" t="inlineStr">
        <is>
          <t>Short interest</t>
        </is>
      </c>
    </row>
    <row r="35">
      <c r="A35" s="4" t="inlineStr">
        <is>
          <t>10Y Treasury</t>
        </is>
      </c>
      <c r="B35" s="4" t="inlineStr">
        <is>
          <t>4.49%</t>
        </is>
      </c>
      <c r="C35" s="4" t="inlineStr">
        <is>
          <t>fred.stlouisfed.org/series/DGS10</t>
        </is>
      </c>
      <c r="D35" s="4" t="inlineStr">
        <is>
          <t>2026-06-17</t>
        </is>
      </c>
      <c r="E35" s="4" t="inlineStr">
        <is>
          <t>FRED observation</t>
        </is>
      </c>
    </row>
    <row r="36">
      <c r="A36" s="4" t="inlineStr">
        <is>
          <t>Total Revenue FY22</t>
        </is>
      </c>
      <c r="B36" s="4" t="inlineStr">
        <is>
          <t>$646.1M</t>
        </is>
      </c>
      <c r="C36" s="4" t="inlineStr">
        <is>
          <t>finance.yahoo.com/quote/VECO/financials/</t>
        </is>
      </c>
      <c r="D36" s="4" t="inlineStr">
        <is>
          <t>12/31/2022</t>
        </is>
      </c>
      <c r="E36" s="4" t="inlineStr"/>
    </row>
    <row r="37">
      <c r="A37" s="4" t="inlineStr">
        <is>
          <t>FY22 Net Income</t>
        </is>
      </c>
      <c r="B37" s="4" t="inlineStr">
        <is>
          <t>$177.8M</t>
        </is>
      </c>
      <c r="C37" s="4" t="inlineStr">
        <is>
          <t>finance.yahoo.com/quote/VECO/financials/</t>
        </is>
      </c>
      <c r="D37" s="4" t="inlineStr">
        <is>
          <t>12/31/2022</t>
        </is>
      </c>
      <c r="E37" s="4" t="inlineStr">
        <is>
          <t>Anomaly: large one-time gain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20" customWidth="1" min="3" max="3"/>
  </cols>
  <sheetData>
    <row r="1">
      <c r="A1" s="1" t="inlineStr">
        <is>
          <t>Open Questions — Veeco Instruments (VECO)</t>
        </is>
      </c>
    </row>
    <row r="2">
      <c r="A2" s="2" t="inlineStr">
        <is>
          <t>#</t>
        </is>
      </c>
      <c r="B2" s="2" t="inlineStr">
        <is>
          <t>Question</t>
        </is>
      </c>
      <c r="C2" s="2" t="inlineStr">
        <is>
          <t>Status</t>
        </is>
      </c>
    </row>
    <row r="3">
      <c r="A3" s="4" t="inlineStr">
        <is>
          <t>Acquisition driver — why has MC tripled from ~$1.7B to $4.6B in one year?</t>
        </is>
      </c>
      <c r="B3" s="4" t="inlineStr">
        <is>
          <t>ADVANCED ENERGY MERGER</t>
        </is>
      </c>
      <c r="C3" s="4" t="inlineStr">
        <is>
          <t>Open</t>
        </is>
      </c>
    </row>
    <row r="4">
      <c r="A4" s="4" t="inlineStr">
        <is>
          <t>What exactly did Veeco acquire? Was it an all-stock deal with Advanced Energy?</t>
        </is>
      </c>
      <c r="B4" s="4" t="inlineStr">
        <is>
          <t>Post-merger identity</t>
        </is>
      </c>
      <c r="C4" s="4" t="inlineStr">
        <is>
          <t>Open</t>
        </is>
      </c>
    </row>
    <row r="5">
      <c r="A5" s="4" t="inlineStr">
        <is>
          <t>TTM earnings are depressed at $0.38 EPS — is this acquisition accounting or genuine margin compression?</t>
        </is>
      </c>
      <c r="B5" s="4" t="inlineStr">
        <is>
          <t>Earnings quality</t>
        </is>
      </c>
      <c r="C5" s="4" t="inlineStr">
        <is>
          <t>Open</t>
        </is>
      </c>
    </row>
    <row r="6">
      <c r="A6" s="4" t="inlineStr">
        <is>
          <t>FY22 showed $177.8M net income vs -$30.4M in FY23 — what was the one-time event?</t>
        </is>
      </c>
      <c r="B6" s="4" t="inlineStr">
        <is>
          <t>Tax/litigation gain</t>
        </is>
      </c>
      <c r="C6" s="4" t="inlineStr">
        <is>
          <t>Research</t>
        </is>
      </c>
    </row>
    <row r="7">
      <c r="A7" s="4" t="inlineStr">
        <is>
          <t>Shares increased from 56.8M (FY25) to 61.0M (current) — was this deal-related dilution?</t>
        </is>
      </c>
      <c r="B7" s="4" t="inlineStr">
        <is>
          <t>Share count jump</t>
        </is>
      </c>
      <c r="C7" s="4" t="inlineStr">
        <is>
          <t>Open</t>
        </is>
      </c>
    </row>
    <row r="8">
      <c r="A8" s="4" t="inlineStr">
        <is>
          <t>Why is the analyst consensus target ($60.33) well below the current $79.65 price?</t>
        </is>
      </c>
      <c r="B8" s="4" t="inlineStr">
        <is>
          <t>Analyst views</t>
        </is>
      </c>
      <c r="C8" s="4" t="inlineStr">
        <is>
          <t>Concerning</t>
        </is>
      </c>
    </row>
    <row r="9">
      <c r="A9" s="4" t="inlineStr">
        <is>
          <t>What is the combined company FCF profile post-acquisition? TTM metrics may not reflect run-rate.</t>
        </is>
      </c>
      <c r="B9" s="4" t="inlineStr">
        <is>
          <t>Integrated FCF</t>
        </is>
      </c>
      <c r="C9" s="4" t="inlineStr">
        <is>
          <t>Open</t>
        </is>
      </c>
    </row>
    <row r="10">
      <c r="A10" s="4" t="inlineStr">
        <is>
          <t>Any goodwill impairment risk from the acquisition on the balance sheet?</t>
        </is>
      </c>
      <c r="B10" s="4" t="inlineStr">
        <is>
          <t>Goodwill</t>
        </is>
      </c>
      <c r="C10" s="4" t="inlineStr">
        <is>
          <t>Open</t>
        </is>
      </c>
    </row>
    <row r="11">
      <c r="A11" s="4" t="inlineStr">
        <is>
          <t>Is the revenue CAGR of 15%+ sustainable? FY26-FY27 estimates show acceleration.</t>
        </is>
      </c>
      <c r="B11" s="4" t="inlineStr">
        <is>
          <t>Growth estimates</t>
        </is>
      </c>
      <c r="C11" s="4" t="inlineStr">
        <is>
          <t>Open</t>
        </is>
      </c>
    </row>
    <row r="12">
      <c r="A12" s="4" t="inlineStr">
        <is>
          <t>Customer concentration — top 5 customers? Typical for semicon equipment.</t>
        </is>
      </c>
      <c r="B12" s="4" t="inlineStr">
        <is>
          <t>Concentration risk</t>
        </is>
      </c>
      <c r="C12" s="4" t="inlineStr">
        <is>
          <t>Open</t>
        </is>
      </c>
    </row>
    <row r="13">
      <c r="A13" s="4" t="inlineStr">
        <is>
          <t>SBC expense impact on diluted share count going forward?</t>
        </is>
      </c>
      <c r="B13" s="4" t="inlineStr">
        <is>
          <t>Dilution</t>
        </is>
      </c>
      <c r="C13" s="4" t="inlineStr">
        <is>
          <t>Monitor</t>
        </is>
      </c>
    </row>
    <row r="14">
      <c r="A14" s="4" t="inlineStr">
        <is>
          <t>Barclays just maintained Equal-Weight and raised PT to $55 — why the gap vs market?</t>
        </is>
      </c>
      <c r="B14" s="4" t="inlineStr">
        <is>
          <t>Analyst view</t>
        </is>
      </c>
      <c r="C14" s="4" t="inlineStr">
        <is>
          <t>Bear signal</t>
        </is>
      </c>
    </row>
    <row r="15">
      <c r="A15" s="4" t="inlineStr">
        <is>
          <t>Next earnings (Aug 5) — what guidance would catalyze re-rating?</t>
        </is>
      </c>
      <c r="B15" s="4" t="inlineStr">
        <is>
          <t>Catalyst</t>
        </is>
      </c>
      <c r="C15" s="4" t="inlineStr">
        <is>
          <t>Key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55" customWidth="1" min="3" max="3"/>
  </cols>
  <sheetData>
    <row r="1">
      <c r="A1" s="1" t="inlineStr">
        <is>
          <t>Sources — Veeco Instruments (VECO)</t>
        </is>
      </c>
    </row>
    <row r="2">
      <c r="A2" s="2" t="inlineStr">
        <is>
          <t>#</t>
        </is>
      </c>
      <c r="B2" s="2" t="inlineStr">
        <is>
          <t>Source</t>
        </is>
      </c>
      <c r="C2" s="2" t="inlineStr">
        <is>
          <t>URL</t>
        </is>
      </c>
    </row>
    <row r="3">
      <c r="A3" s="4" t="inlineStr">
        <is>
          <t>1</t>
        </is>
      </c>
      <c r="B3" s="4" t="inlineStr">
        <is>
          <t>Yahoo Finance — VECO Summary &amp; Price</t>
        </is>
      </c>
      <c r="C3" s="4" t="inlineStr">
        <is>
          <t>https://finance.yahoo.com/quote/VECO/</t>
        </is>
      </c>
    </row>
    <row r="4">
      <c r="A4" s="4" t="inlineStr">
        <is>
          <t>2</t>
        </is>
      </c>
      <c r="B4" s="4" t="inlineStr">
        <is>
          <t>Yahoo Finance — VECO Income Statement</t>
        </is>
      </c>
      <c r="C4" s="4" t="inlineStr">
        <is>
          <t>https://finance.yahoo.com/quote/VECO/financials/</t>
        </is>
      </c>
    </row>
    <row r="5">
      <c r="A5" s="4" t="inlineStr">
        <is>
          <t>3</t>
        </is>
      </c>
      <c r="B5" s="4" t="inlineStr">
        <is>
          <t>Yahoo Finance — VECO Balance Sheet</t>
        </is>
      </c>
      <c r="C5" s="4" t="inlineStr">
        <is>
          <t>https://finance.yahoo.com/quote/VECO/balance-sheet/</t>
        </is>
      </c>
    </row>
    <row r="6">
      <c r="A6" s="4" t="inlineStr">
        <is>
          <t>4</t>
        </is>
      </c>
      <c r="B6" s="4" t="inlineStr">
        <is>
          <t>Yahoo Finance — VECO Cash Flow</t>
        </is>
      </c>
      <c r="C6" s="4" t="inlineStr">
        <is>
          <t>https://finance.yahoo.com/quote/VECO/cash-flow/</t>
        </is>
      </c>
    </row>
    <row r="7">
      <c r="A7" s="4" t="inlineStr">
        <is>
          <t>5</t>
        </is>
      </c>
      <c r="B7" s="4" t="inlineStr">
        <is>
          <t>Yahoo Finance — VECO Key Statistics</t>
        </is>
      </c>
      <c r="C7" s="4" t="inlineStr">
        <is>
          <t>https://finance.yahoo.com/quote/VECO/key-statistics/</t>
        </is>
      </c>
    </row>
    <row r="8">
      <c r="A8" s="4" t="inlineStr">
        <is>
          <t>6</t>
        </is>
      </c>
      <c r="B8" s="4" t="inlineStr">
        <is>
          <t>Yahoo Finance — VECO Analyst Estimates</t>
        </is>
      </c>
      <c r="C8" s="4" t="inlineStr">
        <is>
          <t>https://finance.yahoo.com/quote/VECO/analysis/</t>
        </is>
      </c>
    </row>
    <row r="9">
      <c r="A9" s="4" t="inlineStr">
        <is>
          <t>7</t>
        </is>
      </c>
      <c r="B9" s="4" t="inlineStr">
        <is>
          <t>StockAnalysis.com — VECO (404 — unavailable)</t>
        </is>
      </c>
      <c r="C9" s="4" t="inlineStr">
        <is>
          <t>https://stockanalysis.com/quote/VECO/</t>
        </is>
      </c>
    </row>
    <row r="10">
      <c r="A10" s="4" t="inlineStr">
        <is>
          <t>8</t>
        </is>
      </c>
      <c r="B10" s="4" t="inlineStr">
        <is>
          <t>FRED — 10-Year Treasury Yield (DGS10)</t>
        </is>
      </c>
      <c r="C10" s="4" t="inlineStr">
        <is>
          <t>https://fred.stlouisfed.org/series/DGS10</t>
        </is>
      </c>
    </row>
    <row r="11">
      <c r="A11" s="4" t="inlineStr">
        <is>
          <t>9</t>
        </is>
      </c>
      <c r="B11" s="4" t="inlineStr">
        <is>
          <t>Yahoo Finance — VECO News and Press Releases</t>
        </is>
      </c>
      <c r="C11" s="4" t="inlineStr">
        <is>
          <t>https://finance.yahoo.com/quote/VECO/news/</t>
        </is>
      </c>
    </row>
    <row r="12">
      <c r="A12" s="4" t="inlineStr">
        <is>
          <t>10</t>
        </is>
      </c>
      <c r="B12" s="4" t="inlineStr">
        <is>
          <t>Refinitiv via Yahoo Finance — Share Statistics</t>
        </is>
      </c>
      <c r="C12" s="4" t="inlineStr">
        <is>
          <t>finance.yahoo.com (attribution on key-statistics page)</t>
        </is>
      </c>
    </row>
    <row r="13">
      <c r="A13" s="4" t="inlineStr">
        <is>
          <t>11</t>
        </is>
      </c>
      <c r="B13" s="4" t="inlineStr">
        <is>
          <t>Morningstar via Yahoo Finance — Data attribution</t>
        </is>
      </c>
      <c r="C13" s="4" t="inlineStr">
        <is>
          <t>finance.yahoo.com (attribution on key-statistics page)</t>
        </is>
      </c>
    </row>
    <row r="14">
      <c r="A14" s="4" t="inlineStr">
        <is>
          <t>12</t>
        </is>
      </c>
      <c r="B14" s="4" t="inlineStr">
        <is>
          <t>S&amp;P Global Market Intelligence — EBITDA methodology</t>
        </is>
      </c>
      <c r="C14" s="4" t="inlineStr">
        <is>
          <t>finance.yahoo.com (footnote on key-statistics page)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2026-06-19T02:46:32Z</dcterms:created>
  <dcterms:modified xsi:type="dcterms:W3CDTF">2026-06-19T02:46:32Z</dcterms:modified>
</cp:coreProperties>
</file>