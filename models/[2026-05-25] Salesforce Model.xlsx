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#,##0.0"/>
    <numFmt numFmtId="167" formatCode="0.0x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wrapText="1"/>
    </xf>
    <xf numFmtId="164" fontId="0" fillId="0" borderId="1" pivotButton="0" quotePrefix="0" xfId="0"/>
    <xf numFmtId="3" fontId="0" fillId="0" borderId="1" pivotButton="0" quotePrefix="0" xfId="0"/>
    <xf numFmtId="3" fontId="0" fillId="5" borderId="1" pivotButton="0" quotePrefix="0" xfId="0"/>
    <xf numFmtId="165" fontId="0" fillId="0" borderId="1" pivotButton="0" quotePrefix="0" xfId="0"/>
    <xf numFmtId="165" fontId="0" fillId="5" borderId="1" pivotButton="0" quotePrefix="0" xfId="0"/>
    <xf numFmtId="166" fontId="0" fillId="0" borderId="1" pivotButton="0" quotePrefix="0" xfId="0"/>
    <xf numFmtId="167" fontId="0" fillId="5" borderId="1" pivotButton="0" quotePrefix="0" xfId="0"/>
    <xf numFmtId="164" fontId="0" fillId="5" borderId="1" pivotButton="0" quotePrefix="0" xfId="0"/>
    <xf numFmtId="1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6" borderId="1" pivotButton="0" quotePrefix="0" xfId="0"/>
    <xf numFmtId="3" fontId="0" fillId="0" borderId="1" pivotButton="0" quotePrefix="0" xfId="0"/>
    <xf numFmtId="3" fontId="0" fillId="5" borderId="1" pivotButton="0" quotePrefix="0" xfId="0"/>
    <xf numFmtId="165" fontId="0" fillId="0" borderId="1" pivotButton="0" quotePrefix="0" xfId="0"/>
    <xf numFmtId="165" fontId="0" fillId="5" borderId="1" pivotButton="0" quotePrefix="0" xfId="0"/>
    <xf numFmtId="166" fontId="0" fillId="0" borderId="1" pivotButton="0" quotePrefix="0" xfId="0"/>
    <xf numFmtId="167" fontId="0" fillId="5" borderId="1" pivotButton="0" quotePrefix="0" xfId="0"/>
    <xf numFmtId="1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tockanalysis.com/stocks/crm/financials/" TargetMode="External" Id="rId1" /><Relationship Type="http://schemas.openxmlformats.org/officeDocument/2006/relationships/hyperlink" Target="https://www.macrotrends.net/stocks/charts/CRM/salesforce/revenue" TargetMode="External" Id="rId2" /><Relationship Type="http://schemas.openxmlformats.org/officeDocument/2006/relationships/hyperlink" Target="https://stockanalysis.com/stocks/crm/financials/" TargetMode="External" Id="rId3" /><Relationship Type="http://schemas.openxmlformats.org/officeDocument/2006/relationships/hyperlink" Target="https://www.macrotrends.net/stocks/charts/CRM/salesforce/revenue" TargetMode="External" Id="rId4" /><Relationship Type="http://schemas.openxmlformats.org/officeDocument/2006/relationships/hyperlink" Target="https://stockanalysis.com/stocks/crm/financials/" TargetMode="External" Id="rId5" /><Relationship Type="http://schemas.openxmlformats.org/officeDocument/2006/relationships/hyperlink" Target="https://www.macrotrends.net/stocks/charts/CRM/salesforce/revenue" TargetMode="External" Id="rId6" /><Relationship Type="http://schemas.openxmlformats.org/officeDocument/2006/relationships/hyperlink" Target="https://stockanalysis.com/stocks/crm/financials/" TargetMode="External" Id="rId7" /><Relationship Type="http://schemas.openxmlformats.org/officeDocument/2006/relationships/hyperlink" Target="https://www.macrotrends.net/stocks/charts/CRM/salesforce/revenue" TargetMode="External" Id="rId8" /><Relationship Type="http://schemas.openxmlformats.org/officeDocument/2006/relationships/hyperlink" Target="https://stockanalysis.com/stocks/crm/financials/" TargetMode="External" Id="rId9" /><Relationship Type="http://schemas.openxmlformats.org/officeDocument/2006/relationships/hyperlink" Target="https://www.macrotrends.net/stocks/charts/CRM/salesforce/revenue" TargetMode="External" Id="rId10" /><Relationship Type="http://schemas.openxmlformats.org/officeDocument/2006/relationships/hyperlink" Target="https://stockanalysis.com/stocks/crm/financials/" TargetMode="External" Id="rId11" /><Relationship Type="http://schemas.openxmlformats.org/officeDocument/2006/relationships/hyperlink" Target="https://www.macrotrends.net/stocks/charts/CRM/salesforce/gross-profit" TargetMode="External" Id="rId12" /><Relationship Type="http://schemas.openxmlformats.org/officeDocument/2006/relationships/hyperlink" Target="https://stockanalysis.com/stocks/crm/financials/" TargetMode="External" Id="rId13" /><Relationship Type="http://schemas.openxmlformats.org/officeDocument/2006/relationships/hyperlink" Target="https://www.macrotrends.net/stocks/charts/CRM/salesforce/gross-profit" TargetMode="External" Id="rId14" /><Relationship Type="http://schemas.openxmlformats.org/officeDocument/2006/relationships/hyperlink" Target="https://stockanalysis.com/stocks/crm/financials/" TargetMode="External" Id="rId15" /><Relationship Type="http://schemas.openxmlformats.org/officeDocument/2006/relationships/hyperlink" Target="https://www.macrotrends.net/stocks/charts/CRM/salesforce/gross-profit" TargetMode="External" Id="rId16" /><Relationship Type="http://schemas.openxmlformats.org/officeDocument/2006/relationships/hyperlink" Target="https://stockanalysis.com/stocks/crm/financials/" TargetMode="External" Id="rId17" /><Relationship Type="http://schemas.openxmlformats.org/officeDocument/2006/relationships/hyperlink" Target="https://www.macrotrends.net/stocks/charts/CRM/salesforce/gross-profit" TargetMode="External" Id="rId18" /><Relationship Type="http://schemas.openxmlformats.org/officeDocument/2006/relationships/hyperlink" Target="https://stockanalysis.com/stocks/crm/financials/" TargetMode="External" Id="rId19" /><Relationship Type="http://schemas.openxmlformats.org/officeDocument/2006/relationships/hyperlink" Target="https://www.macrotrends.net/stocks/charts/CRM/salesforce/gross-profit" TargetMode="External" Id="rId20" /><Relationship Type="http://schemas.openxmlformats.org/officeDocument/2006/relationships/hyperlink" Target="https://stockanalysis.com/stocks/crm/financials/" TargetMode="External" Id="rId21" /><Relationship Type="http://schemas.openxmlformats.org/officeDocument/2006/relationships/hyperlink" Target="https://www.macrotrends.net/stocks/charts/CRM/salesforce/operating-income" TargetMode="External" Id="rId22" /><Relationship Type="http://schemas.openxmlformats.org/officeDocument/2006/relationships/hyperlink" Target="https://stockanalysis.com/stocks/crm/financials/" TargetMode="External" Id="rId23" /><Relationship Type="http://schemas.openxmlformats.org/officeDocument/2006/relationships/hyperlink" Target="https://www.macrotrends.net/stocks/charts/CRM/salesforce/operating-income" TargetMode="External" Id="rId24" /><Relationship Type="http://schemas.openxmlformats.org/officeDocument/2006/relationships/hyperlink" Target="https://stockanalysis.com/stocks/crm/financials/" TargetMode="External" Id="rId25" /><Relationship Type="http://schemas.openxmlformats.org/officeDocument/2006/relationships/hyperlink" Target="https://www.macrotrends.net/stocks/charts/CRM/salesforce/operating-income" TargetMode="External" Id="rId26" /><Relationship Type="http://schemas.openxmlformats.org/officeDocument/2006/relationships/hyperlink" Target="https://stockanalysis.com/stocks/crm/financials/" TargetMode="External" Id="rId27" /><Relationship Type="http://schemas.openxmlformats.org/officeDocument/2006/relationships/hyperlink" Target="https://www.macrotrends.net/stocks/charts/CRM/salesforce/operating-income" TargetMode="External" Id="rId28" /><Relationship Type="http://schemas.openxmlformats.org/officeDocument/2006/relationships/hyperlink" Target="https://stockanalysis.com/stocks/crm/financials/" TargetMode="External" Id="rId29" /><Relationship Type="http://schemas.openxmlformats.org/officeDocument/2006/relationships/hyperlink" Target="https://www.macrotrends.net/stocks/charts/CRM/salesforce/operating-income" TargetMode="External" Id="rId30" /><Relationship Type="http://schemas.openxmlformats.org/officeDocument/2006/relationships/hyperlink" Target="https://stockanalysis.com/stocks/crm/financials/" TargetMode="External" Id="rId31" /><Relationship Type="http://schemas.openxmlformats.org/officeDocument/2006/relationships/hyperlink" Target="https://www.macrotrends.net/stocks/charts/CRM/salesforce/net-income" TargetMode="External" Id="rId32" /><Relationship Type="http://schemas.openxmlformats.org/officeDocument/2006/relationships/hyperlink" Target="https://stockanalysis.com/stocks/crm/financials/" TargetMode="External" Id="rId33" /><Relationship Type="http://schemas.openxmlformats.org/officeDocument/2006/relationships/hyperlink" Target="https://www.macrotrends.net/stocks/charts/CRM/salesforce/net-income" TargetMode="External" Id="rId34" /><Relationship Type="http://schemas.openxmlformats.org/officeDocument/2006/relationships/hyperlink" Target="https://stockanalysis.com/stocks/crm/financials/" TargetMode="External" Id="rId35" /><Relationship Type="http://schemas.openxmlformats.org/officeDocument/2006/relationships/hyperlink" Target="https://www.macrotrends.net/stocks/charts/CRM/salesforce/net-income" TargetMode="External" Id="rId36" /><Relationship Type="http://schemas.openxmlformats.org/officeDocument/2006/relationships/hyperlink" Target="https://stockanalysis.com/stocks/crm/financials/" TargetMode="External" Id="rId37" /><Relationship Type="http://schemas.openxmlformats.org/officeDocument/2006/relationships/hyperlink" Target="https://www.macrotrends.net/stocks/charts/CRM/salesforce/net-income" TargetMode="External" Id="rId38" /><Relationship Type="http://schemas.openxmlformats.org/officeDocument/2006/relationships/hyperlink" Target="https://stockanalysis.com/stocks/crm/financials/" TargetMode="External" Id="rId39" /><Relationship Type="http://schemas.openxmlformats.org/officeDocument/2006/relationships/hyperlink" Target="https://www.macrotrends.net/stocks/charts/CRM/salesforce/net-income" TargetMode="External" Id="rId40" /><Relationship Type="http://schemas.openxmlformats.org/officeDocument/2006/relationships/hyperlink" Target="https://stockanalysis.com/stocks/crm/financials/cash-flow-statement/" TargetMode="External" Id="rId41" /><Relationship Type="http://schemas.openxmlformats.org/officeDocument/2006/relationships/hyperlink" Target="https://stockanalysis.com/stocks/crm/financials/cash-flow-statement/" TargetMode="External" Id="rId42" /><Relationship Type="http://schemas.openxmlformats.org/officeDocument/2006/relationships/hyperlink" Target="https://stockanalysis.com/stocks/crm/financials/cash-flow-statement/" TargetMode="External" Id="rId43" /><Relationship Type="http://schemas.openxmlformats.org/officeDocument/2006/relationships/hyperlink" Target="https://stockanalysis.com/stocks/crm/financials/cash-flow-statement/" TargetMode="External" Id="rId44" /><Relationship Type="http://schemas.openxmlformats.org/officeDocument/2006/relationships/hyperlink" Target="https://stockanalysis.com/stocks/crm/financials/cash-flow-statement/" TargetMode="External" Id="rId45" /><Relationship Type="http://schemas.openxmlformats.org/officeDocument/2006/relationships/hyperlink" Target="https://stockanalysis.com/stocks/crm/financials/cash-flow-statement/" TargetMode="External" Id="rId46" /><Relationship Type="http://schemas.openxmlformats.org/officeDocument/2006/relationships/hyperlink" Target="https://stockanalysis.com/stocks/crm/financials/cash-flow-statement/" TargetMode="External" Id="rId47" /><Relationship Type="http://schemas.openxmlformats.org/officeDocument/2006/relationships/hyperlink" Target="https://stockanalysis.com/stocks/crm/financials/cash-flow-statement/" TargetMode="External" Id="rId48" /><Relationship Type="http://schemas.openxmlformats.org/officeDocument/2006/relationships/hyperlink" Target="https://stockanalysis.com/stocks/crm/financials/cash-flow-statement/" TargetMode="External" Id="rId49" /><Relationship Type="http://schemas.openxmlformats.org/officeDocument/2006/relationships/hyperlink" Target="https://stockanalysis.com/stocks/crm/financials/cash-flow-statement/" TargetMode="External" Id="rId50" /><Relationship Type="http://schemas.openxmlformats.org/officeDocument/2006/relationships/hyperlink" Target="https://stockanalysis.com/stocks/crm/financials/cash-flow-statement/" TargetMode="External" Id="rId51" /><Relationship Type="http://schemas.openxmlformats.org/officeDocument/2006/relationships/hyperlink" Target="https://www.macrotrends.net/stocks/charts/CRM/salesforce/free-cash-flow" TargetMode="External" Id="rId52" /><Relationship Type="http://schemas.openxmlformats.org/officeDocument/2006/relationships/hyperlink" Target="https://stockanalysis.com/stocks/crm/financials/cash-flow-statement/" TargetMode="External" Id="rId53" /><Relationship Type="http://schemas.openxmlformats.org/officeDocument/2006/relationships/hyperlink" Target="https://www.macrotrends.net/stocks/charts/CRM/salesforce/free-cash-flow" TargetMode="External" Id="rId54" /><Relationship Type="http://schemas.openxmlformats.org/officeDocument/2006/relationships/hyperlink" Target="https://stockanalysis.com/stocks/crm/financials/cash-flow-statement/" TargetMode="External" Id="rId55" /><Relationship Type="http://schemas.openxmlformats.org/officeDocument/2006/relationships/hyperlink" Target="https://www.macrotrends.net/stocks/charts/CRM/salesforce/free-cash-flow" TargetMode="External" Id="rId56" /><Relationship Type="http://schemas.openxmlformats.org/officeDocument/2006/relationships/hyperlink" Target="https://stockanalysis.com/stocks/crm/financials/cash-flow-statement/" TargetMode="External" Id="rId57" /><Relationship Type="http://schemas.openxmlformats.org/officeDocument/2006/relationships/hyperlink" Target="https://www.macrotrends.net/stocks/charts/CRM/salesforce/free-cash-flow" TargetMode="External" Id="rId58" /><Relationship Type="http://schemas.openxmlformats.org/officeDocument/2006/relationships/hyperlink" Target="https://stockanalysis.com/stocks/crm/financials/cash-flow-statement/" TargetMode="External" Id="rId59" /><Relationship Type="http://schemas.openxmlformats.org/officeDocument/2006/relationships/hyperlink" Target="https://www.macrotrends.net/stocks/charts/CRM/salesforce/free-cash-flow" TargetMode="External" Id="rId60" /><Relationship Type="http://schemas.openxmlformats.org/officeDocument/2006/relationships/hyperlink" Target="https://stockanalysis.com/stocks/crm/financials/cash-flow-statement/" TargetMode="External" Id="rId61" /><Relationship Type="http://schemas.openxmlformats.org/officeDocument/2006/relationships/hyperlink" Target="https://stockanalysis.com/stocks/crm/financials/cash-flow-statement/" TargetMode="External" Id="rId62" /><Relationship Type="http://schemas.openxmlformats.org/officeDocument/2006/relationships/hyperlink" Target="https://stockanalysis.com/stocks/crm/financials/cash-flow-statement/" TargetMode="External" Id="rId63" /><Relationship Type="http://schemas.openxmlformats.org/officeDocument/2006/relationships/hyperlink" Target="https://stockanalysis.com/stocks/crm/financials/cash-flow-statement/" TargetMode="External" Id="rId64" /><Relationship Type="http://schemas.openxmlformats.org/officeDocument/2006/relationships/hyperlink" Target="https://stockanalysis.com/stocks/crm/financials/cash-flow-statement/" TargetMode="External" Id="rId65" /><Relationship Type="http://schemas.openxmlformats.org/officeDocument/2006/relationships/hyperlink" Target="https://stockanalysis.com/stocks/crm/financials/" TargetMode="External" Id="rId66" /><Relationship Type="http://schemas.openxmlformats.org/officeDocument/2006/relationships/hyperlink" Target="https://stockanalysis.com/stocks/crm/financials/" TargetMode="External" Id="rId67" /><Relationship Type="http://schemas.openxmlformats.org/officeDocument/2006/relationships/hyperlink" Target="https://stockanalysis.com/stocks/crm/financials/" TargetMode="External" Id="rId68" /><Relationship Type="http://schemas.openxmlformats.org/officeDocument/2006/relationships/hyperlink" Target="https://stockanalysis.com/stocks/crm/financials/" TargetMode="External" Id="rId69" /><Relationship Type="http://schemas.openxmlformats.org/officeDocument/2006/relationships/hyperlink" Target="https://stockanalysis.com/stocks/crm/financials/" TargetMode="External" Id="rId70" /><Relationship Type="http://schemas.openxmlformats.org/officeDocument/2006/relationships/hyperlink" Target="https://stockanalysis.com/stocks/crm/financials/balance-sheet/" TargetMode="External" Id="rId71" /><Relationship Type="http://schemas.openxmlformats.org/officeDocument/2006/relationships/hyperlink" Target="https://www.macrotrends.net/stocks/charts/CRM/salesforce/cash-on-hand" TargetMode="External" Id="rId72" /><Relationship Type="http://schemas.openxmlformats.org/officeDocument/2006/relationships/hyperlink" Target="https://stockanalysis.com/stocks/crm/financials/balance-sheet/" TargetMode="External" Id="rId73" /><Relationship Type="http://schemas.openxmlformats.org/officeDocument/2006/relationships/hyperlink" Target="https://www.macrotrends.net/stocks/charts/CRM/salesforce/cash-on-hand" TargetMode="External" Id="rId74" /><Relationship Type="http://schemas.openxmlformats.org/officeDocument/2006/relationships/hyperlink" Target="https://stockanalysis.com/stocks/crm/financials/balance-sheet/" TargetMode="External" Id="rId75" /><Relationship Type="http://schemas.openxmlformats.org/officeDocument/2006/relationships/hyperlink" Target="https://www.macrotrends.net/stocks/charts/CRM/salesforce/cash-on-hand" TargetMode="External" Id="rId76" /><Relationship Type="http://schemas.openxmlformats.org/officeDocument/2006/relationships/hyperlink" Target="https://stockanalysis.com/stocks/crm/financials/balance-sheet/" TargetMode="External" Id="rId77" /><Relationship Type="http://schemas.openxmlformats.org/officeDocument/2006/relationships/hyperlink" Target="https://www.macrotrends.net/stocks/charts/CRM/salesforce/cash-on-hand" TargetMode="External" Id="rId78" /><Relationship Type="http://schemas.openxmlformats.org/officeDocument/2006/relationships/hyperlink" Target="https://stockanalysis.com/stocks/crm/financials/balance-sheet/" TargetMode="External" Id="rId79" /><Relationship Type="http://schemas.openxmlformats.org/officeDocument/2006/relationships/hyperlink" Target="https://www.macrotrends.net/stocks/charts/CRM/salesforce/cash-on-hand" TargetMode="External" Id="rId80" /><Relationship Type="http://schemas.openxmlformats.org/officeDocument/2006/relationships/hyperlink" Target="https://stockanalysis.com/stocks/crm/financials/balance-sheet/" TargetMode="External" Id="rId81" /><Relationship Type="http://schemas.openxmlformats.org/officeDocument/2006/relationships/hyperlink" Target="https://stockanalysis.com/stocks/crm/financials/balance-sheet/" TargetMode="External" Id="rId82" /><Relationship Type="http://schemas.openxmlformats.org/officeDocument/2006/relationships/hyperlink" Target="https://stockanalysis.com/stocks/crm/financials/balance-sheet/" TargetMode="External" Id="rId83" /><Relationship Type="http://schemas.openxmlformats.org/officeDocument/2006/relationships/hyperlink" Target="https://stockanalysis.com/stocks/crm/financials/balance-sheet/" TargetMode="External" Id="rId84" /><Relationship Type="http://schemas.openxmlformats.org/officeDocument/2006/relationships/hyperlink" Target="https://stockanalysis.com/stocks/crm/financials/balance-sheet/" TargetMode="External" Id="rId85" /><Relationship Type="http://schemas.openxmlformats.org/officeDocument/2006/relationships/hyperlink" Target="https://stockanalysis.com/stocks/crm/" TargetMode="External" Id="rId86" /><Relationship Type="http://schemas.openxmlformats.org/officeDocument/2006/relationships/hyperlink" Target="https://stockanalysis.com/stocks/crm/" TargetMode="External" Id="rId87" /><Relationship Type="http://schemas.openxmlformats.org/officeDocument/2006/relationships/hyperlink" Target="https://www.sec.gov/Archives/edgar/data/1108524/000119312526104301/d29877d424b2.htm" TargetMode="External" Id="rId88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1108524/000110852426000060/crm-20260131.htm" TargetMode="External" Id="rId1" /><Relationship Type="http://schemas.openxmlformats.org/officeDocument/2006/relationships/hyperlink" Target="https://data.sec.gov/api/xbrl/companyfacts/CIK0001108524.json" TargetMode="External" Id="rId2" /><Relationship Type="http://schemas.openxmlformats.org/officeDocument/2006/relationships/hyperlink" Target="https://www.salesforce.com/news/press-releases/2026/02/25/fy26-q4-earnings/" TargetMode="External" Id="rId3" /><Relationship Type="http://schemas.openxmlformats.org/officeDocument/2006/relationships/hyperlink" Target="https://www.sec.gov/Archives/edgar/data/1108524/000119312526104301/d29877d424b2.htm" TargetMode="External" Id="rId4" /><Relationship Type="http://schemas.openxmlformats.org/officeDocument/2006/relationships/hyperlink" Target="https://www.sec.gov/Archives/edgar/data/1108524/000119312526104282/d887348d8k.htm" TargetMode="External" Id="rId5" /><Relationship Type="http://schemas.openxmlformats.org/officeDocument/2006/relationships/hyperlink" Target="https://stockanalysis.com/stocks/crm/" TargetMode="External" Id="rId6" /><Relationship Type="http://schemas.openxmlformats.org/officeDocument/2006/relationships/hyperlink" Target="https://stockanalysis.com/stocks/crm/financials/" TargetMode="External" Id="rId7" /><Relationship Type="http://schemas.openxmlformats.org/officeDocument/2006/relationships/hyperlink" Target="https://stockanalysis.com/stocks/crm/financials/cash-flow-statement/" TargetMode="External" Id="rId8" /><Relationship Type="http://schemas.openxmlformats.org/officeDocument/2006/relationships/hyperlink" Target="https://stockanalysis.com/stocks/crm/financials/balance-sheet/" TargetMode="External" Id="rId9" /><Relationship Type="http://schemas.openxmlformats.org/officeDocument/2006/relationships/hyperlink" Target="https://www.macrotrends.net/stocks/charts/CRM/salesforce/revenue" TargetMode="External" Id="rId10" /><Relationship Type="http://schemas.openxmlformats.org/officeDocument/2006/relationships/hyperlink" Target="https://www.macrotrends.net/stocks/charts/CRM/salesforce/gross-profit" TargetMode="External" Id="rId11" /><Relationship Type="http://schemas.openxmlformats.org/officeDocument/2006/relationships/hyperlink" Target="https://www.macrotrends.net/stocks/charts/CRM/salesforce/operating-income" TargetMode="External" Id="rId12" /><Relationship Type="http://schemas.openxmlformats.org/officeDocument/2006/relationships/hyperlink" Target="https://www.macrotrends.net/stocks/charts/CRM/salesforce/net-income" TargetMode="External" Id="rId13" /><Relationship Type="http://schemas.openxmlformats.org/officeDocument/2006/relationships/hyperlink" Target="https://www.treasury.gov/resource-center/data-chart-center/interest-rates/pages/textview.aspx?data=daily_treasury_yield_curve" TargetMode="External" Id="rId14" /><Relationship Type="http://schemas.openxmlformats.org/officeDocument/2006/relationships/hyperlink" Target="https://www.kroll.com/en/insights/publications/cost-of-capital/recommended-us-equity-risk-premium-and-corresponding-risk-free-rates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V68"/>
  <sheetViews>
    <sheetView showGridLines="0"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1" sqref="A1"/>
    </sheetView>
  </sheetViews>
  <sheetFormatPr baseColWidth="8" defaultRowHeight="15"/>
  <cols>
    <col width="2.7109375" customWidth="1" min="1" max="1"/>
    <col width="25.7109375" customWidth="1" min="2" max="2"/>
    <col width="18.7109375" customWidth="1" min="3" max="3"/>
    <col width="2.7109375" customWidth="1" min="4" max="4"/>
    <col width="32.7109375" customWidth="1" min="5" max="5"/>
    <col width="13.7109375" customWidth="1" min="6" max="20"/>
    <col width="2.7109375" customWidth="1" min="21" max="21"/>
    <col width="24.7109375" customWidth="1" min="22" max="24"/>
  </cols>
  <sheetData>
    <row r="2">
      <c r="B2" s="1" t="inlineStr">
        <is>
          <t>Salesforce, Inc. (NYSE: CRM)</t>
        </is>
      </c>
      <c r="E2" s="1" t="inlineStr">
        <is>
          <t>Salesforce</t>
        </is>
      </c>
      <c r="F2" s="2" t="inlineStr">
        <is>
          <t>Fiscal years ending Jan. 31; USD millions except per-share data</t>
        </is>
      </c>
      <c r="V2" s="1" t="inlineStr">
        <is>
          <t>Key limitations</t>
        </is>
      </c>
    </row>
    <row r="3">
      <c r="B3" s="3" t="inlineStr">
        <is>
          <t>Model date</t>
        </is>
      </c>
      <c r="C3" s="4" t="inlineStr">
        <is>
          <t>2026-05-25</t>
        </is>
      </c>
      <c r="F3" s="2" t="inlineStr">
        <is>
          <t>FY2022</t>
        </is>
      </c>
      <c r="G3" s="2" t="inlineStr">
        <is>
          <t>FY2023</t>
        </is>
      </c>
      <c r="H3" s="2" t="inlineStr">
        <is>
          <t>FY2024</t>
        </is>
      </c>
      <c r="I3" s="2" t="inlineStr">
        <is>
          <t>FY2025</t>
        </is>
      </c>
      <c r="J3" s="2" t="inlineStr">
        <is>
          <t>FY2026</t>
        </is>
      </c>
      <c r="K3" s="2" t="inlineStr">
        <is>
          <t>FY2027E</t>
        </is>
      </c>
      <c r="L3" s="2" t="inlineStr">
        <is>
          <t>FY2028E</t>
        </is>
      </c>
      <c r="M3" s="2" t="inlineStr">
        <is>
          <t>FY2029E</t>
        </is>
      </c>
      <c r="N3" s="2" t="inlineStr">
        <is>
          <t>FY2030E</t>
        </is>
      </c>
      <c r="O3" s="2" t="inlineStr">
        <is>
          <t>FY2031E</t>
        </is>
      </c>
      <c r="P3" s="2" t="inlineStr">
        <is>
          <t>FY2032E</t>
        </is>
      </c>
      <c r="Q3" s="2" t="inlineStr">
        <is>
          <t>FY2033E</t>
        </is>
      </c>
      <c r="R3" s="2" t="inlineStr">
        <is>
          <t>FY2034E</t>
        </is>
      </c>
      <c r="S3" s="2" t="inlineStr">
        <is>
          <t>FY2035E</t>
        </is>
      </c>
      <c r="T3" s="2" t="inlineStr">
        <is>
          <t>FY2036E</t>
        </is>
      </c>
      <c r="V3" s="5" t="inlineStr">
        <is>
          <t>No Q1 FY2027 report was available by the 2026-05-25 model date; next scheduled earnings update was 2026-05-27 after market close.</t>
        </is>
      </c>
    </row>
    <row r="4">
      <c r="B4" s="3" t="inlineStr">
        <is>
          <t>Price</t>
        </is>
      </c>
      <c r="C4" s="6" t="n">
        <v>180.07</v>
      </c>
      <c r="E4" s="3" t="inlineStr">
        <is>
          <t>Revenue</t>
        </is>
      </c>
      <c r="F4" s="17" t="n">
        <v>26492</v>
      </c>
      <c r="G4" s="17" t="n">
        <v>31352</v>
      </c>
      <c r="H4" s="17" t="n">
        <v>34857</v>
      </c>
      <c r="I4" s="17" t="n">
        <v>37895</v>
      </c>
      <c r="J4" s="17" t="n">
        <v>41525</v>
      </c>
      <c r="K4" s="18">
        <f>J4*(1+K5)</f>
        <v/>
      </c>
      <c r="L4" s="18">
        <f>K4*(1+L5)</f>
        <v/>
      </c>
      <c r="M4" s="18">
        <f>L4*(1+M5)</f>
        <v/>
      </c>
      <c r="N4" s="18">
        <f>M4*(1+N5)</f>
        <v/>
      </c>
      <c r="O4" s="18">
        <f>N4*(1+O5)</f>
        <v/>
      </c>
      <c r="P4" s="18">
        <f>O4*(1+P5)</f>
        <v/>
      </c>
      <c r="Q4" s="18">
        <f>P4*(1+Q5)</f>
        <v/>
      </c>
      <c r="R4" s="18">
        <f>Q4*(1+R5)</f>
        <v/>
      </c>
      <c r="S4" s="18">
        <f>R4*(1+S5)</f>
        <v/>
      </c>
      <c r="T4" s="18">
        <f>S4*(1+T5)</f>
        <v/>
      </c>
      <c r="V4" s="5" t="inlineStr">
        <is>
          <t>Share count is provisional because the March 2026 ASR has initial delivery and final settlement expected later in calendar 2026.</t>
        </is>
      </c>
    </row>
    <row r="5">
      <c r="B5" s="3" t="inlineStr">
        <is>
          <t>Quote date</t>
        </is>
      </c>
      <c r="C5" s="4" t="inlineStr">
        <is>
          <t>2026-05-22 close</t>
        </is>
      </c>
      <c r="E5" s="4" t="inlineStr">
        <is>
          <t>Revenue Growth</t>
        </is>
      </c>
      <c r="F5" s="19" t="n"/>
      <c r="G5" s="20">
        <f>G4/F4-1</f>
        <v/>
      </c>
      <c r="H5" s="20">
        <f>H4/G4-1</f>
        <v/>
      </c>
      <c r="I5" s="20">
        <f>I4/H4-1</f>
        <v/>
      </c>
      <c r="J5" s="20">
        <f>J4/I4-1</f>
        <v/>
      </c>
      <c r="K5" s="19" t="n">
        <v>0.108</v>
      </c>
      <c r="L5" s="19" t="n">
        <v>0.08500000000000001</v>
      </c>
      <c r="M5" s="19" t="n">
        <v>0.075</v>
      </c>
      <c r="N5" s="19" t="n">
        <v>0.065</v>
      </c>
      <c r="O5" s="19" t="n">
        <v>0.058</v>
      </c>
      <c r="P5" s="19" t="n">
        <v>0.052</v>
      </c>
      <c r="Q5" s="19" t="n">
        <v>0.047</v>
      </c>
      <c r="R5" s="19" t="n">
        <v>0.043</v>
      </c>
      <c r="S5" s="19" t="n">
        <v>0.04</v>
      </c>
      <c r="T5" s="19" t="n">
        <v>0.038</v>
      </c>
      <c r="V5" s="5" t="inlineStr">
        <is>
          <t>The headline DCF subtracts 100% of SBC from reported FCF. The reported FCF DCF is shown separately as an upside cross-check, not as the primary value.</t>
        </is>
      </c>
    </row>
    <row r="6">
      <c r="B6" s="3" t="inlineStr">
        <is>
          <t>Diluted shares, mm</t>
        </is>
      </c>
      <c r="C6" s="21" t="n">
        <v>818.05</v>
      </c>
      <c r="E6" s="3" t="inlineStr">
        <is>
          <t>Cost of Revenue</t>
        </is>
      </c>
      <c r="F6" s="17" t="n">
        <v>7026</v>
      </c>
      <c r="G6" s="17" t="n">
        <v>8360</v>
      </c>
      <c r="H6" s="17" t="n">
        <v>8541</v>
      </c>
      <c r="I6" s="17" t="n">
        <v>8643</v>
      </c>
      <c r="J6" s="17" t="n">
        <v>9270</v>
      </c>
      <c r="K6" s="18">
        <f>K4-K8</f>
        <v/>
      </c>
      <c r="L6" s="18">
        <f>L4-L8</f>
        <v/>
      </c>
      <c r="M6" s="18">
        <f>M4-M8</f>
        <v/>
      </c>
      <c r="N6" s="18">
        <f>N4-N8</f>
        <v/>
      </c>
      <c r="O6" s="18">
        <f>O4-O8</f>
        <v/>
      </c>
      <c r="P6" s="18">
        <f>P4-P8</f>
        <v/>
      </c>
      <c r="Q6" s="18">
        <f>Q4-Q8</f>
        <v/>
      </c>
      <c r="R6" s="18">
        <f>R4-R8</f>
        <v/>
      </c>
      <c r="S6" s="18">
        <f>S4-S8</f>
        <v/>
      </c>
      <c r="T6" s="18">
        <f>T4-T8</f>
        <v/>
      </c>
      <c r="V6" s="5" t="inlineStr">
        <is>
          <t>Macrotrends was stale/missing for some FY2026 cash-flow and balance-sheet lines; SEC and StockAnalysis were used where Macrotrends was unavailable.</t>
        </is>
      </c>
    </row>
    <row r="7">
      <c r="B7" s="3" t="inlineStr">
        <is>
          <t>Market cap, $m</t>
        </is>
      </c>
      <c r="C7" s="18">
        <f>C4*C6</f>
        <v/>
      </c>
      <c r="E7" s="4" t="inlineStr">
        <is>
          <t>Gross Margin</t>
        </is>
      </c>
      <c r="F7" s="20">
        <f>F8/F4</f>
        <v/>
      </c>
      <c r="G7" s="20">
        <f>G8/G4</f>
        <v/>
      </c>
      <c r="H7" s="20">
        <f>H8/H4</f>
        <v/>
      </c>
      <c r="I7" s="20">
        <f>I8/I4</f>
        <v/>
      </c>
      <c r="J7" s="20">
        <f>J8/J4</f>
        <v/>
      </c>
      <c r="K7" s="19" t="n">
        <v>0.778</v>
      </c>
      <c r="L7" s="19" t="n">
        <v>0.78</v>
      </c>
      <c r="M7" s="19" t="n">
        <v>0.782</v>
      </c>
      <c r="N7" s="19" t="n">
        <v>0.784</v>
      </c>
      <c r="O7" s="19" t="n">
        <v>0.786</v>
      </c>
      <c r="P7" s="19" t="n">
        <v>0.788</v>
      </c>
      <c r="Q7" s="19" t="n">
        <v>0.79</v>
      </c>
      <c r="R7" s="19" t="n">
        <v>0.79</v>
      </c>
      <c r="S7" s="19" t="n">
        <v>0.79</v>
      </c>
      <c r="T7" s="19" t="n">
        <v>0.79</v>
      </c>
    </row>
    <row r="8">
      <c r="B8" s="3" t="inlineStr">
        <is>
          <t>Cash + ST investments, $m</t>
        </is>
      </c>
      <c r="C8" s="17" t="n">
        <v>9565</v>
      </c>
      <c r="E8" s="3" t="inlineStr">
        <is>
          <t>Gross Profit</t>
        </is>
      </c>
      <c r="F8" s="17" t="n">
        <v>19466</v>
      </c>
      <c r="G8" s="17" t="n">
        <v>22992</v>
      </c>
      <c r="H8" s="17" t="n">
        <v>26316</v>
      </c>
      <c r="I8" s="17" t="n">
        <v>29252</v>
      </c>
      <c r="J8" s="17" t="n">
        <v>32255</v>
      </c>
      <c r="K8" s="18">
        <f>K4*K7</f>
        <v/>
      </c>
      <c r="L8" s="18">
        <f>L4*L7</f>
        <v/>
      </c>
      <c r="M8" s="18">
        <f>M4*M7</f>
        <v/>
      </c>
      <c r="N8" s="18">
        <f>N4*N7</f>
        <v/>
      </c>
      <c r="O8" s="18">
        <f>O4*O7</f>
        <v/>
      </c>
      <c r="P8" s="18">
        <f>P4*P7</f>
        <v/>
      </c>
      <c r="Q8" s="18">
        <f>Q4*Q7</f>
        <v/>
      </c>
      <c r="R8" s="18">
        <f>R4*R7</f>
        <v/>
      </c>
      <c r="S8" s="18">
        <f>S4*S7</f>
        <v/>
      </c>
      <c r="T8" s="18">
        <f>T4*T7</f>
        <v/>
      </c>
    </row>
    <row r="9">
      <c r="B9" s="3" t="inlineStr">
        <is>
          <t>Gross debt pro forma, $m</t>
        </is>
      </c>
      <c r="C9" s="17" t="n">
        <v>39500</v>
      </c>
      <c r="E9" s="3" t="inlineStr">
        <is>
          <t>R&amp;D</t>
        </is>
      </c>
      <c r="F9" s="17" t="n">
        <v>4465</v>
      </c>
      <c r="G9" s="17" t="n">
        <v>5055</v>
      </c>
      <c r="H9" s="17" t="n">
        <v>4906</v>
      </c>
      <c r="I9" s="17" t="n">
        <v>5493</v>
      </c>
      <c r="J9" s="17" t="n">
        <v>5993</v>
      </c>
      <c r="K9" s="18">
        <f>K4*K10</f>
        <v/>
      </c>
      <c r="L9" s="18">
        <f>L4*L10</f>
        <v/>
      </c>
      <c r="M9" s="18">
        <f>M4*M10</f>
        <v/>
      </c>
      <c r="N9" s="18">
        <f>N4*N10</f>
        <v/>
      </c>
      <c r="O9" s="18">
        <f>O4*O10</f>
        <v/>
      </c>
      <c r="P9" s="18">
        <f>P4*P10</f>
        <v/>
      </c>
      <c r="Q9" s="18">
        <f>Q4*Q10</f>
        <v/>
      </c>
      <c r="R9" s="18">
        <f>R4*R10</f>
        <v/>
      </c>
      <c r="S9" s="18">
        <f>S4*S10</f>
        <v/>
      </c>
      <c r="T9" s="18">
        <f>T4*T10</f>
        <v/>
      </c>
    </row>
    <row r="10">
      <c r="B10" s="3" t="inlineStr">
        <is>
          <t>Operating leases, $m</t>
        </is>
      </c>
      <c r="C10" s="17" t="n">
        <v>2737</v>
      </c>
      <c r="E10" s="4" t="inlineStr">
        <is>
          <t>R&amp;D % Revenue</t>
        </is>
      </c>
      <c r="F10" s="20">
        <f>F9/F4</f>
        <v/>
      </c>
      <c r="G10" s="20">
        <f>G9/G4</f>
        <v/>
      </c>
      <c r="H10" s="20">
        <f>H9/H4</f>
        <v/>
      </c>
      <c r="I10" s="20">
        <f>I9/I4</f>
        <v/>
      </c>
      <c r="J10" s="20">
        <f>J9/J4</f>
        <v/>
      </c>
      <c r="K10" s="19" t="n">
        <v>0.144</v>
      </c>
      <c r="L10" s="19" t="n">
        <v>0.142</v>
      </c>
      <c r="M10" s="19" t="n">
        <v>0.14</v>
      </c>
      <c r="N10" s="19" t="n">
        <v>0.138</v>
      </c>
      <c r="O10" s="19" t="n">
        <v>0.136</v>
      </c>
      <c r="P10" s="19" t="n">
        <v>0.134</v>
      </c>
      <c r="Q10" s="19" t="n">
        <v>0.133</v>
      </c>
      <c r="R10" s="19" t="n">
        <v>0.132</v>
      </c>
      <c r="S10" s="19" t="n">
        <v>0.131</v>
      </c>
      <c r="T10" s="19" t="n">
        <v>0.13</v>
      </c>
    </row>
    <row r="11">
      <c r="B11" s="3" t="inlineStr">
        <is>
          <t>Net debt incl leases, $m</t>
        </is>
      </c>
      <c r="C11" s="18">
        <f>C9+C10-C8</f>
        <v/>
      </c>
      <c r="E11" s="3" t="inlineStr">
        <is>
          <t>Sales &amp; Marketing</t>
        </is>
      </c>
      <c r="F11" s="17" t="n">
        <v>11855</v>
      </c>
      <c r="G11" s="17" t="n">
        <v>13526</v>
      </c>
      <c r="H11" s="17" t="n">
        <v>12877</v>
      </c>
      <c r="I11" s="17" t="n">
        <v>13257</v>
      </c>
      <c r="J11" s="17" t="n">
        <v>14345</v>
      </c>
      <c r="K11" s="18">
        <f>K4*K12</f>
        <v/>
      </c>
      <c r="L11" s="18">
        <f>L4*L12</f>
        <v/>
      </c>
      <c r="M11" s="18">
        <f>M4*M12</f>
        <v/>
      </c>
      <c r="N11" s="18">
        <f>N4*N12</f>
        <v/>
      </c>
      <c r="O11" s="18">
        <f>O4*O12</f>
        <v/>
      </c>
      <c r="P11" s="18">
        <f>P4*P12</f>
        <v/>
      </c>
      <c r="Q11" s="18">
        <f>Q4*Q12</f>
        <v/>
      </c>
      <c r="R11" s="18">
        <f>R4*R12</f>
        <v/>
      </c>
      <c r="S11" s="18">
        <f>S4*S12</f>
        <v/>
      </c>
      <c r="T11" s="18">
        <f>T4*T12</f>
        <v/>
      </c>
    </row>
    <row r="12">
      <c r="B12" s="3" t="inlineStr">
        <is>
          <t>Enterprise value, $m</t>
        </is>
      </c>
      <c r="C12" s="18">
        <f>C7+C11</f>
        <v/>
      </c>
      <c r="E12" s="4" t="inlineStr">
        <is>
          <t>S&amp;M % Revenue</t>
        </is>
      </c>
      <c r="F12" s="20">
        <f>F11/F4</f>
        <v/>
      </c>
      <c r="G12" s="20">
        <f>G11/G4</f>
        <v/>
      </c>
      <c r="H12" s="20">
        <f>H11/H4</f>
        <v/>
      </c>
      <c r="I12" s="20">
        <f>I11/I4</f>
        <v/>
      </c>
      <c r="J12" s="20">
        <f>J11/J4</f>
        <v/>
      </c>
      <c r="K12" s="19" t="n">
        <v>0.34</v>
      </c>
      <c r="L12" s="19" t="n">
        <v>0.335</v>
      </c>
      <c r="M12" s="19" t="n">
        <v>0.33</v>
      </c>
      <c r="N12" s="19" t="n">
        <v>0.324</v>
      </c>
      <c r="O12" s="19" t="n">
        <v>0.318</v>
      </c>
      <c r="P12" s="19" t="n">
        <v>0.314</v>
      </c>
      <c r="Q12" s="19" t="n">
        <v>0.31</v>
      </c>
      <c r="R12" s="19" t="n">
        <v>0.306</v>
      </c>
      <c r="S12" s="19" t="n">
        <v>0.303</v>
      </c>
      <c r="T12" s="19" t="n">
        <v>0.3</v>
      </c>
    </row>
    <row r="13">
      <c r="B13" s="3" t="inlineStr">
        <is>
          <t>EV / FY2026 revenue</t>
        </is>
      </c>
      <c r="C13" s="22">
        <f>C12/J4</f>
        <v/>
      </c>
      <c r="E13" s="3" t="inlineStr">
        <is>
          <t>G&amp;A</t>
        </is>
      </c>
      <c r="F13" s="17" t="n">
        <v>2598</v>
      </c>
      <c r="G13" s="17" t="n">
        <v>2553</v>
      </c>
      <c r="H13" s="17" t="n">
        <v>2534</v>
      </c>
      <c r="I13" s="17" t="n">
        <v>2836</v>
      </c>
      <c r="J13" s="17" t="n">
        <v>3000</v>
      </c>
      <c r="K13" s="18">
        <f>K4*K14</f>
        <v/>
      </c>
      <c r="L13" s="18">
        <f>L4*L14</f>
        <v/>
      </c>
      <c r="M13" s="18">
        <f>M4*M14</f>
        <v/>
      </c>
      <c r="N13" s="18">
        <f>N4*N14</f>
        <v/>
      </c>
      <c r="O13" s="18">
        <f>O4*O14</f>
        <v/>
      </c>
      <c r="P13" s="18">
        <f>P4*P14</f>
        <v/>
      </c>
      <c r="Q13" s="18">
        <f>Q4*Q14</f>
        <v/>
      </c>
      <c r="R13" s="18">
        <f>R4*R14</f>
        <v/>
      </c>
      <c r="S13" s="18">
        <f>S4*S14</f>
        <v/>
      </c>
      <c r="T13" s="18">
        <f>T4*T14</f>
        <v/>
      </c>
    </row>
    <row r="14">
      <c r="B14" s="3" t="inlineStr">
        <is>
          <t>EV / FY2026 FCF</t>
        </is>
      </c>
      <c r="C14" s="22">
        <f>C12/J29</f>
        <v/>
      </c>
      <c r="E14" s="4" t="inlineStr">
        <is>
          <t>G&amp;A % Revenue</t>
        </is>
      </c>
      <c r="F14" s="20">
        <f>F13/F4</f>
        <v/>
      </c>
      <c r="G14" s="20">
        <f>G13/G4</f>
        <v/>
      </c>
      <c r="H14" s="20">
        <f>H13/H4</f>
        <v/>
      </c>
      <c r="I14" s="20">
        <f>I13/I4</f>
        <v/>
      </c>
      <c r="J14" s="20">
        <f>J13/J4</f>
        <v/>
      </c>
      <c r="K14" s="19" t="n">
        <v>0.07099999999999999</v>
      </c>
      <c r="L14" s="19" t="n">
        <v>0.07000000000000001</v>
      </c>
      <c r="M14" s="19" t="n">
        <v>0.06900000000000001</v>
      </c>
      <c r="N14" s="19" t="n">
        <v>0.068</v>
      </c>
      <c r="O14" s="19" t="n">
        <v>0.067</v>
      </c>
      <c r="P14" s="19" t="n">
        <v>0.066</v>
      </c>
      <c r="Q14" s="19" t="n">
        <v>0.065</v>
      </c>
      <c r="R14" s="19" t="n">
        <v>0.064</v>
      </c>
      <c r="S14" s="19" t="n">
        <v>0.063</v>
      </c>
      <c r="T14" s="19" t="n">
        <v>0.062</v>
      </c>
    </row>
    <row r="15">
      <c r="B15" s="3" t="inlineStr">
        <is>
          <t>EV / FY2026 owner FCF</t>
        </is>
      </c>
      <c r="C15" s="22">
        <f>C12/J33</f>
        <v/>
      </c>
      <c r="E15" s="3" t="inlineStr">
        <is>
          <t>Operating Expenses</t>
        </is>
      </c>
      <c r="F15" s="18">
        <f>F6+F9+F11+F13</f>
        <v/>
      </c>
      <c r="G15" s="18">
        <f>G6+G9+G11+G13</f>
        <v/>
      </c>
      <c r="H15" s="18">
        <f>H6+H9+H11+H13</f>
        <v/>
      </c>
      <c r="I15" s="18">
        <f>I6+I9+I11+I13</f>
        <v/>
      </c>
      <c r="J15" s="18">
        <f>J6+J9+J11+J13</f>
        <v/>
      </c>
      <c r="K15" s="18">
        <f>K6+K9+K11+K13</f>
        <v/>
      </c>
      <c r="L15" s="18">
        <f>L6+L9+L11+L13</f>
        <v/>
      </c>
      <c r="M15" s="18">
        <f>M6+M9+M11+M13</f>
        <v/>
      </c>
      <c r="N15" s="18">
        <f>N6+N9+N11+N13</f>
        <v/>
      </c>
      <c r="O15" s="18">
        <f>O6+O9+O11+O13</f>
        <v/>
      </c>
      <c r="P15" s="18">
        <f>P6+P9+P11+P13</f>
        <v/>
      </c>
      <c r="Q15" s="18">
        <f>Q6+Q9+Q11+Q13</f>
        <v/>
      </c>
      <c r="R15" s="18">
        <f>R6+R9+R11+R13</f>
        <v/>
      </c>
      <c r="S15" s="18">
        <f>S6+S9+S11+S13</f>
        <v/>
      </c>
      <c r="T15" s="18">
        <f>T6+T9+T11+T13</f>
        <v/>
      </c>
    </row>
    <row r="16">
      <c r="B16" s="3" t="inlineStr">
        <is>
          <t>Headline DCF implied price</t>
        </is>
      </c>
      <c r="C16" s="13">
        <f>C53</f>
        <v/>
      </c>
      <c r="E16" s="3" t="inlineStr">
        <is>
          <t>Operating Income</t>
        </is>
      </c>
      <c r="F16" s="17" t="n">
        <v>548</v>
      </c>
      <c r="G16" s="17" t="n">
        <v>1030</v>
      </c>
      <c r="H16" s="17" t="n">
        <v>5011</v>
      </c>
      <c r="I16" s="17" t="n">
        <v>7205</v>
      </c>
      <c r="J16" s="17" t="n">
        <v>8331</v>
      </c>
      <c r="K16" s="18">
        <f>K4-K15</f>
        <v/>
      </c>
      <c r="L16" s="18">
        <f>L4-L15</f>
        <v/>
      </c>
      <c r="M16" s="18">
        <f>M4-M15</f>
        <v/>
      </c>
      <c r="N16" s="18">
        <f>N4-N15</f>
        <v/>
      </c>
      <c r="O16" s="18">
        <f>O4-O15</f>
        <v/>
      </c>
      <c r="P16" s="18">
        <f>P4-P15</f>
        <v/>
      </c>
      <c r="Q16" s="18">
        <f>Q4-Q15</f>
        <v/>
      </c>
      <c r="R16" s="18">
        <f>R4-R15</f>
        <v/>
      </c>
      <c r="S16" s="18">
        <f>S4-S15</f>
        <v/>
      </c>
      <c r="T16" s="18">
        <f>T4-T15</f>
        <v/>
      </c>
    </row>
    <row r="17">
      <c r="B17" s="3" t="inlineStr">
        <is>
          <t>Margin of safety</t>
        </is>
      </c>
      <c r="C17" s="20">
        <f>C53/C4-1</f>
        <v/>
      </c>
      <c r="E17" s="4" t="inlineStr">
        <is>
          <t>Operating Margin</t>
        </is>
      </c>
      <c r="F17" s="20">
        <f>F16/F4</f>
        <v/>
      </c>
      <c r="G17" s="20">
        <f>G16/G4</f>
        <v/>
      </c>
      <c r="H17" s="20">
        <f>H16/H4</f>
        <v/>
      </c>
      <c r="I17" s="20">
        <f>I16/I4</f>
        <v/>
      </c>
      <c r="J17" s="20">
        <f>J16/J4</f>
        <v/>
      </c>
      <c r="K17" s="20">
        <f>K16/K4</f>
        <v/>
      </c>
      <c r="L17" s="20">
        <f>L16/L4</f>
        <v/>
      </c>
      <c r="M17" s="20">
        <f>M16/M4</f>
        <v/>
      </c>
      <c r="N17" s="20">
        <f>N16/N4</f>
        <v/>
      </c>
      <c r="O17" s="20">
        <f>O16/O4</f>
        <v/>
      </c>
      <c r="P17" s="20">
        <f>P16/P4</f>
        <v/>
      </c>
      <c r="Q17" s="20">
        <f>Q16/Q4</f>
        <v/>
      </c>
      <c r="R17" s="20">
        <f>R16/R4</f>
        <v/>
      </c>
      <c r="S17" s="20">
        <f>S16/S4</f>
        <v/>
      </c>
      <c r="T17" s="20">
        <f>T16/T4</f>
        <v/>
      </c>
    </row>
    <row r="18">
      <c r="B18" s="3" t="inlineStr">
        <is>
          <t>Source note</t>
        </is>
      </c>
      <c r="C18" s="5" t="inlineStr">
        <is>
          <t>Uses May 22 close because model date is a U.S. market holiday; ASR share count is provisional until final settlement.</t>
        </is>
      </c>
      <c r="E18" s="3" t="inlineStr">
        <is>
          <t>Interest Expense</t>
        </is>
      </c>
      <c r="F18" s="17" t="n">
        <v>216</v>
      </c>
      <c r="G18" s="17" t="n">
        <v>300</v>
      </c>
      <c r="H18" s="17" t="n">
        <v>283</v>
      </c>
      <c r="I18" s="17" t="n">
        <v>272</v>
      </c>
      <c r="J18" s="17" t="n">
        <v>324</v>
      </c>
      <c r="K18" s="17" t="n">
        <v>2050</v>
      </c>
      <c r="L18" s="17" t="n">
        <v>2050</v>
      </c>
      <c r="M18" s="17" t="n">
        <v>2000</v>
      </c>
      <c r="N18" s="17" t="n">
        <v>1950</v>
      </c>
      <c r="O18" s="17" t="n">
        <v>1900</v>
      </c>
      <c r="P18" s="17" t="n">
        <v>1875</v>
      </c>
      <c r="Q18" s="17" t="n">
        <v>1850</v>
      </c>
      <c r="R18" s="17" t="n">
        <v>1825</v>
      </c>
      <c r="S18" s="17" t="n">
        <v>1800</v>
      </c>
      <c r="T18" s="17" t="n">
        <v>1775</v>
      </c>
    </row>
    <row r="19">
      <c r="E19" s="3" t="inlineStr">
        <is>
          <t>Other Non-Operating Income</t>
        </is>
      </c>
      <c r="F19" s="17" t="n">
        <v>-227</v>
      </c>
      <c r="G19" s="17" t="n">
        <v>-131</v>
      </c>
      <c r="H19" s="17" t="n">
        <v>216</v>
      </c>
      <c r="I19" s="17" t="n">
        <v>354</v>
      </c>
      <c r="J19" s="17" t="n">
        <v>172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</row>
    <row r="20">
      <c r="E20" s="3" t="inlineStr">
        <is>
          <t>Pretax Income</t>
        </is>
      </c>
      <c r="F20" s="17" t="n">
        <v>1532</v>
      </c>
      <c r="G20" s="17" t="n">
        <v>660</v>
      </c>
      <c r="H20" s="17" t="n">
        <v>4950</v>
      </c>
      <c r="I20" s="17" t="n">
        <v>7438</v>
      </c>
      <c r="J20" s="17" t="n">
        <v>9520</v>
      </c>
      <c r="K20" s="18">
        <f>K16-K18+K19</f>
        <v/>
      </c>
      <c r="L20" s="18">
        <f>L16-L18+L19</f>
        <v/>
      </c>
      <c r="M20" s="18">
        <f>M16-M18+M19</f>
        <v/>
      </c>
      <c r="N20" s="18">
        <f>N16-N18+N19</f>
        <v/>
      </c>
      <c r="O20" s="18">
        <f>O16-O18+O19</f>
        <v/>
      </c>
      <c r="P20" s="18">
        <f>P16-P18+P19</f>
        <v/>
      </c>
      <c r="Q20" s="18">
        <f>Q16-Q18+Q19</f>
        <v/>
      </c>
      <c r="R20" s="18">
        <f>R16-R18+R19</f>
        <v/>
      </c>
      <c r="S20" s="18">
        <f>S16-S18+S19</f>
        <v/>
      </c>
      <c r="T20" s="18">
        <f>T16-T18+T19</f>
        <v/>
      </c>
    </row>
    <row r="21">
      <c r="E21" s="3" t="inlineStr">
        <is>
          <t>Taxes</t>
        </is>
      </c>
      <c r="F21" s="17" t="n">
        <v>88</v>
      </c>
      <c r="G21" s="17" t="n">
        <v>452</v>
      </c>
      <c r="H21" s="17" t="n">
        <v>814</v>
      </c>
      <c r="I21" s="17" t="n">
        <v>1241</v>
      </c>
      <c r="J21" s="17" t="n">
        <v>2063</v>
      </c>
      <c r="K21" s="18">
        <f>K20*K22</f>
        <v/>
      </c>
      <c r="L21" s="18">
        <f>L20*L22</f>
        <v/>
      </c>
      <c r="M21" s="18">
        <f>M20*M22</f>
        <v/>
      </c>
      <c r="N21" s="18">
        <f>N20*N22</f>
        <v/>
      </c>
      <c r="O21" s="18">
        <f>O20*O22</f>
        <v/>
      </c>
      <c r="P21" s="18">
        <f>P20*P22</f>
        <v/>
      </c>
      <c r="Q21" s="18">
        <f>Q20*Q22</f>
        <v/>
      </c>
      <c r="R21" s="18">
        <f>R20*R22</f>
        <v/>
      </c>
      <c r="S21" s="18">
        <f>S20*S22</f>
        <v/>
      </c>
      <c r="T21" s="18">
        <f>T20*T22</f>
        <v/>
      </c>
    </row>
    <row r="22">
      <c r="E22" s="3" t="inlineStr">
        <is>
          <t>Tax Rate</t>
        </is>
      </c>
      <c r="F22" s="20">
        <f>F21/F20</f>
        <v/>
      </c>
      <c r="G22" s="20">
        <f>G21/G20</f>
        <v/>
      </c>
      <c r="H22" s="20">
        <f>H21/H20</f>
        <v/>
      </c>
      <c r="I22" s="20">
        <f>I21/I20</f>
        <v/>
      </c>
      <c r="J22" s="20">
        <f>J21/J20</f>
        <v/>
      </c>
      <c r="K22" s="19" t="n">
        <v>0.24</v>
      </c>
      <c r="L22" s="19" t="n">
        <v>0.24</v>
      </c>
      <c r="M22" s="19" t="n">
        <v>0.24</v>
      </c>
      <c r="N22" s="19" t="n">
        <v>0.24</v>
      </c>
      <c r="O22" s="19" t="n">
        <v>0.24</v>
      </c>
      <c r="P22" s="19" t="n">
        <v>0.24</v>
      </c>
      <c r="Q22" s="19" t="n">
        <v>0.24</v>
      </c>
      <c r="R22" s="19" t="n">
        <v>0.24</v>
      </c>
      <c r="S22" s="19" t="n">
        <v>0.24</v>
      </c>
      <c r="T22" s="19" t="n">
        <v>0.24</v>
      </c>
    </row>
    <row r="23">
      <c r="E23" s="3" t="inlineStr">
        <is>
          <t>Net Income</t>
        </is>
      </c>
      <c r="F23" s="17" t="n">
        <v>1444</v>
      </c>
      <c r="G23" s="17" t="n">
        <v>208</v>
      </c>
      <c r="H23" s="17" t="n">
        <v>4136</v>
      </c>
      <c r="I23" s="17" t="n">
        <v>6197</v>
      </c>
      <c r="J23" s="17" t="n">
        <v>7457</v>
      </c>
      <c r="K23" s="18">
        <f>K20-K21</f>
        <v/>
      </c>
      <c r="L23" s="18">
        <f>L20-L21</f>
        <v/>
      </c>
      <c r="M23" s="18">
        <f>M20-M21</f>
        <v/>
      </c>
      <c r="N23" s="18">
        <f>N20-N21</f>
        <v/>
      </c>
      <c r="O23" s="18">
        <f>O20-O21</f>
        <v/>
      </c>
      <c r="P23" s="18">
        <f>P20-P21</f>
        <v/>
      </c>
      <c r="Q23" s="18">
        <f>Q20-Q21</f>
        <v/>
      </c>
      <c r="R23" s="18">
        <f>R20-R21</f>
        <v/>
      </c>
      <c r="S23" s="18">
        <f>S20-S21</f>
        <v/>
      </c>
      <c r="T23" s="18">
        <f>T20-T21</f>
        <v/>
      </c>
    </row>
    <row r="24">
      <c r="E24" s="4" t="inlineStr">
        <is>
          <t>Net Margin</t>
        </is>
      </c>
      <c r="F24" s="20">
        <f>F23/F4</f>
        <v/>
      </c>
      <c r="G24" s="20">
        <f>G23/G4</f>
        <v/>
      </c>
      <c r="H24" s="20">
        <f>H23/H4</f>
        <v/>
      </c>
      <c r="I24" s="20">
        <f>I23/I4</f>
        <v/>
      </c>
      <c r="J24" s="20">
        <f>J23/J4</f>
        <v/>
      </c>
      <c r="K24" s="20">
        <f>K23/K4</f>
        <v/>
      </c>
      <c r="L24" s="20">
        <f>L23/L4</f>
        <v/>
      </c>
      <c r="M24" s="20">
        <f>M23/M4</f>
        <v/>
      </c>
      <c r="N24" s="20">
        <f>N23/N4</f>
        <v/>
      </c>
      <c r="O24" s="20">
        <f>O23/O4</f>
        <v/>
      </c>
      <c r="P24" s="20">
        <f>P23/P4</f>
        <v/>
      </c>
      <c r="Q24" s="20">
        <f>Q23/Q4</f>
        <v/>
      </c>
      <c r="R24" s="20">
        <f>R23/R4</f>
        <v/>
      </c>
      <c r="S24" s="20">
        <f>S23/S4</f>
        <v/>
      </c>
      <c r="T24" s="20">
        <f>T23/T4</f>
        <v/>
      </c>
    </row>
    <row r="25">
      <c r="E25" s="3" t="inlineStr">
        <is>
          <t>Diluted Shares</t>
        </is>
      </c>
      <c r="F25" s="21" t="n">
        <v>974</v>
      </c>
      <c r="G25" s="21" t="n">
        <v>997</v>
      </c>
      <c r="H25" s="21" t="n">
        <v>984</v>
      </c>
      <c r="I25" s="21" t="n">
        <v>974</v>
      </c>
      <c r="J25" s="21" t="n">
        <v>956</v>
      </c>
      <c r="K25" s="21" t="n">
        <v>818.05</v>
      </c>
      <c r="L25" s="21" t="n">
        <v>815</v>
      </c>
      <c r="M25" s="21" t="n">
        <v>812</v>
      </c>
      <c r="N25" s="21" t="n">
        <v>809</v>
      </c>
      <c r="O25" s="21" t="n">
        <v>806</v>
      </c>
      <c r="P25" s="21" t="n">
        <v>803</v>
      </c>
      <c r="Q25" s="21" t="n">
        <v>800</v>
      </c>
      <c r="R25" s="21" t="n">
        <v>798</v>
      </c>
      <c r="S25" s="21" t="n">
        <v>796</v>
      </c>
      <c r="T25" s="21" t="n">
        <v>794</v>
      </c>
    </row>
    <row r="26">
      <c r="E26" s="3" t="inlineStr">
        <is>
          <t>EPS</t>
        </is>
      </c>
      <c r="F26" s="13">
        <f>F23/F25</f>
        <v/>
      </c>
      <c r="G26" s="13">
        <f>G23/G25</f>
        <v/>
      </c>
      <c r="H26" s="13">
        <f>H23/H25</f>
        <v/>
      </c>
      <c r="I26" s="13">
        <f>I23/I25</f>
        <v/>
      </c>
      <c r="J26" s="13">
        <f>J23/J25</f>
        <v/>
      </c>
      <c r="K26" s="13">
        <f>K23/K25</f>
        <v/>
      </c>
      <c r="L26" s="13">
        <f>L23/L25</f>
        <v/>
      </c>
      <c r="M26" s="13">
        <f>M23/M25</f>
        <v/>
      </c>
      <c r="N26" s="13">
        <f>N23/N25</f>
        <v/>
      </c>
      <c r="O26" s="13">
        <f>O23/O25</f>
        <v/>
      </c>
      <c r="P26" s="13">
        <f>P23/P25</f>
        <v/>
      </c>
      <c r="Q26" s="13">
        <f>Q23/Q25</f>
        <v/>
      </c>
      <c r="R26" s="13">
        <f>R23/R25</f>
        <v/>
      </c>
      <c r="S26" s="13">
        <f>S23/S25</f>
        <v/>
      </c>
      <c r="T26" s="13">
        <f>T23/T25</f>
        <v/>
      </c>
    </row>
    <row r="27">
      <c r="E27" s="3" t="inlineStr">
        <is>
          <t>Operating Cash Flow</t>
        </is>
      </c>
      <c r="F27" s="17" t="n">
        <v>6000</v>
      </c>
      <c r="G27" s="17" t="n">
        <v>7111</v>
      </c>
      <c r="H27" s="17" t="n">
        <v>10234</v>
      </c>
      <c r="I27" s="17" t="n">
        <v>13092</v>
      </c>
      <c r="J27" s="17" t="n">
        <v>14996</v>
      </c>
      <c r="K27" s="18">
        <f>K29-K28</f>
        <v/>
      </c>
      <c r="L27" s="18">
        <f>L29-L28</f>
        <v/>
      </c>
      <c r="M27" s="18">
        <f>M29-M28</f>
        <v/>
      </c>
      <c r="N27" s="18">
        <f>N29-N28</f>
        <v/>
      </c>
      <c r="O27" s="18">
        <f>O29-O28</f>
        <v/>
      </c>
      <c r="P27" s="18">
        <f>P29-P28</f>
        <v/>
      </c>
      <c r="Q27" s="18">
        <f>Q29-Q28</f>
        <v/>
      </c>
      <c r="R27" s="18">
        <f>R29-R28</f>
        <v/>
      </c>
      <c r="S27" s="18">
        <f>S29-S28</f>
        <v/>
      </c>
      <c r="T27" s="18">
        <f>T29-T28</f>
        <v/>
      </c>
    </row>
    <row r="28">
      <c r="E28" s="3" t="inlineStr">
        <is>
          <t>Capex</t>
        </is>
      </c>
      <c r="F28" s="17" t="n">
        <v>-717</v>
      </c>
      <c r="G28" s="17" t="n">
        <v>-798</v>
      </c>
      <c r="H28" s="17" t="n">
        <v>-736</v>
      </c>
      <c r="I28" s="17" t="n">
        <v>-658</v>
      </c>
      <c r="J28" s="17" t="n">
        <v>-594</v>
      </c>
      <c r="K28" s="18">
        <f>-K4*0.015</f>
        <v/>
      </c>
      <c r="L28" s="18">
        <f>-L4*0.015</f>
        <v/>
      </c>
      <c r="M28" s="18">
        <f>-M4*0.0148</f>
        <v/>
      </c>
      <c r="N28" s="18">
        <f>-N4*0.0147</f>
        <v/>
      </c>
      <c r="O28" s="18">
        <f>-O4*0.0146</f>
        <v/>
      </c>
      <c r="P28" s="18">
        <f>-P4*0.0145</f>
        <v/>
      </c>
      <c r="Q28" s="18">
        <f>-Q4*0.0145</f>
        <v/>
      </c>
      <c r="R28" s="18">
        <f>-R4*0.0145</f>
        <v/>
      </c>
      <c r="S28" s="18">
        <f>-S4*0.0145</f>
        <v/>
      </c>
      <c r="T28" s="18">
        <f>-T4*0.0145</f>
        <v/>
      </c>
    </row>
    <row r="29">
      <c r="E29" s="3" t="inlineStr">
        <is>
          <t>Free Cash Flow</t>
        </is>
      </c>
      <c r="F29" s="18">
        <f>F27+F28</f>
        <v/>
      </c>
      <c r="G29" s="18">
        <f>G27+G28</f>
        <v/>
      </c>
      <c r="H29" s="18">
        <f>H27+H28</f>
        <v/>
      </c>
      <c r="I29" s="18">
        <f>I27+I28</f>
        <v/>
      </c>
      <c r="J29" s="18">
        <f>J27+J28</f>
        <v/>
      </c>
      <c r="K29" s="18">
        <f>K4*K30</f>
        <v/>
      </c>
      <c r="L29" s="18">
        <f>L4*L30</f>
        <v/>
      </c>
      <c r="M29" s="18">
        <f>M4*M30</f>
        <v/>
      </c>
      <c r="N29" s="18">
        <f>N4*N30</f>
        <v/>
      </c>
      <c r="O29" s="18">
        <f>O4*O30</f>
        <v/>
      </c>
      <c r="P29" s="18">
        <f>P4*P30</f>
        <v/>
      </c>
      <c r="Q29" s="18">
        <f>Q4*Q30</f>
        <v/>
      </c>
      <c r="R29" s="18">
        <f>R4*R30</f>
        <v/>
      </c>
      <c r="S29" s="18">
        <f>S4*S30</f>
        <v/>
      </c>
      <c r="T29" s="18">
        <f>T4*T30</f>
        <v/>
      </c>
    </row>
    <row r="30">
      <c r="E30" s="4" t="inlineStr">
        <is>
          <t>FCF Margin</t>
        </is>
      </c>
      <c r="F30" s="20">
        <f>F29/F4</f>
        <v/>
      </c>
      <c r="G30" s="20">
        <f>G29/G4</f>
        <v/>
      </c>
      <c r="H30" s="20">
        <f>H29/H4</f>
        <v/>
      </c>
      <c r="I30" s="20">
        <f>I29/I4</f>
        <v/>
      </c>
      <c r="J30" s="20">
        <f>J29/J4</f>
        <v/>
      </c>
      <c r="K30" s="19" t="n">
        <v>0.34</v>
      </c>
      <c r="L30" s="19" t="n">
        <v>0.342</v>
      </c>
      <c r="M30" s="19" t="n">
        <v>0.344</v>
      </c>
      <c r="N30" s="19" t="n">
        <v>0.346</v>
      </c>
      <c r="O30" s="19" t="n">
        <v>0.348</v>
      </c>
      <c r="P30" s="19" t="n">
        <v>0.35</v>
      </c>
      <c r="Q30" s="19" t="n">
        <v>0.35</v>
      </c>
      <c r="R30" s="19" t="n">
        <v>0.35</v>
      </c>
      <c r="S30" s="19" t="n">
        <v>0.35</v>
      </c>
      <c r="T30" s="19" t="n">
        <v>0.35</v>
      </c>
    </row>
    <row r="31">
      <c r="E31" s="3" t="inlineStr">
        <is>
          <t>Stock-Based Compensation</t>
        </is>
      </c>
      <c r="F31" s="17" t="n">
        <v>2779</v>
      </c>
      <c r="G31" s="17" t="n">
        <v>3279</v>
      </c>
      <c r="H31" s="17" t="n">
        <v>2787</v>
      </c>
      <c r="I31" s="17" t="n">
        <v>3183</v>
      </c>
      <c r="J31" s="17" t="n">
        <v>3509</v>
      </c>
      <c r="K31" s="18">
        <f>K4*K32</f>
        <v/>
      </c>
      <c r="L31" s="18">
        <f>L4*L32</f>
        <v/>
      </c>
      <c r="M31" s="18">
        <f>M4*M32</f>
        <v/>
      </c>
      <c r="N31" s="18">
        <f>N4*N32</f>
        <v/>
      </c>
      <c r="O31" s="18">
        <f>O4*O32</f>
        <v/>
      </c>
      <c r="P31" s="18">
        <f>P4*P32</f>
        <v/>
      </c>
      <c r="Q31" s="18">
        <f>Q4*Q32</f>
        <v/>
      </c>
      <c r="R31" s="18">
        <f>R4*R32</f>
        <v/>
      </c>
      <c r="S31" s="18">
        <f>S4*S32</f>
        <v/>
      </c>
      <c r="T31" s="18">
        <f>T4*T32</f>
        <v/>
      </c>
    </row>
    <row r="32">
      <c r="E32" s="4" t="inlineStr">
        <is>
          <t>SBC % Revenue</t>
        </is>
      </c>
      <c r="F32" s="20">
        <f>F31/F4</f>
        <v/>
      </c>
      <c r="G32" s="20">
        <f>G31/G4</f>
        <v/>
      </c>
      <c r="H32" s="20">
        <f>H31/H4</f>
        <v/>
      </c>
      <c r="I32" s="20">
        <f>I31/I4</f>
        <v/>
      </c>
      <c r="J32" s="20">
        <f>J31/J4</f>
        <v/>
      </c>
      <c r="K32" s="19" t="n">
        <v>0.081</v>
      </c>
      <c r="L32" s="19" t="n">
        <v>0.077</v>
      </c>
      <c r="M32" s="19" t="n">
        <v>0.073</v>
      </c>
      <c r="N32" s="19" t="n">
        <v>0.06900000000000001</v>
      </c>
      <c r="O32" s="19" t="n">
        <v>0.066</v>
      </c>
      <c r="P32" s="19" t="n">
        <v>0.063</v>
      </c>
      <c r="Q32" s="19" t="n">
        <v>0.061</v>
      </c>
      <c r="R32" s="19" t="n">
        <v>0.06</v>
      </c>
      <c r="S32" s="19" t="n">
        <v>0.06</v>
      </c>
      <c r="T32" s="19" t="n">
        <v>0.06</v>
      </c>
    </row>
    <row r="33">
      <c r="E33" s="3" t="inlineStr">
        <is>
          <t>Owner FCF After SBC</t>
        </is>
      </c>
      <c r="F33" s="18">
        <f>F29-F31</f>
        <v/>
      </c>
      <c r="G33" s="18">
        <f>G29-G31</f>
        <v/>
      </c>
      <c r="H33" s="18">
        <f>H29-H31</f>
        <v/>
      </c>
      <c r="I33" s="18">
        <f>I29-I31</f>
        <v/>
      </c>
      <c r="J33" s="18">
        <f>J29-J31</f>
        <v/>
      </c>
      <c r="K33" s="18">
        <f>K29-K31</f>
        <v/>
      </c>
      <c r="L33" s="18">
        <f>L29-L31</f>
        <v/>
      </c>
      <c r="M33" s="18">
        <f>M29-M31</f>
        <v/>
      </c>
      <c r="N33" s="18">
        <f>N29-N31</f>
        <v/>
      </c>
      <c r="O33" s="18">
        <f>O29-O31</f>
        <v/>
      </c>
      <c r="P33" s="18">
        <f>P29-P31</f>
        <v/>
      </c>
      <c r="Q33" s="18">
        <f>Q29-Q31</f>
        <v/>
      </c>
      <c r="R33" s="18">
        <f>R29-R31</f>
        <v/>
      </c>
      <c r="S33" s="18">
        <f>S29-S31</f>
        <v/>
      </c>
      <c r="T33" s="18">
        <f>T29-T31</f>
        <v/>
      </c>
    </row>
    <row r="34">
      <c r="E34" s="4" t="inlineStr">
        <is>
          <t>Owner FCF Margin</t>
        </is>
      </c>
      <c r="F34" s="20">
        <f>F33/F4</f>
        <v/>
      </c>
      <c r="G34" s="20">
        <f>G33/G4</f>
        <v/>
      </c>
      <c r="H34" s="20">
        <f>H33/H4</f>
        <v/>
      </c>
      <c r="I34" s="20">
        <f>I33/I4</f>
        <v/>
      </c>
      <c r="J34" s="20">
        <f>J33/J4</f>
        <v/>
      </c>
      <c r="K34" s="20">
        <f>K33/K4</f>
        <v/>
      </c>
      <c r="L34" s="20">
        <f>L33/L4</f>
        <v/>
      </c>
      <c r="M34" s="20">
        <f>M33/M4</f>
        <v/>
      </c>
      <c r="N34" s="20">
        <f>N33/N4</f>
        <v/>
      </c>
      <c r="O34" s="20">
        <f>O33/O4</f>
        <v/>
      </c>
      <c r="P34" s="20">
        <f>P33/P4</f>
        <v/>
      </c>
      <c r="Q34" s="20">
        <f>Q33/Q4</f>
        <v/>
      </c>
      <c r="R34" s="20">
        <f>R33/R4</f>
        <v/>
      </c>
      <c r="S34" s="20">
        <f>S33/S4</f>
        <v/>
      </c>
      <c r="T34" s="20">
        <f>T33/T4</f>
        <v/>
      </c>
    </row>
    <row r="35">
      <c r="E35" s="3" t="inlineStr">
        <is>
          <t>Cash + Short-Term Investments</t>
        </is>
      </c>
      <c r="F35" s="17" t="n">
        <v>10537</v>
      </c>
      <c r="G35" s="17" t="n">
        <v>12508</v>
      </c>
      <c r="H35" s="17" t="n">
        <v>14194</v>
      </c>
      <c r="I35" s="17" t="n">
        <v>14032</v>
      </c>
      <c r="J35" s="17" t="n">
        <v>9565</v>
      </c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E36" s="3" t="inlineStr">
        <is>
          <t>Gross Debt</t>
        </is>
      </c>
      <c r="F36" s="17" t="n">
        <v>10596</v>
      </c>
      <c r="G36" s="17" t="n">
        <v>10601</v>
      </c>
      <c r="H36" s="17" t="n">
        <v>9426</v>
      </c>
      <c r="I36" s="17" t="n">
        <v>8433</v>
      </c>
      <c r="J36" s="17" t="n">
        <v>14439</v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E37" s="3" t="inlineStr">
        <is>
          <t>Operating Lease Liabilities</t>
        </is>
      </c>
      <c r="F37" s="17" t="n">
        <v>3389</v>
      </c>
      <c r="G37" s="17" t="n">
        <v>3487</v>
      </c>
      <c r="H37" s="17" t="n">
        <v>3162</v>
      </c>
      <c r="I37" s="17" t="n">
        <v>2959</v>
      </c>
      <c r="J37" s="17" t="n">
        <v>2737</v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E38" s="3" t="inlineStr">
        <is>
          <t>Net Debt Incl Leases</t>
        </is>
      </c>
      <c r="F38" s="18">
        <f>F36+F37-F35</f>
        <v/>
      </c>
      <c r="G38" s="18">
        <f>G36+G37-G35</f>
        <v/>
      </c>
      <c r="H38" s="18">
        <f>H36+H37-H35</f>
        <v/>
      </c>
      <c r="I38" s="18">
        <f>I36+I37-I35</f>
        <v/>
      </c>
      <c r="J38" s="18">
        <f>J36+J37-J35</f>
        <v/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43">
      <c r="B43" s="1" t="inlineStr">
        <is>
          <t>DCF: Owner FCF After SBC</t>
        </is>
      </c>
    </row>
    <row r="44">
      <c r="B44" s="3" t="inlineStr">
        <is>
          <t>WACC</t>
        </is>
      </c>
      <c r="C44" s="23">
        <f>WACC!B13</f>
        <v/>
      </c>
    </row>
    <row r="45">
      <c r="B45" s="3" t="inlineStr">
        <is>
          <t>Terminal growth</t>
        </is>
      </c>
      <c r="C45" s="23" t="n">
        <v>0.03</v>
      </c>
    </row>
    <row r="46">
      <c r="B46" s="3" t="inlineStr">
        <is>
          <t>Net debt incl leases, $m</t>
        </is>
      </c>
      <c r="C46" s="17">
        <f>C11</f>
        <v/>
      </c>
      <c r="J46" s="3" t="inlineStr">
        <is>
          <t>Discount factor</t>
        </is>
      </c>
      <c r="K46" s="20">
        <f>1/(1+$C$44)^1</f>
        <v/>
      </c>
      <c r="L46" s="20">
        <f>1/(1+$C$44)^2</f>
        <v/>
      </c>
      <c r="M46" s="20">
        <f>1/(1+$C$44)^3</f>
        <v/>
      </c>
      <c r="N46" s="20">
        <f>1/(1+$C$44)^4</f>
        <v/>
      </c>
      <c r="O46" s="20">
        <f>1/(1+$C$44)^5</f>
        <v/>
      </c>
      <c r="P46" s="20">
        <f>1/(1+$C$44)^6</f>
        <v/>
      </c>
      <c r="Q46" s="20">
        <f>1/(1+$C$44)^7</f>
        <v/>
      </c>
      <c r="R46" s="20">
        <f>1/(1+$C$44)^8</f>
        <v/>
      </c>
      <c r="S46" s="20">
        <f>1/(1+$C$44)^9</f>
        <v/>
      </c>
      <c r="T46" s="20">
        <f>1/(1+$C$44)^10</f>
        <v/>
      </c>
    </row>
    <row r="47">
      <c r="B47" s="3" t="inlineStr">
        <is>
          <t>PV explicit owner FCF, $m</t>
        </is>
      </c>
      <c r="C47" s="18">
        <f>SUM(K47:T47)</f>
        <v/>
      </c>
      <c r="J47" s="3" t="inlineStr">
        <is>
          <t>PV owner FCF</t>
        </is>
      </c>
      <c r="K47" s="18">
        <f>K33*K46</f>
        <v/>
      </c>
      <c r="L47" s="18">
        <f>L33*L46</f>
        <v/>
      </c>
      <c r="M47" s="18">
        <f>M33*M46</f>
        <v/>
      </c>
      <c r="N47" s="18">
        <f>N33*N46</f>
        <v/>
      </c>
      <c r="O47" s="18">
        <f>O33*O46</f>
        <v/>
      </c>
      <c r="P47" s="18">
        <f>P33*P46</f>
        <v/>
      </c>
      <c r="Q47" s="18">
        <f>Q33*Q46</f>
        <v/>
      </c>
      <c r="R47" s="18">
        <f>R33*R46</f>
        <v/>
      </c>
      <c r="S47" s="18">
        <f>S33*S46</f>
        <v/>
      </c>
      <c r="T47" s="18">
        <f>T33*T46</f>
        <v/>
      </c>
    </row>
    <row r="48">
      <c r="B48" s="3" t="inlineStr">
        <is>
          <t>Terminal value, $m</t>
        </is>
      </c>
      <c r="C48" s="18">
        <f>T33*(1+C45)/(C44-C45)</f>
        <v/>
      </c>
      <c r="J48" s="3" t="inlineStr">
        <is>
          <t>PV reported FCF</t>
        </is>
      </c>
      <c r="K48" s="18">
        <f>K29*K46</f>
        <v/>
      </c>
      <c r="L48" s="18">
        <f>L29*L46</f>
        <v/>
      </c>
      <c r="M48" s="18">
        <f>M29*M46</f>
        <v/>
      </c>
      <c r="N48" s="18">
        <f>N29*N46</f>
        <v/>
      </c>
      <c r="O48" s="18">
        <f>O29*O46</f>
        <v/>
      </c>
      <c r="P48" s="18">
        <f>P29*P46</f>
        <v/>
      </c>
      <c r="Q48" s="18">
        <f>Q29*Q46</f>
        <v/>
      </c>
      <c r="R48" s="18">
        <f>R29*R46</f>
        <v/>
      </c>
      <c r="S48" s="18">
        <f>S29*S46</f>
        <v/>
      </c>
      <c r="T48" s="18">
        <f>T29*T46</f>
        <v/>
      </c>
    </row>
    <row r="49">
      <c r="B49" s="3" t="inlineStr">
        <is>
          <t>PV terminal value, $m</t>
        </is>
      </c>
      <c r="C49" s="18">
        <f>C48/(1+C44)^10</f>
        <v/>
      </c>
    </row>
    <row r="50">
      <c r="B50" s="3" t="inlineStr">
        <is>
          <t>DCF enterprise value, $m</t>
        </is>
      </c>
      <c r="C50" s="18">
        <f>C47+C49</f>
        <v/>
      </c>
    </row>
    <row r="51">
      <c r="B51" s="3" t="inlineStr">
        <is>
          <t>Equity value, $m</t>
        </is>
      </c>
      <c r="C51" s="18">
        <f>C50-C46</f>
        <v/>
      </c>
    </row>
    <row r="52">
      <c r="B52" s="3" t="inlineStr">
        <is>
          <t>Diluted shares, mm</t>
        </is>
      </c>
      <c r="C52" s="21">
        <f>C6</f>
        <v/>
      </c>
    </row>
    <row r="53">
      <c r="B53" s="3" t="inlineStr">
        <is>
          <t>Implied price</t>
        </is>
      </c>
      <c r="C53" s="13">
        <f>C51/C52</f>
        <v/>
      </c>
    </row>
    <row r="54">
      <c r="B54" s="3" t="inlineStr">
        <is>
          <t>Current price</t>
        </is>
      </c>
      <c r="C54" s="6">
        <f>C4</f>
        <v/>
      </c>
    </row>
    <row r="55">
      <c r="B55" s="3" t="inlineStr">
        <is>
          <t>Margin of safety</t>
        </is>
      </c>
      <c r="C55" s="20">
        <f>C53/C54-1</f>
        <v/>
      </c>
    </row>
    <row r="56">
      <c r="B56" s="3" t="inlineStr">
        <is>
          <t>PV explicit reported FCF, $m</t>
        </is>
      </c>
      <c r="C56" s="18">
        <f>SUM(K48:T48)</f>
        <v/>
      </c>
    </row>
    <row r="57">
      <c r="B57" s="3" t="inlineStr">
        <is>
          <t>Reported FCF implied price</t>
        </is>
      </c>
      <c r="C57" s="13">
        <f>((C56+T29*(1+C45)/(C44-C45)/(1+C44)^10)-C46)/C52</f>
        <v/>
      </c>
    </row>
    <row r="58">
      <c r="B58" s="3" t="inlineStr">
        <is>
          <t>Reverse DCF terminal owner FCF margin</t>
        </is>
      </c>
      <c r="C58" s="20">
        <f>((C12-C47)*(1+C44)^10*(C44-C45)/(1+C45))/T4</f>
        <v/>
      </c>
    </row>
    <row r="62">
      <c r="B62" s="1" t="inlineStr">
        <is>
          <t>Implied Price Sensitivity: WACC vs Terminal Growth (owner FCF after SBC)</t>
        </is>
      </c>
    </row>
    <row r="63">
      <c r="B63" s="2" t="inlineStr">
        <is>
          <t>WACC \ TG</t>
        </is>
      </c>
      <c r="C63" s="19" t="n">
        <v>0.02</v>
      </c>
      <c r="D63" s="19" t="n">
        <v>0.025</v>
      </c>
      <c r="E63" s="19" t="n">
        <v>0.03</v>
      </c>
      <c r="F63" s="19" t="n">
        <v>0.035</v>
      </c>
      <c r="G63" s="19" t="n">
        <v>0.04</v>
      </c>
    </row>
    <row r="64">
      <c r="B64" s="19" t="n">
        <v>0.08</v>
      </c>
      <c r="C64" s="13">
        <f>((K33/(1+0.08)^1+L33/(1+0.08)^2+M33/(1+0.08)^3+N33/(1+0.08)^4+O33/(1+0.08)^5+P33/(1+0.08)^6+Q33/(1+0.08)^7+R33/(1+0.08)^8+S33/(1+0.08)^9+T33/(1+0.08)^10+T33*(1+0.02)/(0.08-0.02)/(1+0.08)^10)-$C$46)/$C$52</f>
        <v/>
      </c>
      <c r="D64" s="13">
        <f>((K33/(1+0.08)^1+L33/(1+0.08)^2+M33/(1+0.08)^3+N33/(1+0.08)^4+O33/(1+0.08)^5+P33/(1+0.08)^6+Q33/(1+0.08)^7+R33/(1+0.08)^8+S33/(1+0.08)^9+T33/(1+0.08)^10+T33*(1+0.025)/(0.08-0.025)/(1+0.08)^10)-$C$46)/$C$52</f>
        <v/>
      </c>
      <c r="E64" s="13">
        <f>((K33/(1+0.08)^1+L33/(1+0.08)^2+M33/(1+0.08)^3+N33/(1+0.08)^4+O33/(1+0.08)^5+P33/(1+0.08)^6+Q33/(1+0.08)^7+R33/(1+0.08)^8+S33/(1+0.08)^9+T33/(1+0.08)^10+T33*(1+0.03)/(0.08-0.03)/(1+0.08)^10)-$C$46)/$C$52</f>
        <v/>
      </c>
      <c r="F64" s="13">
        <f>((K33/(1+0.08)^1+L33/(1+0.08)^2+M33/(1+0.08)^3+N33/(1+0.08)^4+O33/(1+0.08)^5+P33/(1+0.08)^6+Q33/(1+0.08)^7+R33/(1+0.08)^8+S33/(1+0.08)^9+T33/(1+0.08)^10+T33*(1+0.035)/(0.08-0.035)/(1+0.08)^10)-$C$46)/$C$52</f>
        <v/>
      </c>
      <c r="G64" s="13">
        <f>((K33/(1+0.08)^1+L33/(1+0.08)^2+M33/(1+0.08)^3+N33/(1+0.08)^4+O33/(1+0.08)^5+P33/(1+0.08)^6+Q33/(1+0.08)^7+R33/(1+0.08)^8+S33/(1+0.08)^9+T33/(1+0.08)^10+T33*(1+0.04)/(0.08-0.04)/(1+0.08)^10)-$C$46)/$C$52</f>
        <v/>
      </c>
    </row>
    <row r="65">
      <c r="B65" s="19" t="n">
        <v>0.08500000000000001</v>
      </c>
      <c r="C65" s="13">
        <f>((K33/(1+0.085)^1+L33/(1+0.085)^2+M33/(1+0.085)^3+N33/(1+0.085)^4+O33/(1+0.085)^5+P33/(1+0.085)^6+Q33/(1+0.085)^7+R33/(1+0.085)^8+S33/(1+0.085)^9+T33/(1+0.085)^10+T33*(1+0.02)/(0.085-0.02)/(1+0.085)^10)-$C$46)/$C$52</f>
        <v/>
      </c>
      <c r="D65" s="13">
        <f>((K33/(1+0.085)^1+L33/(1+0.085)^2+M33/(1+0.085)^3+N33/(1+0.085)^4+O33/(1+0.085)^5+P33/(1+0.085)^6+Q33/(1+0.085)^7+R33/(1+0.085)^8+S33/(1+0.085)^9+T33/(1+0.085)^10+T33*(1+0.025)/(0.085-0.025)/(1+0.085)^10)-$C$46)/$C$52</f>
        <v/>
      </c>
      <c r="E65" s="13">
        <f>((K33/(1+0.085)^1+L33/(1+0.085)^2+M33/(1+0.085)^3+N33/(1+0.085)^4+O33/(1+0.085)^5+P33/(1+0.085)^6+Q33/(1+0.085)^7+R33/(1+0.085)^8+S33/(1+0.085)^9+T33/(1+0.085)^10+T33*(1+0.03)/(0.085-0.03)/(1+0.085)^10)-$C$46)/$C$52</f>
        <v/>
      </c>
      <c r="F65" s="13">
        <f>((K33/(1+0.085)^1+L33/(1+0.085)^2+M33/(1+0.085)^3+N33/(1+0.085)^4+O33/(1+0.085)^5+P33/(1+0.085)^6+Q33/(1+0.085)^7+R33/(1+0.085)^8+S33/(1+0.085)^9+T33/(1+0.085)^10+T33*(1+0.035)/(0.085-0.035)/(1+0.085)^10)-$C$46)/$C$52</f>
        <v/>
      </c>
      <c r="G65" s="13">
        <f>((K33/(1+0.085)^1+L33/(1+0.085)^2+M33/(1+0.085)^3+N33/(1+0.085)^4+O33/(1+0.085)^5+P33/(1+0.085)^6+Q33/(1+0.085)^7+R33/(1+0.085)^8+S33/(1+0.085)^9+T33/(1+0.085)^10+T33*(1+0.04)/(0.085-0.04)/(1+0.085)^10)-$C$46)/$C$52</f>
        <v/>
      </c>
    </row>
    <row r="66">
      <c r="B66" s="19" t="n">
        <v>0.09</v>
      </c>
      <c r="C66" s="13">
        <f>((K33/(1+0.09)^1+L33/(1+0.09)^2+M33/(1+0.09)^3+N33/(1+0.09)^4+O33/(1+0.09)^5+P33/(1+0.09)^6+Q33/(1+0.09)^7+R33/(1+0.09)^8+S33/(1+0.09)^9+T33/(1+0.09)^10+T33*(1+0.02)/(0.09-0.02)/(1+0.09)^10)-$C$46)/$C$52</f>
        <v/>
      </c>
      <c r="D66" s="13">
        <f>((K33/(1+0.09)^1+L33/(1+0.09)^2+M33/(1+0.09)^3+N33/(1+0.09)^4+O33/(1+0.09)^5+P33/(1+0.09)^6+Q33/(1+0.09)^7+R33/(1+0.09)^8+S33/(1+0.09)^9+T33/(1+0.09)^10+T33*(1+0.025)/(0.09-0.025)/(1+0.09)^10)-$C$46)/$C$52</f>
        <v/>
      </c>
      <c r="E66" s="13">
        <f>((K33/(1+0.09)^1+L33/(1+0.09)^2+M33/(1+0.09)^3+N33/(1+0.09)^4+O33/(1+0.09)^5+P33/(1+0.09)^6+Q33/(1+0.09)^7+R33/(1+0.09)^8+S33/(1+0.09)^9+T33/(1+0.09)^10+T33*(1+0.03)/(0.09-0.03)/(1+0.09)^10)-$C$46)/$C$52</f>
        <v/>
      </c>
      <c r="F66" s="13">
        <f>((K33/(1+0.09)^1+L33/(1+0.09)^2+M33/(1+0.09)^3+N33/(1+0.09)^4+O33/(1+0.09)^5+P33/(1+0.09)^6+Q33/(1+0.09)^7+R33/(1+0.09)^8+S33/(1+0.09)^9+T33/(1+0.09)^10+T33*(1+0.035)/(0.09-0.035)/(1+0.09)^10)-$C$46)/$C$52</f>
        <v/>
      </c>
      <c r="G66" s="13">
        <f>((K33/(1+0.09)^1+L33/(1+0.09)^2+M33/(1+0.09)^3+N33/(1+0.09)^4+O33/(1+0.09)^5+P33/(1+0.09)^6+Q33/(1+0.09)^7+R33/(1+0.09)^8+S33/(1+0.09)^9+T33/(1+0.09)^10+T33*(1+0.04)/(0.09-0.04)/(1+0.09)^10)-$C$46)/$C$52</f>
        <v/>
      </c>
    </row>
    <row r="67">
      <c r="B67" s="19" t="n">
        <v>0.095</v>
      </c>
      <c r="C67" s="13">
        <f>((K33/(1+0.095)^1+L33/(1+0.095)^2+M33/(1+0.095)^3+N33/(1+0.095)^4+O33/(1+0.095)^5+P33/(1+0.095)^6+Q33/(1+0.095)^7+R33/(1+0.095)^8+S33/(1+0.095)^9+T33/(1+0.095)^10+T33*(1+0.02)/(0.095-0.02)/(1+0.095)^10)-$C$46)/$C$52</f>
        <v/>
      </c>
      <c r="D67" s="13">
        <f>((K33/(1+0.095)^1+L33/(1+0.095)^2+M33/(1+0.095)^3+N33/(1+0.095)^4+O33/(1+0.095)^5+P33/(1+0.095)^6+Q33/(1+0.095)^7+R33/(1+0.095)^8+S33/(1+0.095)^9+T33/(1+0.095)^10+T33*(1+0.025)/(0.095-0.025)/(1+0.095)^10)-$C$46)/$C$52</f>
        <v/>
      </c>
      <c r="E67" s="13">
        <f>((K33/(1+0.095)^1+L33/(1+0.095)^2+M33/(1+0.095)^3+N33/(1+0.095)^4+O33/(1+0.095)^5+P33/(1+0.095)^6+Q33/(1+0.095)^7+R33/(1+0.095)^8+S33/(1+0.095)^9+T33/(1+0.095)^10+T33*(1+0.03)/(0.095-0.03)/(1+0.095)^10)-$C$46)/$C$52</f>
        <v/>
      </c>
      <c r="F67" s="13">
        <f>((K33/(1+0.095)^1+L33/(1+0.095)^2+M33/(1+0.095)^3+N33/(1+0.095)^4+O33/(1+0.095)^5+P33/(1+0.095)^6+Q33/(1+0.095)^7+R33/(1+0.095)^8+S33/(1+0.095)^9+T33/(1+0.095)^10+T33*(1+0.035)/(0.095-0.035)/(1+0.095)^10)-$C$46)/$C$52</f>
        <v/>
      </c>
      <c r="G67" s="13">
        <f>((K33/(1+0.095)^1+L33/(1+0.095)^2+M33/(1+0.095)^3+N33/(1+0.095)^4+O33/(1+0.095)^5+P33/(1+0.095)^6+Q33/(1+0.095)^7+R33/(1+0.095)^8+S33/(1+0.095)^9+T33/(1+0.095)^10+T33*(1+0.04)/(0.095-0.04)/(1+0.095)^10)-$C$46)/$C$52</f>
        <v/>
      </c>
    </row>
    <row r="68">
      <c r="B68" s="19" t="n">
        <v>0.1</v>
      </c>
      <c r="C68" s="13">
        <f>((K33/(1+0.1)^1+L33/(1+0.1)^2+M33/(1+0.1)^3+N33/(1+0.1)^4+O33/(1+0.1)^5+P33/(1+0.1)^6+Q33/(1+0.1)^7+R33/(1+0.1)^8+S33/(1+0.1)^9+T33/(1+0.1)^10+T33*(1+0.02)/(0.1-0.02)/(1+0.1)^10)-$C$46)/$C$52</f>
        <v/>
      </c>
      <c r="D68" s="13">
        <f>((K33/(1+0.1)^1+L33/(1+0.1)^2+M33/(1+0.1)^3+N33/(1+0.1)^4+O33/(1+0.1)^5+P33/(1+0.1)^6+Q33/(1+0.1)^7+R33/(1+0.1)^8+S33/(1+0.1)^9+T33/(1+0.1)^10+T33*(1+0.025)/(0.1-0.025)/(1+0.1)^10)-$C$46)/$C$52</f>
        <v/>
      </c>
      <c r="E68" s="13">
        <f>((K33/(1+0.1)^1+L33/(1+0.1)^2+M33/(1+0.1)^3+N33/(1+0.1)^4+O33/(1+0.1)^5+P33/(1+0.1)^6+Q33/(1+0.1)^7+R33/(1+0.1)^8+S33/(1+0.1)^9+T33/(1+0.1)^10+T33*(1+0.03)/(0.1-0.03)/(1+0.1)^10)-$C$46)/$C$52</f>
        <v/>
      </c>
      <c r="F68" s="13">
        <f>((K33/(1+0.1)^1+L33/(1+0.1)^2+M33/(1+0.1)^3+N33/(1+0.1)^4+O33/(1+0.1)^5+P33/(1+0.1)^6+Q33/(1+0.1)^7+R33/(1+0.1)^8+S33/(1+0.1)^9+T33/(1+0.1)^10+T33*(1+0.035)/(0.1-0.035)/(1+0.1)^10)-$C$46)/$C$52</f>
        <v/>
      </c>
      <c r="G68" s="13">
        <f>((K33/(1+0.1)^1+L33/(1+0.1)^2+M33/(1+0.1)^3+N33/(1+0.1)^4+O33/(1+0.1)^5+P33/(1+0.1)^6+Q33/(1+0.1)^7+R33/(1+0.1)^8+S33/(1+0.1)^9+T33/(1+0.1)^10+T33*(1+0.04)/(0.1-0.04)/(1+0.1)^10)-$C$46)/$C$52</f>
        <v/>
      </c>
    </row>
  </sheetData>
  <mergeCells count="3">
    <mergeCell ref="B62:H62"/>
    <mergeCell ref="B2:C2"/>
    <mergeCell ref="B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4.7109375" customWidth="1" min="1" max="1"/>
    <col width="18.7109375" customWidth="1" min="2" max="2"/>
    <col width="90.7109375" customWidth="1" min="3" max="3"/>
  </cols>
  <sheetData>
    <row r="1">
      <c r="A1" s="1" t="inlineStr">
        <is>
          <t>WACC / Required Return Inputs</t>
        </is>
      </c>
    </row>
    <row r="2">
      <c r="A2" s="3" t="inlineStr">
        <is>
          <t>Risk-free rate</t>
        </is>
      </c>
      <c r="B2" s="23" t="n">
        <v>0.0457</v>
      </c>
      <c r="C2" s="15" t="inlineStr">
        <is>
          <t>U.S. Treasury / FRED 10-year Treasury near model date; latest available May 22, 2026.</t>
        </is>
      </c>
    </row>
    <row r="3">
      <c r="A3" s="3" t="inlineStr">
        <is>
          <t>Equity risk premium</t>
        </is>
      </c>
      <c r="B3" s="23" t="n">
        <v>0.05</v>
      </c>
      <c r="C3" s="15" t="inlineStr">
        <is>
          <t>Kroll/Damodaran public ERP cross-check; rounded to 5.0% for current U.S. large-cap equity risk.</t>
        </is>
      </c>
    </row>
    <row r="4">
      <c r="A4" s="3" t="inlineStr">
        <is>
          <t>Beta</t>
        </is>
      </c>
      <c r="B4" s="21" t="n">
        <v>1.14</v>
      </c>
      <c r="C4" s="15" t="inlineStr">
        <is>
          <t>StockAnalysis/Yahoo current beta cross-check.</t>
        </is>
      </c>
    </row>
    <row r="5">
      <c r="A5" s="3" t="inlineStr">
        <is>
          <t>Cost of equity</t>
        </is>
      </c>
      <c r="B5" s="20">
        <f>B2+B3*B4</f>
        <v/>
      </c>
      <c r="C5" s="15" t="inlineStr">
        <is>
          <t>CAPM = risk-free + beta x ERP.</t>
        </is>
      </c>
    </row>
    <row r="6">
      <c r="A6" s="3" t="inlineStr">
        <is>
          <t>Pre-tax cost of debt</t>
        </is>
      </c>
      <c r="B6" s="23" t="n">
        <v>0.05</v>
      </c>
      <c r="C6" s="15" t="inlineStr">
        <is>
          <t>Rounded pro forma debt cost; March 2026 $25B notes had 5.361% weighted coupon, existing debt partly lower.</t>
        </is>
      </c>
    </row>
    <row r="7">
      <c r="A7" s="3" t="inlineStr">
        <is>
          <t>Tax rate</t>
        </is>
      </c>
      <c r="B7" s="23" t="n">
        <v>0.23</v>
      </c>
      <c r="C7" s="15" t="inlineStr">
        <is>
          <t>Normalized U.S. software tax rate; near FY2026 cash/effective tax but not a one-year artifact.</t>
        </is>
      </c>
    </row>
    <row r="8">
      <c r="A8" s="3" t="inlineStr">
        <is>
          <t>After-tax cost of debt</t>
        </is>
      </c>
      <c r="B8" s="20">
        <f>B6*(1-B7)</f>
        <v/>
      </c>
      <c r="C8" s="15" t="inlineStr">
        <is>
          <t>Formula.</t>
        </is>
      </c>
    </row>
    <row r="9">
      <c r="A9" s="3" t="inlineStr">
        <is>
          <t>Market cap, $m</t>
        </is>
      </c>
      <c r="B9" s="17" t="n">
        <v>147306.2635</v>
      </c>
      <c r="C9" s="15" t="inlineStr">
        <is>
          <t>May 22, 2026 close price x StockAnalysis shares outstanding.</t>
        </is>
      </c>
    </row>
    <row r="10">
      <c r="A10" s="3" t="inlineStr">
        <is>
          <t>Gross debt pro forma, $m</t>
        </is>
      </c>
      <c r="B10" s="17" t="n">
        <v>39500</v>
      </c>
      <c r="C10" s="15" t="inlineStr">
        <is>
          <t>FY2026 debt plus March 2026 $25B senior notes for ASR.</t>
        </is>
      </c>
    </row>
    <row r="11">
      <c r="A11" s="3" t="inlineStr">
        <is>
          <t>Equity weight</t>
        </is>
      </c>
      <c r="B11" s="20">
        <f>B9/(B9+B10)</f>
        <v/>
      </c>
      <c r="C11" s="15" t="inlineStr">
        <is>
          <t>Market value capital structure.</t>
        </is>
      </c>
    </row>
    <row r="12">
      <c r="A12" s="3" t="inlineStr">
        <is>
          <t>Debt weight</t>
        </is>
      </c>
      <c r="B12" s="20">
        <f>B10/(B9+B10)</f>
        <v/>
      </c>
      <c r="C12" s="15" t="inlineStr">
        <is>
          <t>Gross debt weight.</t>
        </is>
      </c>
    </row>
    <row r="13">
      <c r="A13" s="3" t="inlineStr">
        <is>
          <t>Calculated WACC</t>
        </is>
      </c>
      <c r="B13" s="20">
        <f>B11*B5+B12*B8</f>
        <v/>
      </c>
      <c r="C13" s="15" t="inlineStr">
        <is>
          <t>Used in base DCF.</t>
        </is>
      </c>
    </row>
    <row r="14">
      <c r="A14" s="3" t="inlineStr">
        <is>
          <t>Rounded WACC sanity check</t>
        </is>
      </c>
      <c r="B14" s="23" t="n">
        <v>0.09</v>
      </c>
      <c r="C14" s="15" t="inlineStr">
        <is>
          <t>Base sensitivity center.</t>
        </is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Q62"/>
  <sheetViews>
    <sheetView showGridLines="0" workbookViewId="0">
      <selection activeCell="A1" sqref="A1"/>
    </sheetView>
  </sheetViews>
  <sheetFormatPr baseColWidth="8" defaultRowHeight="15"/>
  <cols>
    <col width="2.7109375" customWidth="1" min="1" max="1"/>
    <col width="28.7109375" customWidth="1" min="2" max="2"/>
    <col width="13.7109375" customWidth="1" min="3" max="13"/>
    <col width="18.7109375" customWidth="1" min="15" max="17"/>
  </cols>
  <sheetData>
    <row r="2">
      <c r="B2" s="1" t="inlineStr">
        <is>
          <t>Bull / Base / Bear Scenario DCFs (full SBC haircut)</t>
        </is>
      </c>
    </row>
    <row r="4">
      <c r="O4" s="2" t="inlineStr">
        <is>
          <t>Scenario</t>
        </is>
      </c>
      <c r="P4" s="2" t="inlineStr">
        <is>
          <t>Implied Price</t>
        </is>
      </c>
      <c r="Q4" s="2" t="inlineStr">
        <is>
          <t>Notes</t>
        </is>
      </c>
    </row>
    <row r="5">
      <c r="O5" s="3" t="inlineStr">
        <is>
          <t>Bear</t>
        </is>
      </c>
      <c r="P5" s="6" t="n">
        <v>96.21447082229568</v>
      </c>
      <c r="Q5" s="15" t="inlineStr">
        <is>
          <t>AI seat pressure, weak organic growth, lower FCF conversion; full SBC haircut.</t>
        </is>
      </c>
    </row>
    <row r="6">
      <c r="O6" s="3" t="inlineStr">
        <is>
          <t>Base</t>
        </is>
      </c>
      <c r="P6" s="6" t="n">
        <v>287.3368002885888</v>
      </c>
      <c r="Q6" s="15" t="inlineStr">
        <is>
          <t>FY27 guide midpoint, gradual organic fade, stable high FCF margin; full SBC haircut.</t>
        </is>
      </c>
    </row>
    <row r="7">
      <c r="O7" s="3" t="inlineStr">
        <is>
          <t>Bull</t>
        </is>
      </c>
      <c r="P7" s="6" t="n">
        <v>521.0165762594767</v>
      </c>
      <c r="Q7" s="15" t="inlineStr">
        <is>
          <t>Agentforce/Data 360 reacceleration with durable high incremental margins; full SBC haircut.</t>
        </is>
      </c>
    </row>
    <row r="10">
      <c r="B10" s="16" t="inlineStr">
        <is>
          <t>Bear Case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5" t="n"/>
    </row>
    <row r="11">
      <c r="C11" s="2" t="inlineStr">
        <is>
          <t>FY2026A</t>
        </is>
      </c>
      <c r="D11" s="2" t="inlineStr">
        <is>
          <t>FY2027E</t>
        </is>
      </c>
      <c r="E11" s="2" t="inlineStr">
        <is>
          <t>FY2028E</t>
        </is>
      </c>
      <c r="F11" s="2" t="inlineStr">
        <is>
          <t>FY2029E</t>
        </is>
      </c>
      <c r="G11" s="2" t="inlineStr">
        <is>
          <t>FY2030E</t>
        </is>
      </c>
      <c r="H11" s="2" t="inlineStr">
        <is>
          <t>FY2031E</t>
        </is>
      </c>
      <c r="I11" s="2" t="inlineStr">
        <is>
          <t>FY2032E</t>
        </is>
      </c>
      <c r="J11" s="2" t="inlineStr">
        <is>
          <t>FY2033E</t>
        </is>
      </c>
      <c r="K11" s="2" t="inlineStr">
        <is>
          <t>FY2034E</t>
        </is>
      </c>
      <c r="L11" s="2" t="inlineStr">
        <is>
          <t>FY2035E</t>
        </is>
      </c>
      <c r="M11" s="2" t="inlineStr">
        <is>
          <t>FY2036E</t>
        </is>
      </c>
    </row>
    <row r="12">
      <c r="B12" s="3" t="inlineStr">
        <is>
          <t>Revenue growth</t>
        </is>
      </c>
      <c r="C12" s="19" t="n"/>
      <c r="D12" s="19" t="n">
        <v>0.07000000000000001</v>
      </c>
      <c r="E12" s="19" t="n">
        <v>0.05</v>
      </c>
      <c r="F12" s="19" t="n">
        <v>0.04</v>
      </c>
      <c r="G12" s="19" t="n">
        <v>0.035</v>
      </c>
      <c r="H12" s="19" t="n">
        <v>0.03</v>
      </c>
      <c r="I12" s="19" t="n">
        <v>0.03</v>
      </c>
      <c r="J12" s="19" t="n">
        <v>0.025</v>
      </c>
      <c r="K12" s="19" t="n">
        <v>0.025</v>
      </c>
      <c r="L12" s="19" t="n">
        <v>0.02</v>
      </c>
      <c r="M12" s="19" t="n">
        <v>0.02</v>
      </c>
    </row>
    <row r="13">
      <c r="B13" s="3" t="inlineStr">
        <is>
          <t>Revenue</t>
        </is>
      </c>
      <c r="C13" s="17" t="n">
        <v>41525</v>
      </c>
      <c r="D13" s="18">
        <f>C13*(1+D12)</f>
        <v/>
      </c>
      <c r="E13" s="18">
        <f>D13*(1+E12)</f>
        <v/>
      </c>
      <c r="F13" s="18">
        <f>E13*(1+F12)</f>
        <v/>
      </c>
      <c r="G13" s="18">
        <f>F13*(1+G12)</f>
        <v/>
      </c>
      <c r="H13" s="18">
        <f>G13*(1+H12)</f>
        <v/>
      </c>
      <c r="I13" s="18">
        <f>H13*(1+I12)</f>
        <v/>
      </c>
      <c r="J13" s="18">
        <f>I13*(1+J12)</f>
        <v/>
      </c>
      <c r="K13" s="18">
        <f>J13*(1+K12)</f>
        <v/>
      </c>
      <c r="L13" s="18">
        <f>K13*(1+L12)</f>
        <v/>
      </c>
      <c r="M13" s="18">
        <f>L13*(1+M12)</f>
        <v/>
      </c>
    </row>
    <row r="14">
      <c r="B14" s="3" t="inlineStr">
        <is>
          <t>Reported FCF margin</t>
        </is>
      </c>
      <c r="D14" s="19" t="n">
        <v>0.3</v>
      </c>
      <c r="E14" s="19" t="n">
        <v>0.292</v>
      </c>
      <c r="F14" s="19" t="n">
        <v>0.285</v>
      </c>
      <c r="G14" s="19" t="n">
        <v>0.275</v>
      </c>
      <c r="H14" s="19" t="n">
        <v>0.27</v>
      </c>
      <c r="I14" s="19" t="n">
        <v>0.265</v>
      </c>
      <c r="J14" s="19" t="n">
        <v>0.262</v>
      </c>
      <c r="K14" s="19" t="n">
        <v>0.26</v>
      </c>
      <c r="L14" s="19" t="n">
        <v>0.26</v>
      </c>
      <c r="M14" s="19" t="n">
        <v>0.26</v>
      </c>
    </row>
    <row r="15">
      <c r="B15" s="3" t="inlineStr">
        <is>
          <t>Reported FCF</t>
        </is>
      </c>
      <c r="D15" s="18">
        <f>D13*D14</f>
        <v/>
      </c>
      <c r="E15" s="18">
        <f>E13*E14</f>
        <v/>
      </c>
      <c r="F15" s="18">
        <f>F13*F14</f>
        <v/>
      </c>
      <c r="G15" s="18">
        <f>G13*G14</f>
        <v/>
      </c>
      <c r="H15" s="18">
        <f>H13*H14</f>
        <v/>
      </c>
      <c r="I15" s="18">
        <f>I13*I14</f>
        <v/>
      </c>
      <c r="J15" s="18">
        <f>J13*J14</f>
        <v/>
      </c>
      <c r="K15" s="18">
        <f>K13*K14</f>
        <v/>
      </c>
      <c r="L15" s="18">
        <f>L13*L14</f>
        <v/>
      </c>
      <c r="M15" s="18">
        <f>M13*M14</f>
        <v/>
      </c>
    </row>
    <row r="16">
      <c r="B16" s="3" t="inlineStr">
        <is>
          <t>SBC % revenue</t>
        </is>
      </c>
      <c r="D16" s="19" t="n">
        <v>0.08500000000000001</v>
      </c>
      <c r="E16" s="19" t="n">
        <v>0.083</v>
      </c>
      <c r="F16" s="19" t="n">
        <v>0.08</v>
      </c>
      <c r="G16" s="19" t="n">
        <v>0.078</v>
      </c>
      <c r="H16" s="19" t="n">
        <v>0.075</v>
      </c>
      <c r="I16" s="19" t="n">
        <v>0.07199999999999999</v>
      </c>
      <c r="J16" s="19" t="n">
        <v>0.07000000000000001</v>
      </c>
      <c r="K16" s="19" t="n">
        <v>0.068</v>
      </c>
      <c r="L16" s="19" t="n">
        <v>0.065</v>
      </c>
      <c r="M16" s="19" t="n">
        <v>0.065</v>
      </c>
    </row>
    <row r="17">
      <c r="B17" s="3" t="inlineStr">
        <is>
          <t>SBC</t>
        </is>
      </c>
      <c r="D17" s="18">
        <f>D13*D16</f>
        <v/>
      </c>
      <c r="E17" s="18">
        <f>E13*E16</f>
        <v/>
      </c>
      <c r="F17" s="18">
        <f>F13*F16</f>
        <v/>
      </c>
      <c r="G17" s="18">
        <f>G13*G16</f>
        <v/>
      </c>
      <c r="H17" s="18">
        <f>H13*H16</f>
        <v/>
      </c>
      <c r="I17" s="18">
        <f>I13*I16</f>
        <v/>
      </c>
      <c r="J17" s="18">
        <f>J13*J16</f>
        <v/>
      </c>
      <c r="K17" s="18">
        <f>K13*K16</f>
        <v/>
      </c>
      <c r="L17" s="18">
        <f>L13*L16</f>
        <v/>
      </c>
      <c r="M17" s="18">
        <f>M13*M16</f>
        <v/>
      </c>
    </row>
    <row r="18">
      <c r="B18" s="3" t="inlineStr">
        <is>
          <t>Owner FCF</t>
        </is>
      </c>
      <c r="D18" s="18">
        <f>D15-D17</f>
        <v/>
      </c>
      <c r="E18" s="18">
        <f>E15-E17</f>
        <v/>
      </c>
      <c r="F18" s="18">
        <f>F15-F17</f>
        <v/>
      </c>
      <c r="G18" s="18">
        <f>G15-G17</f>
        <v/>
      </c>
      <c r="H18" s="18">
        <f>H15-H17</f>
        <v/>
      </c>
      <c r="I18" s="18">
        <f>I15-I17</f>
        <v/>
      </c>
      <c r="J18" s="18">
        <f>J15-J17</f>
        <v/>
      </c>
      <c r="K18" s="18">
        <f>K15-K17</f>
        <v/>
      </c>
      <c r="L18" s="18">
        <f>L15-L17</f>
        <v/>
      </c>
      <c r="M18" s="18">
        <f>M15-M17</f>
        <v/>
      </c>
    </row>
    <row r="19">
      <c r="B19" s="3" t="inlineStr">
        <is>
          <t>Discount factor</t>
        </is>
      </c>
      <c r="D19" s="20">
        <f>1/(1+D22)^1</f>
        <v/>
      </c>
      <c r="E19" s="20">
        <f>1/(1+D22)^2</f>
        <v/>
      </c>
      <c r="F19" s="20">
        <f>1/(1+D22)^3</f>
        <v/>
      </c>
      <c r="G19" s="20">
        <f>1/(1+D22)^4</f>
        <v/>
      </c>
      <c r="H19" s="20">
        <f>1/(1+D22)^5</f>
        <v/>
      </c>
      <c r="I19" s="20">
        <f>1/(1+D22)^6</f>
        <v/>
      </c>
      <c r="J19" s="20">
        <f>1/(1+D22)^7</f>
        <v/>
      </c>
      <c r="K19" s="20">
        <f>1/(1+D22)^8</f>
        <v/>
      </c>
      <c r="L19" s="20">
        <f>1/(1+D22)^9</f>
        <v/>
      </c>
      <c r="M19" s="20">
        <f>1/(1+D22)^10</f>
        <v/>
      </c>
    </row>
    <row r="20">
      <c r="B20" s="3" t="inlineStr">
        <is>
          <t>PV owner FCF</t>
        </is>
      </c>
      <c r="D20" s="18">
        <f>D18*D19</f>
        <v/>
      </c>
      <c r="E20" s="18">
        <f>E18*E19</f>
        <v/>
      </c>
      <c r="F20" s="18">
        <f>F18*F19</f>
        <v/>
      </c>
      <c r="G20" s="18">
        <f>G18*G19</f>
        <v/>
      </c>
      <c r="H20" s="18">
        <f>H18*H19</f>
        <v/>
      </c>
      <c r="I20" s="18">
        <f>I18*I19</f>
        <v/>
      </c>
      <c r="J20" s="18">
        <f>J18*J19</f>
        <v/>
      </c>
      <c r="K20" s="18">
        <f>K18*K19</f>
        <v/>
      </c>
      <c r="L20" s="18">
        <f>L18*L19</f>
        <v/>
      </c>
      <c r="M20" s="18">
        <f>M18*M19</f>
        <v/>
      </c>
    </row>
    <row r="21">
      <c r="B21" s="3" t="inlineStr">
        <is>
          <t>Terminal growth</t>
        </is>
      </c>
      <c r="D21" s="23" t="n">
        <v>0.02</v>
      </c>
    </row>
    <row r="22">
      <c r="B22" s="3" t="inlineStr">
        <is>
          <t>WACC</t>
        </is>
      </c>
      <c r="D22" s="23" t="n">
        <v>0.105</v>
      </c>
    </row>
    <row r="23">
      <c r="B23" s="3" t="inlineStr">
        <is>
          <t>Terminal value</t>
        </is>
      </c>
      <c r="D23" s="18">
        <f>M18*(1+D21)/(D22-D21)</f>
        <v/>
      </c>
    </row>
    <row r="24">
      <c r="B24" s="3" t="inlineStr">
        <is>
          <t>Enterprise value</t>
        </is>
      </c>
      <c r="D24" s="18">
        <f>SUM(D20:M20)+D23/(1+D22)^10</f>
        <v/>
      </c>
    </row>
    <row r="25">
      <c r="B25" s="3" t="inlineStr">
        <is>
          <t>Equity value</t>
        </is>
      </c>
      <c r="D25" s="18">
        <f>D24-Valuation!$C$11</f>
        <v/>
      </c>
    </row>
    <row r="26">
      <c r="B26" s="3" t="inlineStr">
        <is>
          <t>Implied price</t>
        </is>
      </c>
      <c r="D26" s="13">
        <f>D25/Valuation!$C$6</f>
        <v/>
      </c>
    </row>
    <row r="28">
      <c r="B28" s="16" t="inlineStr">
        <is>
          <t>Base Case</t>
        </is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5" t="n"/>
    </row>
    <row r="29">
      <c r="C29" s="2" t="inlineStr">
        <is>
          <t>FY2026A</t>
        </is>
      </c>
      <c r="D29" s="2" t="inlineStr">
        <is>
          <t>FY2027E</t>
        </is>
      </c>
      <c r="E29" s="2" t="inlineStr">
        <is>
          <t>FY2028E</t>
        </is>
      </c>
      <c r="F29" s="2" t="inlineStr">
        <is>
          <t>FY2029E</t>
        </is>
      </c>
      <c r="G29" s="2" t="inlineStr">
        <is>
          <t>FY2030E</t>
        </is>
      </c>
      <c r="H29" s="2" t="inlineStr">
        <is>
          <t>FY2031E</t>
        </is>
      </c>
      <c r="I29" s="2" t="inlineStr">
        <is>
          <t>FY2032E</t>
        </is>
      </c>
      <c r="J29" s="2" t="inlineStr">
        <is>
          <t>FY2033E</t>
        </is>
      </c>
      <c r="K29" s="2" t="inlineStr">
        <is>
          <t>FY2034E</t>
        </is>
      </c>
      <c r="L29" s="2" t="inlineStr">
        <is>
          <t>FY2035E</t>
        </is>
      </c>
      <c r="M29" s="2" t="inlineStr">
        <is>
          <t>FY2036E</t>
        </is>
      </c>
    </row>
    <row r="30">
      <c r="B30" s="3" t="inlineStr">
        <is>
          <t>Revenue growth</t>
        </is>
      </c>
      <c r="C30" s="19" t="n"/>
      <c r="D30" s="19" t="n">
        <v>0.108</v>
      </c>
      <c r="E30" s="19" t="n">
        <v>0.08500000000000001</v>
      </c>
      <c r="F30" s="19" t="n">
        <v>0.075</v>
      </c>
      <c r="G30" s="19" t="n">
        <v>0.065</v>
      </c>
      <c r="H30" s="19" t="n">
        <v>0.058</v>
      </c>
      <c r="I30" s="19" t="n">
        <v>0.052</v>
      </c>
      <c r="J30" s="19" t="n">
        <v>0.047</v>
      </c>
      <c r="K30" s="19" t="n">
        <v>0.043</v>
      </c>
      <c r="L30" s="19" t="n">
        <v>0.04</v>
      </c>
      <c r="M30" s="19" t="n">
        <v>0.038</v>
      </c>
    </row>
    <row r="31">
      <c r="B31" s="3" t="inlineStr">
        <is>
          <t>Revenue</t>
        </is>
      </c>
      <c r="C31" s="17" t="n">
        <v>41525</v>
      </c>
      <c r="D31" s="18">
        <f>C31*(1+D30)</f>
        <v/>
      </c>
      <c r="E31" s="18">
        <f>D31*(1+E30)</f>
        <v/>
      </c>
      <c r="F31" s="18">
        <f>E31*(1+F30)</f>
        <v/>
      </c>
      <c r="G31" s="18">
        <f>F31*(1+G30)</f>
        <v/>
      </c>
      <c r="H31" s="18">
        <f>G31*(1+H30)</f>
        <v/>
      </c>
      <c r="I31" s="18">
        <f>H31*(1+I30)</f>
        <v/>
      </c>
      <c r="J31" s="18">
        <f>I31*(1+J30)</f>
        <v/>
      </c>
      <c r="K31" s="18">
        <f>J31*(1+K30)</f>
        <v/>
      </c>
      <c r="L31" s="18">
        <f>K31*(1+L30)</f>
        <v/>
      </c>
      <c r="M31" s="18">
        <f>L31*(1+M30)</f>
        <v/>
      </c>
    </row>
    <row r="32">
      <c r="B32" s="3" t="inlineStr">
        <is>
          <t>Reported FCF margin</t>
        </is>
      </c>
      <c r="D32" s="19" t="n">
        <v>0.34</v>
      </c>
      <c r="E32" s="19" t="n">
        <v>0.342</v>
      </c>
      <c r="F32" s="19" t="n">
        <v>0.344</v>
      </c>
      <c r="G32" s="19" t="n">
        <v>0.346</v>
      </c>
      <c r="H32" s="19" t="n">
        <v>0.348</v>
      </c>
      <c r="I32" s="19" t="n">
        <v>0.35</v>
      </c>
      <c r="J32" s="19" t="n">
        <v>0.35</v>
      </c>
      <c r="K32" s="19" t="n">
        <v>0.35</v>
      </c>
      <c r="L32" s="19" t="n">
        <v>0.35</v>
      </c>
      <c r="M32" s="19" t="n">
        <v>0.35</v>
      </c>
    </row>
    <row r="33">
      <c r="B33" s="3" t="inlineStr">
        <is>
          <t>Reported FCF</t>
        </is>
      </c>
      <c r="D33" s="18">
        <f>D31*D32</f>
        <v/>
      </c>
      <c r="E33" s="18">
        <f>E31*E32</f>
        <v/>
      </c>
      <c r="F33" s="18">
        <f>F31*F32</f>
        <v/>
      </c>
      <c r="G33" s="18">
        <f>G31*G32</f>
        <v/>
      </c>
      <c r="H33" s="18">
        <f>H31*H32</f>
        <v/>
      </c>
      <c r="I33" s="18">
        <f>I31*I32</f>
        <v/>
      </c>
      <c r="J33" s="18">
        <f>J31*J32</f>
        <v/>
      </c>
      <c r="K33" s="18">
        <f>K31*K32</f>
        <v/>
      </c>
      <c r="L33" s="18">
        <f>L31*L32</f>
        <v/>
      </c>
      <c r="M33" s="18">
        <f>M31*M32</f>
        <v/>
      </c>
    </row>
    <row r="34">
      <c r="B34" s="3" t="inlineStr">
        <is>
          <t>SBC % revenue</t>
        </is>
      </c>
      <c r="D34" s="19" t="n">
        <v>0.081</v>
      </c>
      <c r="E34" s="19" t="n">
        <v>0.077</v>
      </c>
      <c r="F34" s="19" t="n">
        <v>0.073</v>
      </c>
      <c r="G34" s="19" t="n">
        <v>0.06900000000000001</v>
      </c>
      <c r="H34" s="19" t="n">
        <v>0.066</v>
      </c>
      <c r="I34" s="19" t="n">
        <v>0.063</v>
      </c>
      <c r="J34" s="19" t="n">
        <v>0.061</v>
      </c>
      <c r="K34" s="19" t="n">
        <v>0.06</v>
      </c>
      <c r="L34" s="19" t="n">
        <v>0.06</v>
      </c>
      <c r="M34" s="19" t="n">
        <v>0.06</v>
      </c>
    </row>
    <row r="35">
      <c r="B35" s="3" t="inlineStr">
        <is>
          <t>SBC</t>
        </is>
      </c>
      <c r="D35" s="18">
        <f>D31*D34</f>
        <v/>
      </c>
      <c r="E35" s="18">
        <f>E31*E34</f>
        <v/>
      </c>
      <c r="F35" s="18">
        <f>F31*F34</f>
        <v/>
      </c>
      <c r="G35" s="18">
        <f>G31*G34</f>
        <v/>
      </c>
      <c r="H35" s="18">
        <f>H31*H34</f>
        <v/>
      </c>
      <c r="I35" s="18">
        <f>I31*I34</f>
        <v/>
      </c>
      <c r="J35" s="18">
        <f>J31*J34</f>
        <v/>
      </c>
      <c r="K35" s="18">
        <f>K31*K34</f>
        <v/>
      </c>
      <c r="L35" s="18">
        <f>L31*L34</f>
        <v/>
      </c>
      <c r="M35" s="18">
        <f>M31*M34</f>
        <v/>
      </c>
    </row>
    <row r="36">
      <c r="B36" s="3" t="inlineStr">
        <is>
          <t>Owner FCF</t>
        </is>
      </c>
      <c r="D36" s="18">
        <f>D33-D35</f>
        <v/>
      </c>
      <c r="E36" s="18">
        <f>E33-E35</f>
        <v/>
      </c>
      <c r="F36" s="18">
        <f>F33-F35</f>
        <v/>
      </c>
      <c r="G36" s="18">
        <f>G33-G35</f>
        <v/>
      </c>
      <c r="H36" s="18">
        <f>H33-H35</f>
        <v/>
      </c>
      <c r="I36" s="18">
        <f>I33-I35</f>
        <v/>
      </c>
      <c r="J36" s="18">
        <f>J33-J35</f>
        <v/>
      </c>
      <c r="K36" s="18">
        <f>K33-K35</f>
        <v/>
      </c>
      <c r="L36" s="18">
        <f>L33-L35</f>
        <v/>
      </c>
      <c r="M36" s="18">
        <f>M33-M35</f>
        <v/>
      </c>
    </row>
    <row r="37">
      <c r="B37" s="3" t="inlineStr">
        <is>
          <t>Discount factor</t>
        </is>
      </c>
      <c r="D37" s="20">
        <f>1/(1+D40)^1</f>
        <v/>
      </c>
      <c r="E37" s="20">
        <f>1/(1+D40)^2</f>
        <v/>
      </c>
      <c r="F37" s="20">
        <f>1/(1+D40)^3</f>
        <v/>
      </c>
      <c r="G37" s="20">
        <f>1/(1+D40)^4</f>
        <v/>
      </c>
      <c r="H37" s="20">
        <f>1/(1+D40)^5</f>
        <v/>
      </c>
      <c r="I37" s="20">
        <f>1/(1+D40)^6</f>
        <v/>
      </c>
      <c r="J37" s="20">
        <f>1/(1+D40)^7</f>
        <v/>
      </c>
      <c r="K37" s="20">
        <f>1/(1+D40)^8</f>
        <v/>
      </c>
      <c r="L37" s="20">
        <f>1/(1+D40)^9</f>
        <v/>
      </c>
      <c r="M37" s="20">
        <f>1/(1+D40)^10</f>
        <v/>
      </c>
    </row>
    <row r="38">
      <c r="B38" s="3" t="inlineStr">
        <is>
          <t>PV owner FCF</t>
        </is>
      </c>
      <c r="D38" s="18">
        <f>D36*D37</f>
        <v/>
      </c>
      <c r="E38" s="18">
        <f>E36*E37</f>
        <v/>
      </c>
      <c r="F38" s="18">
        <f>F36*F37</f>
        <v/>
      </c>
      <c r="G38" s="18">
        <f>G36*G37</f>
        <v/>
      </c>
      <c r="H38" s="18">
        <f>H36*H37</f>
        <v/>
      </c>
      <c r="I38" s="18">
        <f>I36*I37</f>
        <v/>
      </c>
      <c r="J38" s="18">
        <f>J36*J37</f>
        <v/>
      </c>
      <c r="K38" s="18">
        <f>K36*K37</f>
        <v/>
      </c>
      <c r="L38" s="18">
        <f>L36*L37</f>
        <v/>
      </c>
      <c r="M38" s="18">
        <f>M36*M37</f>
        <v/>
      </c>
    </row>
    <row r="39">
      <c r="B39" s="3" t="inlineStr">
        <is>
          <t>Terminal growth</t>
        </is>
      </c>
      <c r="D39" s="23" t="n">
        <v>0.03</v>
      </c>
    </row>
    <row r="40">
      <c r="B40" s="3" t="inlineStr">
        <is>
          <t>WACC</t>
        </is>
      </c>
      <c r="D40" s="23" t="n">
        <v>0.08912497337890385</v>
      </c>
    </row>
    <row r="41">
      <c r="B41" s="3" t="inlineStr">
        <is>
          <t>Terminal value</t>
        </is>
      </c>
      <c r="D41" s="18">
        <f>M36*(1+D39)/(D40-D39)</f>
        <v/>
      </c>
    </row>
    <row r="42">
      <c r="B42" s="3" t="inlineStr">
        <is>
          <t>Enterprise value</t>
        </is>
      </c>
      <c r="D42" s="18">
        <f>SUM(D38:M38)+D41/(1+D40)^10</f>
        <v/>
      </c>
    </row>
    <row r="43">
      <c r="B43" s="3" t="inlineStr">
        <is>
          <t>Equity value</t>
        </is>
      </c>
      <c r="D43" s="18">
        <f>D42-Valuation!$C$11</f>
        <v/>
      </c>
    </row>
    <row r="44">
      <c r="B44" s="3" t="inlineStr">
        <is>
          <t>Implied price</t>
        </is>
      </c>
      <c r="D44" s="13">
        <f>D43/Valuation!$C$6</f>
        <v/>
      </c>
    </row>
    <row r="46">
      <c r="B46" s="16" t="inlineStr">
        <is>
          <t>Bull Case</t>
        </is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5" t="n"/>
    </row>
    <row r="47">
      <c r="C47" s="2" t="inlineStr">
        <is>
          <t>FY2026A</t>
        </is>
      </c>
      <c r="D47" s="2" t="inlineStr">
        <is>
          <t>FY2027E</t>
        </is>
      </c>
      <c r="E47" s="2" t="inlineStr">
        <is>
          <t>FY2028E</t>
        </is>
      </c>
      <c r="F47" s="2" t="inlineStr">
        <is>
          <t>FY2029E</t>
        </is>
      </c>
      <c r="G47" s="2" t="inlineStr">
        <is>
          <t>FY2030E</t>
        </is>
      </c>
      <c r="H47" s="2" t="inlineStr">
        <is>
          <t>FY2031E</t>
        </is>
      </c>
      <c r="I47" s="2" t="inlineStr">
        <is>
          <t>FY2032E</t>
        </is>
      </c>
      <c r="J47" s="2" t="inlineStr">
        <is>
          <t>FY2033E</t>
        </is>
      </c>
      <c r="K47" s="2" t="inlineStr">
        <is>
          <t>FY2034E</t>
        </is>
      </c>
      <c r="L47" s="2" t="inlineStr">
        <is>
          <t>FY2035E</t>
        </is>
      </c>
      <c r="M47" s="2" t="inlineStr">
        <is>
          <t>FY2036E</t>
        </is>
      </c>
    </row>
    <row r="48">
      <c r="B48" s="3" t="inlineStr">
        <is>
          <t>Revenue growth</t>
        </is>
      </c>
      <c r="C48" s="19" t="n"/>
      <c r="D48" s="19" t="n">
        <v>0.12</v>
      </c>
      <c r="E48" s="19" t="n">
        <v>0.11</v>
      </c>
      <c r="F48" s="19" t="n">
        <v>0.1</v>
      </c>
      <c r="G48" s="19" t="n">
        <v>0.09</v>
      </c>
      <c r="H48" s="19" t="n">
        <v>0.08</v>
      </c>
      <c r="I48" s="19" t="n">
        <v>0.075</v>
      </c>
      <c r="J48" s="19" t="n">
        <v>0.07000000000000001</v>
      </c>
      <c r="K48" s="19" t="n">
        <v>0.065</v>
      </c>
      <c r="L48" s="19" t="n">
        <v>0.06</v>
      </c>
      <c r="M48" s="19" t="n">
        <v>0.055</v>
      </c>
    </row>
    <row r="49">
      <c r="B49" s="3" t="inlineStr">
        <is>
          <t>Revenue</t>
        </is>
      </c>
      <c r="C49" s="17" t="n">
        <v>41525</v>
      </c>
      <c r="D49" s="18">
        <f>C49*(1+D48)</f>
        <v/>
      </c>
      <c r="E49" s="18">
        <f>D49*(1+E48)</f>
        <v/>
      </c>
      <c r="F49" s="18">
        <f>E49*(1+F48)</f>
        <v/>
      </c>
      <c r="G49" s="18">
        <f>F49*(1+G48)</f>
        <v/>
      </c>
      <c r="H49" s="18">
        <f>G49*(1+H48)</f>
        <v/>
      </c>
      <c r="I49" s="18">
        <f>H49*(1+I48)</f>
        <v/>
      </c>
      <c r="J49" s="18">
        <f>I49*(1+J48)</f>
        <v/>
      </c>
      <c r="K49" s="18">
        <f>J49*(1+K48)</f>
        <v/>
      </c>
      <c r="L49" s="18">
        <f>K49*(1+L48)</f>
        <v/>
      </c>
      <c r="M49" s="18">
        <f>L49*(1+M48)</f>
        <v/>
      </c>
    </row>
    <row r="50">
      <c r="B50" s="3" t="inlineStr">
        <is>
          <t>Reported FCF margin</t>
        </is>
      </c>
      <c r="D50" s="19" t="n">
        <v>0.35</v>
      </c>
      <c r="E50" s="19" t="n">
        <v>0.355</v>
      </c>
      <c r="F50" s="19" t="n">
        <v>0.36</v>
      </c>
      <c r="G50" s="19" t="n">
        <v>0.365</v>
      </c>
      <c r="H50" s="19" t="n">
        <v>0.37</v>
      </c>
      <c r="I50" s="19" t="n">
        <v>0.375</v>
      </c>
      <c r="J50" s="19" t="n">
        <v>0.378</v>
      </c>
      <c r="K50" s="19" t="n">
        <v>0.38</v>
      </c>
      <c r="L50" s="19" t="n">
        <v>0.38</v>
      </c>
      <c r="M50" s="19" t="n">
        <v>0.38</v>
      </c>
    </row>
    <row r="51">
      <c r="B51" s="3" t="inlineStr">
        <is>
          <t>Reported FCF</t>
        </is>
      </c>
      <c r="D51" s="18">
        <f>D49*D50</f>
        <v/>
      </c>
      <c r="E51" s="18">
        <f>E49*E50</f>
        <v/>
      </c>
      <c r="F51" s="18">
        <f>F49*F50</f>
        <v/>
      </c>
      <c r="G51" s="18">
        <f>G49*G50</f>
        <v/>
      </c>
      <c r="H51" s="18">
        <f>H49*H50</f>
        <v/>
      </c>
      <c r="I51" s="18">
        <f>I49*I50</f>
        <v/>
      </c>
      <c r="J51" s="18">
        <f>J49*J50</f>
        <v/>
      </c>
      <c r="K51" s="18">
        <f>K49*K50</f>
        <v/>
      </c>
      <c r="L51" s="18">
        <f>L49*L50</f>
        <v/>
      </c>
      <c r="M51" s="18">
        <f>M49*M50</f>
        <v/>
      </c>
    </row>
    <row r="52">
      <c r="B52" s="3" t="inlineStr">
        <is>
          <t>SBC % revenue</t>
        </is>
      </c>
      <c r="D52" s="19" t="n">
        <v>0.078</v>
      </c>
      <c r="E52" s="19" t="n">
        <v>0.073</v>
      </c>
      <c r="F52" s="19" t="n">
        <v>0.068</v>
      </c>
      <c r="G52" s="19" t="n">
        <v>0.064</v>
      </c>
      <c r="H52" s="19" t="n">
        <v>0.06</v>
      </c>
      <c r="I52" s="19" t="n">
        <v>0.057</v>
      </c>
      <c r="J52" s="19" t="n">
        <v>0.054</v>
      </c>
      <c r="K52" s="19" t="n">
        <v>0.052</v>
      </c>
      <c r="L52" s="19" t="n">
        <v>0.05</v>
      </c>
      <c r="M52" s="19" t="n">
        <v>0.05</v>
      </c>
    </row>
    <row r="53">
      <c r="B53" s="3" t="inlineStr">
        <is>
          <t>SBC</t>
        </is>
      </c>
      <c r="D53" s="18">
        <f>D49*D52</f>
        <v/>
      </c>
      <c r="E53" s="18">
        <f>E49*E52</f>
        <v/>
      </c>
      <c r="F53" s="18">
        <f>F49*F52</f>
        <v/>
      </c>
      <c r="G53" s="18">
        <f>G49*G52</f>
        <v/>
      </c>
      <c r="H53" s="18">
        <f>H49*H52</f>
        <v/>
      </c>
      <c r="I53" s="18">
        <f>I49*I52</f>
        <v/>
      </c>
      <c r="J53" s="18">
        <f>J49*J52</f>
        <v/>
      </c>
      <c r="K53" s="18">
        <f>K49*K52</f>
        <v/>
      </c>
      <c r="L53" s="18">
        <f>L49*L52</f>
        <v/>
      </c>
      <c r="M53" s="18">
        <f>M49*M52</f>
        <v/>
      </c>
    </row>
    <row r="54">
      <c r="B54" s="3" t="inlineStr">
        <is>
          <t>Owner FCF</t>
        </is>
      </c>
      <c r="D54" s="18">
        <f>D51-D53</f>
        <v/>
      </c>
      <c r="E54" s="18">
        <f>E51-E53</f>
        <v/>
      </c>
      <c r="F54" s="18">
        <f>F51-F53</f>
        <v/>
      </c>
      <c r="G54" s="18">
        <f>G51-G53</f>
        <v/>
      </c>
      <c r="H54" s="18">
        <f>H51-H53</f>
        <v/>
      </c>
      <c r="I54" s="18">
        <f>I51-I53</f>
        <v/>
      </c>
      <c r="J54" s="18">
        <f>J51-J53</f>
        <v/>
      </c>
      <c r="K54" s="18">
        <f>K51-K53</f>
        <v/>
      </c>
      <c r="L54" s="18">
        <f>L51-L53</f>
        <v/>
      </c>
      <c r="M54" s="18">
        <f>M51-M53</f>
        <v/>
      </c>
    </row>
    <row r="55">
      <c r="B55" s="3" t="inlineStr">
        <is>
          <t>Discount factor</t>
        </is>
      </c>
      <c r="D55" s="20">
        <f>1/(1+D58)^1</f>
        <v/>
      </c>
      <c r="E55" s="20">
        <f>1/(1+D58)^2</f>
        <v/>
      </c>
      <c r="F55" s="20">
        <f>1/(1+D58)^3</f>
        <v/>
      </c>
      <c r="G55" s="20">
        <f>1/(1+D58)^4</f>
        <v/>
      </c>
      <c r="H55" s="20">
        <f>1/(1+D58)^5</f>
        <v/>
      </c>
      <c r="I55" s="20">
        <f>1/(1+D58)^6</f>
        <v/>
      </c>
      <c r="J55" s="20">
        <f>1/(1+D58)^7</f>
        <v/>
      </c>
      <c r="K55" s="20">
        <f>1/(1+D58)^8</f>
        <v/>
      </c>
      <c r="L55" s="20">
        <f>1/(1+D58)^9</f>
        <v/>
      </c>
      <c r="M55" s="20">
        <f>1/(1+D58)^10</f>
        <v/>
      </c>
    </row>
    <row r="56">
      <c r="B56" s="3" t="inlineStr">
        <is>
          <t>PV owner FCF</t>
        </is>
      </c>
      <c r="D56" s="18">
        <f>D54*D55</f>
        <v/>
      </c>
      <c r="E56" s="18">
        <f>E54*E55</f>
        <v/>
      </c>
      <c r="F56" s="18">
        <f>F54*F55</f>
        <v/>
      </c>
      <c r="G56" s="18">
        <f>G54*G55</f>
        <v/>
      </c>
      <c r="H56" s="18">
        <f>H54*H55</f>
        <v/>
      </c>
      <c r="I56" s="18">
        <f>I54*I55</f>
        <v/>
      </c>
      <c r="J56" s="18">
        <f>J54*J55</f>
        <v/>
      </c>
      <c r="K56" s="18">
        <f>K54*K55</f>
        <v/>
      </c>
      <c r="L56" s="18">
        <f>L54*L55</f>
        <v/>
      </c>
      <c r="M56" s="18">
        <f>M54*M55</f>
        <v/>
      </c>
    </row>
    <row r="57">
      <c r="B57" s="3" t="inlineStr">
        <is>
          <t>Terminal growth</t>
        </is>
      </c>
      <c r="D57" s="23" t="n">
        <v>0.035</v>
      </c>
    </row>
    <row r="58">
      <c r="B58" s="3" t="inlineStr">
        <is>
          <t>WACC</t>
        </is>
      </c>
      <c r="D58" s="23" t="n">
        <v>0.08</v>
      </c>
    </row>
    <row r="59">
      <c r="B59" s="3" t="inlineStr">
        <is>
          <t>Terminal value</t>
        </is>
      </c>
      <c r="D59" s="18">
        <f>M54*(1+D57)/(D58-D57)</f>
        <v/>
      </c>
    </row>
    <row r="60">
      <c r="B60" s="3" t="inlineStr">
        <is>
          <t>Enterprise value</t>
        </is>
      </c>
      <c r="D60" s="18">
        <f>SUM(D56:M56)+D59/(1+D58)^10</f>
        <v/>
      </c>
    </row>
    <row r="61">
      <c r="B61" s="3" t="inlineStr">
        <is>
          <t>Equity value</t>
        </is>
      </c>
      <c r="D61" s="18">
        <f>D60-Valuation!$C$11</f>
        <v/>
      </c>
    </row>
    <row r="62">
      <c r="B62" s="3" t="inlineStr">
        <is>
          <t>Implied price</t>
        </is>
      </c>
      <c r="D62" s="13">
        <f>D61/Valuation!$C$6</f>
        <v/>
      </c>
    </row>
  </sheetData>
  <mergeCells count="4">
    <mergeCell ref="B2:Q2"/>
    <mergeCell ref="B10:M10"/>
    <mergeCell ref="B46:M46"/>
    <mergeCell ref="B28:M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7109375" customWidth="1" min="1" max="1"/>
    <col width="10.7109375" customWidth="1" min="2" max="2"/>
    <col width="16.7109375" customWidth="1" min="3" max="6"/>
    <col width="42.7109375" customWidth="1" min="7" max="7"/>
    <col width="20.7109375" customWidth="1" min="8" max="11"/>
    <col width="34.7109375" customWidth="1" min="12" max="14"/>
  </cols>
  <sheetData>
    <row r="1">
      <c r="A1" s="2" t="inlineStr">
        <is>
          <t>Line item</t>
        </is>
      </c>
      <c r="B1" s="2" t="inlineStr">
        <is>
          <t>Fiscal period</t>
        </is>
      </c>
      <c r="C1" s="2" t="inlineStr">
        <is>
          <t>Model value</t>
        </is>
      </c>
      <c r="D1" s="2" t="inlineStr">
        <is>
          <t>Unit</t>
        </is>
      </c>
      <c r="E1" s="2" t="inlineStr">
        <is>
          <t>Primary SEC value</t>
        </is>
      </c>
      <c r="F1" s="2" t="inlineStr">
        <is>
          <t>Primary source</t>
        </is>
      </c>
      <c r="G1" s="2" t="inlineStr">
        <is>
          <t>SEC concept / accession</t>
        </is>
      </c>
      <c r="H1" s="2" t="inlineStr">
        <is>
          <t>StockAnalysis value</t>
        </is>
      </c>
      <c r="I1" s="2" t="inlineStr">
        <is>
          <t>StockAnalysis URL</t>
        </is>
      </c>
      <c r="J1" s="2" t="inlineStr">
        <is>
          <t>Macrotrends value</t>
        </is>
      </c>
      <c r="K1" s="2" t="inlineStr">
        <is>
          <t>Macrotrends URL</t>
        </is>
      </c>
      <c r="L1" s="2" t="inlineStr">
        <is>
          <t>Difference / discrepancy</t>
        </is>
      </c>
      <c r="M1" s="2" t="inlineStr">
        <is>
          <t>Resolution note</t>
        </is>
      </c>
      <c r="N1" s="2" t="inlineStr">
        <is>
          <t>Model cell</t>
        </is>
      </c>
    </row>
    <row r="2">
      <c r="A2" s="4" t="inlineStr">
        <is>
          <t>Revenue</t>
        </is>
      </c>
      <c r="B2" s="4" t="inlineStr">
        <is>
          <t>FY2022</t>
        </is>
      </c>
      <c r="C2" s="17" t="n">
        <v>26492</v>
      </c>
      <c r="D2" s="4" t="inlineStr">
        <is>
          <t>USD $m</t>
        </is>
      </c>
      <c r="E2" s="17" t="n">
        <v>26492</v>
      </c>
      <c r="F2" s="4" t="inlineStr">
        <is>
          <t>SEC company facts / Form 10-K</t>
        </is>
      </c>
      <c r="G2" s="15" t="inlineStr">
        <is>
          <t>RevenueFromContractWithCustomerExcludingAssessedTax; 0001108524-26-000060 for latest 10-K</t>
        </is>
      </c>
      <c r="H2" s="17" t="n">
        <v>26492</v>
      </c>
      <c r="I2" s="15" t="inlineStr">
        <is>
          <t>https://stockanalysis.com/stocks/crm/financials/</t>
        </is>
      </c>
      <c r="J2" s="17" t="n">
        <v>26492</v>
      </c>
      <c r="K2" s="15" t="inlineStr">
        <is>
          <t>https://www.macrotrends.net/stocks/charts/CRM/salesforce/revenue</t>
        </is>
      </c>
      <c r="L2" s="15" t="n">
        <v>0</v>
      </c>
      <c r="M2" s="15" t="inlineStr">
        <is>
          <t>Matches SEC/StockAnalysis/Macrotrends.</t>
        </is>
      </c>
      <c r="N2" s="4" t="inlineStr">
        <is>
          <t>Valuation!F4</t>
        </is>
      </c>
    </row>
    <row r="3">
      <c r="A3" s="4" t="inlineStr">
        <is>
          <t>Revenue</t>
        </is>
      </c>
      <c r="B3" s="4" t="inlineStr">
        <is>
          <t>FY2023</t>
        </is>
      </c>
      <c r="C3" s="17" t="n">
        <v>31352</v>
      </c>
      <c r="D3" s="4" t="inlineStr">
        <is>
          <t>USD $m</t>
        </is>
      </c>
      <c r="E3" s="17" t="n">
        <v>31352</v>
      </c>
      <c r="F3" s="4" t="inlineStr">
        <is>
          <t>SEC company facts / Form 10-K</t>
        </is>
      </c>
      <c r="G3" s="15" t="inlineStr">
        <is>
          <t>RevenueFromContractWithCustomerExcludingAssessedTax; 0001108524-26-000060 for latest 10-K</t>
        </is>
      </c>
      <c r="H3" s="17" t="n">
        <v>31352</v>
      </c>
      <c r="I3" s="15" t="inlineStr">
        <is>
          <t>https://stockanalysis.com/stocks/crm/financials/</t>
        </is>
      </c>
      <c r="J3" s="17" t="n">
        <v>31352</v>
      </c>
      <c r="K3" s="15" t="inlineStr">
        <is>
          <t>https://www.macrotrends.net/stocks/charts/CRM/salesforce/revenue</t>
        </is>
      </c>
      <c r="L3" s="15" t="n">
        <v>0</v>
      </c>
      <c r="M3" s="15" t="inlineStr">
        <is>
          <t>Matches SEC/StockAnalysis/Macrotrends.</t>
        </is>
      </c>
      <c r="N3" s="4" t="inlineStr">
        <is>
          <t>Valuation!G4</t>
        </is>
      </c>
    </row>
    <row r="4">
      <c r="A4" s="4" t="inlineStr">
        <is>
          <t>Revenue</t>
        </is>
      </c>
      <c r="B4" s="4" t="inlineStr">
        <is>
          <t>FY2024</t>
        </is>
      </c>
      <c r="C4" s="17" t="n">
        <v>34857</v>
      </c>
      <c r="D4" s="4" t="inlineStr">
        <is>
          <t>USD $m</t>
        </is>
      </c>
      <c r="E4" s="17" t="n">
        <v>34857</v>
      </c>
      <c r="F4" s="4" t="inlineStr">
        <is>
          <t>SEC company facts / Form 10-K</t>
        </is>
      </c>
      <c r="G4" s="15" t="inlineStr">
        <is>
          <t>RevenueFromContractWithCustomerExcludingAssessedTax; 0001108524-26-000060 for latest 10-K</t>
        </is>
      </c>
      <c r="H4" s="17" t="n">
        <v>34857</v>
      </c>
      <c r="I4" s="15" t="inlineStr">
        <is>
          <t>https://stockanalysis.com/stocks/crm/financials/</t>
        </is>
      </c>
      <c r="J4" s="17" t="n">
        <v>34857</v>
      </c>
      <c r="K4" s="15" t="inlineStr">
        <is>
          <t>https://www.macrotrends.net/stocks/charts/CRM/salesforce/revenue</t>
        </is>
      </c>
      <c r="L4" s="15" t="n">
        <v>0</v>
      </c>
      <c r="M4" s="15" t="inlineStr">
        <is>
          <t>Matches SEC/StockAnalysis/Macrotrends.</t>
        </is>
      </c>
      <c r="N4" s="4" t="inlineStr">
        <is>
          <t>Valuation!H4</t>
        </is>
      </c>
    </row>
    <row r="5">
      <c r="A5" s="4" t="inlineStr">
        <is>
          <t>Revenue</t>
        </is>
      </c>
      <c r="B5" s="4" t="inlineStr">
        <is>
          <t>FY2025</t>
        </is>
      </c>
      <c r="C5" s="17" t="n">
        <v>37895</v>
      </c>
      <c r="D5" s="4" t="inlineStr">
        <is>
          <t>USD $m</t>
        </is>
      </c>
      <c r="E5" s="17" t="n">
        <v>37895</v>
      </c>
      <c r="F5" s="4" t="inlineStr">
        <is>
          <t>SEC company facts / Form 10-K</t>
        </is>
      </c>
      <c r="G5" s="15" t="inlineStr">
        <is>
          <t>RevenueFromContractWithCustomerExcludingAssessedTax; 0001108524-26-000060 for latest 10-K</t>
        </is>
      </c>
      <c r="H5" s="17" t="n">
        <v>37895</v>
      </c>
      <c r="I5" s="15" t="inlineStr">
        <is>
          <t>https://stockanalysis.com/stocks/crm/financials/</t>
        </is>
      </c>
      <c r="J5" s="17" t="n">
        <v>37895</v>
      </c>
      <c r="K5" s="15" t="inlineStr">
        <is>
          <t>https://www.macrotrends.net/stocks/charts/CRM/salesforce/revenue</t>
        </is>
      </c>
      <c r="L5" s="15" t="n">
        <v>0</v>
      </c>
      <c r="M5" s="15" t="inlineStr">
        <is>
          <t>Matches SEC/StockAnalysis/Macrotrends.</t>
        </is>
      </c>
      <c r="N5" s="4" t="inlineStr">
        <is>
          <t>Valuation!I4</t>
        </is>
      </c>
    </row>
    <row r="6">
      <c r="A6" s="4" t="inlineStr">
        <is>
          <t>Revenue</t>
        </is>
      </c>
      <c r="B6" s="4" t="inlineStr">
        <is>
          <t>FY2026</t>
        </is>
      </c>
      <c r="C6" s="17" t="n">
        <v>41525</v>
      </c>
      <c r="D6" s="4" t="inlineStr">
        <is>
          <t>USD $m</t>
        </is>
      </c>
      <c r="E6" s="17" t="n">
        <v>41525</v>
      </c>
      <c r="F6" s="4" t="inlineStr">
        <is>
          <t>SEC company facts / Form 10-K</t>
        </is>
      </c>
      <c r="G6" s="15" t="inlineStr">
        <is>
          <t>RevenueFromContractWithCustomerExcludingAssessedTax; 0001108524-26-000060 for latest 10-K</t>
        </is>
      </c>
      <c r="H6" s="17" t="n">
        <v>41525</v>
      </c>
      <c r="I6" s="15" t="inlineStr">
        <is>
          <t>https://stockanalysis.com/stocks/crm/financials/</t>
        </is>
      </c>
      <c r="J6" s="17" t="n">
        <v>41525</v>
      </c>
      <c r="K6" s="15" t="inlineStr">
        <is>
          <t>https://www.macrotrends.net/stocks/charts/CRM/salesforce/revenue</t>
        </is>
      </c>
      <c r="L6" s="15" t="n">
        <v>0</v>
      </c>
      <c r="M6" s="15" t="inlineStr">
        <is>
          <t>Matches SEC/StockAnalysis/Macrotrends.</t>
        </is>
      </c>
      <c r="N6" s="4" t="inlineStr">
        <is>
          <t>Valuation!J4</t>
        </is>
      </c>
    </row>
    <row r="7">
      <c r="A7" s="4" t="inlineStr">
        <is>
          <t>Gross Profit</t>
        </is>
      </c>
      <c r="B7" s="4" t="inlineStr">
        <is>
          <t>FY2022</t>
        </is>
      </c>
      <c r="C7" s="17" t="n">
        <v>19466</v>
      </c>
      <c r="D7" s="4" t="inlineStr">
        <is>
          <t>USD $m</t>
        </is>
      </c>
      <c r="E7" s="17" t="n">
        <v>19466</v>
      </c>
      <c r="F7" s="4" t="inlineStr">
        <is>
          <t>SEC company facts / Form 10-K</t>
        </is>
      </c>
      <c r="G7" s="15" t="inlineStr">
        <is>
          <t>GrossProfit; 0001108524-26-000060 for latest 10-K</t>
        </is>
      </c>
      <c r="H7" s="17" t="n">
        <v>19466</v>
      </c>
      <c r="I7" s="15" t="inlineStr">
        <is>
          <t>https://stockanalysis.com/stocks/crm/financials/</t>
        </is>
      </c>
      <c r="J7" s="17" t="n">
        <v>19466</v>
      </c>
      <c r="K7" s="15" t="inlineStr">
        <is>
          <t>https://www.macrotrends.net/stocks/charts/CRM/salesforce/gross-profit</t>
        </is>
      </c>
      <c r="L7" s="15" t="n">
        <v>0</v>
      </c>
      <c r="M7" s="15" t="inlineStr">
        <is>
          <t>Matches SEC/StockAnalysis/Macrotrends.</t>
        </is>
      </c>
      <c r="N7" s="4" t="inlineStr">
        <is>
          <t>Valuation!F8</t>
        </is>
      </c>
    </row>
    <row r="8">
      <c r="A8" s="4" t="inlineStr">
        <is>
          <t>Gross Profit</t>
        </is>
      </c>
      <c r="B8" s="4" t="inlineStr">
        <is>
          <t>FY2023</t>
        </is>
      </c>
      <c r="C8" s="17" t="n">
        <v>22992</v>
      </c>
      <c r="D8" s="4" t="inlineStr">
        <is>
          <t>USD $m</t>
        </is>
      </c>
      <c r="E8" s="17" t="n">
        <v>22992</v>
      </c>
      <c r="F8" s="4" t="inlineStr">
        <is>
          <t>SEC company facts / Form 10-K</t>
        </is>
      </c>
      <c r="G8" s="15" t="inlineStr">
        <is>
          <t>GrossProfit; 0001108524-26-000060 for latest 10-K</t>
        </is>
      </c>
      <c r="H8" s="17" t="n">
        <v>22992</v>
      </c>
      <c r="I8" s="15" t="inlineStr">
        <is>
          <t>https://stockanalysis.com/stocks/crm/financials/</t>
        </is>
      </c>
      <c r="J8" s="17" t="n">
        <v>22992</v>
      </c>
      <c r="K8" s="15" t="inlineStr">
        <is>
          <t>https://www.macrotrends.net/stocks/charts/CRM/salesforce/gross-profit</t>
        </is>
      </c>
      <c r="L8" s="15" t="n">
        <v>0</v>
      </c>
      <c r="M8" s="15" t="inlineStr">
        <is>
          <t>Matches SEC/StockAnalysis/Macrotrends.</t>
        </is>
      </c>
      <c r="N8" s="4" t="inlineStr">
        <is>
          <t>Valuation!G8</t>
        </is>
      </c>
    </row>
    <row r="9">
      <c r="A9" s="4" t="inlineStr">
        <is>
          <t>Gross Profit</t>
        </is>
      </c>
      <c r="B9" s="4" t="inlineStr">
        <is>
          <t>FY2024</t>
        </is>
      </c>
      <c r="C9" s="17" t="n">
        <v>26316</v>
      </c>
      <c r="D9" s="4" t="inlineStr">
        <is>
          <t>USD $m</t>
        </is>
      </c>
      <c r="E9" s="17" t="n">
        <v>26316</v>
      </c>
      <c r="F9" s="4" t="inlineStr">
        <is>
          <t>SEC company facts / Form 10-K</t>
        </is>
      </c>
      <c r="G9" s="15" t="inlineStr">
        <is>
          <t>GrossProfit; 0001108524-26-000060 for latest 10-K</t>
        </is>
      </c>
      <c r="H9" s="17" t="n">
        <v>26316</v>
      </c>
      <c r="I9" s="15" t="inlineStr">
        <is>
          <t>https://stockanalysis.com/stocks/crm/financials/</t>
        </is>
      </c>
      <c r="J9" s="17" t="n">
        <v>26316</v>
      </c>
      <c r="K9" s="15" t="inlineStr">
        <is>
          <t>https://www.macrotrends.net/stocks/charts/CRM/salesforce/gross-profit</t>
        </is>
      </c>
      <c r="L9" s="15" t="n">
        <v>0</v>
      </c>
      <c r="M9" s="15" t="inlineStr">
        <is>
          <t>Matches SEC/StockAnalysis/Macrotrends.</t>
        </is>
      </c>
      <c r="N9" s="4" t="inlineStr">
        <is>
          <t>Valuation!H8</t>
        </is>
      </c>
    </row>
    <row r="10">
      <c r="A10" s="4" t="inlineStr">
        <is>
          <t>Gross Profit</t>
        </is>
      </c>
      <c r="B10" s="4" t="inlineStr">
        <is>
          <t>FY2025</t>
        </is>
      </c>
      <c r="C10" s="17" t="n">
        <v>29252</v>
      </c>
      <c r="D10" s="4" t="inlineStr">
        <is>
          <t>USD $m</t>
        </is>
      </c>
      <c r="E10" s="17" t="n">
        <v>29252</v>
      </c>
      <c r="F10" s="4" t="inlineStr">
        <is>
          <t>SEC company facts / Form 10-K</t>
        </is>
      </c>
      <c r="G10" s="15" t="inlineStr">
        <is>
          <t>GrossProfit; 0001108524-26-000060 for latest 10-K</t>
        </is>
      </c>
      <c r="H10" s="17" t="n">
        <v>29252</v>
      </c>
      <c r="I10" s="15" t="inlineStr">
        <is>
          <t>https://stockanalysis.com/stocks/crm/financials/</t>
        </is>
      </c>
      <c r="J10" s="17" t="n">
        <v>29252</v>
      </c>
      <c r="K10" s="15" t="inlineStr">
        <is>
          <t>https://www.macrotrends.net/stocks/charts/CRM/salesforce/gross-profit</t>
        </is>
      </c>
      <c r="L10" s="15" t="n">
        <v>0</v>
      </c>
      <c r="M10" s="15" t="inlineStr">
        <is>
          <t>Matches SEC/StockAnalysis/Macrotrends.</t>
        </is>
      </c>
      <c r="N10" s="4" t="inlineStr">
        <is>
          <t>Valuation!I8</t>
        </is>
      </c>
    </row>
    <row r="11">
      <c r="A11" s="4" t="inlineStr">
        <is>
          <t>Gross Profit</t>
        </is>
      </c>
      <c r="B11" s="4" t="inlineStr">
        <is>
          <t>FY2026</t>
        </is>
      </c>
      <c r="C11" s="17" t="n">
        <v>32255</v>
      </c>
      <c r="D11" s="4" t="inlineStr">
        <is>
          <t>USD $m</t>
        </is>
      </c>
      <c r="E11" s="17" t="n">
        <v>32255</v>
      </c>
      <c r="F11" s="4" t="inlineStr">
        <is>
          <t>SEC company facts / Form 10-K</t>
        </is>
      </c>
      <c r="G11" s="15" t="inlineStr">
        <is>
          <t>GrossProfit; 0001108524-26-000060 for latest 10-K</t>
        </is>
      </c>
      <c r="H11" s="17" t="n">
        <v>32255</v>
      </c>
      <c r="I11" s="15" t="inlineStr">
        <is>
          <t>https://stockanalysis.com/stocks/crm/financials/</t>
        </is>
      </c>
      <c r="J11" s="17" t="n">
        <v>32255</v>
      </c>
      <c r="K11" s="15" t="inlineStr">
        <is>
          <t>https://www.macrotrends.net/stocks/charts/CRM/salesforce/gross-profit</t>
        </is>
      </c>
      <c r="L11" s="15" t="n">
        <v>0</v>
      </c>
      <c r="M11" s="15" t="inlineStr">
        <is>
          <t>Matches SEC/StockAnalysis/Macrotrends.</t>
        </is>
      </c>
      <c r="N11" s="4" t="inlineStr">
        <is>
          <t>Valuation!J8</t>
        </is>
      </c>
    </row>
    <row r="12">
      <c r="A12" s="4" t="inlineStr">
        <is>
          <t>Operating Income</t>
        </is>
      </c>
      <c r="B12" s="4" t="inlineStr">
        <is>
          <t>FY2022</t>
        </is>
      </c>
      <c r="C12" s="17" t="n">
        <v>548</v>
      </c>
      <c r="D12" s="4" t="inlineStr">
        <is>
          <t>USD $m</t>
        </is>
      </c>
      <c r="E12" s="17" t="n">
        <v>548</v>
      </c>
      <c r="F12" s="4" t="inlineStr">
        <is>
          <t>SEC company facts / Form 10-K</t>
        </is>
      </c>
      <c r="G12" s="15" t="inlineStr">
        <is>
          <t>OperatingIncomeLoss; 0001108524-26-000060 for latest 10-K</t>
        </is>
      </c>
      <c r="H12" s="17" t="n">
        <v>548</v>
      </c>
      <c r="I12" s="15" t="inlineStr">
        <is>
          <t>https://stockanalysis.com/stocks/crm/financials/</t>
        </is>
      </c>
      <c r="J12" s="17" t="n">
        <v>548</v>
      </c>
      <c r="K12" s="15" t="inlineStr">
        <is>
          <t>https://www.macrotrends.net/stocks/charts/CRM/salesforce/operating-income</t>
        </is>
      </c>
      <c r="L12" s="15" t="n">
        <v>0</v>
      </c>
      <c r="M12" s="15" t="inlineStr">
        <is>
          <t>Matches SEC/StockAnalysis/Macrotrends.</t>
        </is>
      </c>
      <c r="N12" s="4" t="inlineStr">
        <is>
          <t>Valuation!F16</t>
        </is>
      </c>
    </row>
    <row r="13">
      <c r="A13" s="4" t="inlineStr">
        <is>
          <t>Operating Income</t>
        </is>
      </c>
      <c r="B13" s="4" t="inlineStr">
        <is>
          <t>FY2023</t>
        </is>
      </c>
      <c r="C13" s="17" t="n">
        <v>1030</v>
      </c>
      <c r="D13" s="4" t="inlineStr">
        <is>
          <t>USD $m</t>
        </is>
      </c>
      <c r="E13" s="17" t="n">
        <v>1030</v>
      </c>
      <c r="F13" s="4" t="inlineStr">
        <is>
          <t>SEC company facts / Form 10-K</t>
        </is>
      </c>
      <c r="G13" s="15" t="inlineStr">
        <is>
          <t>OperatingIncomeLoss; 0001108524-26-000060 for latest 10-K</t>
        </is>
      </c>
      <c r="H13" s="17" t="n">
        <v>1030</v>
      </c>
      <c r="I13" s="15" t="inlineStr">
        <is>
          <t>https://stockanalysis.com/stocks/crm/financials/</t>
        </is>
      </c>
      <c r="J13" s="17" t="n">
        <v>1030</v>
      </c>
      <c r="K13" s="15" t="inlineStr">
        <is>
          <t>https://www.macrotrends.net/stocks/charts/CRM/salesforce/operating-income</t>
        </is>
      </c>
      <c r="L13" s="15" t="n">
        <v>0</v>
      </c>
      <c r="M13" s="15" t="inlineStr">
        <is>
          <t>Matches SEC/StockAnalysis/Macrotrends.</t>
        </is>
      </c>
      <c r="N13" s="4" t="inlineStr">
        <is>
          <t>Valuation!G16</t>
        </is>
      </c>
    </row>
    <row r="14">
      <c r="A14" s="4" t="inlineStr">
        <is>
          <t>Operating Income</t>
        </is>
      </c>
      <c r="B14" s="4" t="inlineStr">
        <is>
          <t>FY2024</t>
        </is>
      </c>
      <c r="C14" s="17" t="n">
        <v>5011</v>
      </c>
      <c r="D14" s="4" t="inlineStr">
        <is>
          <t>USD $m</t>
        </is>
      </c>
      <c r="E14" s="17" t="n">
        <v>5011</v>
      </c>
      <c r="F14" s="4" t="inlineStr">
        <is>
          <t>SEC company facts / Form 10-K</t>
        </is>
      </c>
      <c r="G14" s="15" t="inlineStr">
        <is>
          <t>OperatingIncomeLoss; 0001108524-26-000060 for latest 10-K</t>
        </is>
      </c>
      <c r="H14" s="17" t="n">
        <v>5011</v>
      </c>
      <c r="I14" s="15" t="inlineStr">
        <is>
          <t>https://stockanalysis.com/stocks/crm/financials/</t>
        </is>
      </c>
      <c r="J14" s="17" t="n">
        <v>5011</v>
      </c>
      <c r="K14" s="15" t="inlineStr">
        <is>
          <t>https://www.macrotrends.net/stocks/charts/CRM/salesforce/operating-income</t>
        </is>
      </c>
      <c r="L14" s="15" t="n">
        <v>0</v>
      </c>
      <c r="M14" s="15" t="inlineStr">
        <is>
          <t>Matches SEC/StockAnalysis/Macrotrends.</t>
        </is>
      </c>
      <c r="N14" s="4" t="inlineStr">
        <is>
          <t>Valuation!H16</t>
        </is>
      </c>
    </row>
    <row r="15">
      <c r="A15" s="4" t="inlineStr">
        <is>
          <t>Operating Income</t>
        </is>
      </c>
      <c r="B15" s="4" t="inlineStr">
        <is>
          <t>FY2025</t>
        </is>
      </c>
      <c r="C15" s="17" t="n">
        <v>7205</v>
      </c>
      <c r="D15" s="4" t="inlineStr">
        <is>
          <t>USD $m</t>
        </is>
      </c>
      <c r="E15" s="17" t="n">
        <v>7205</v>
      </c>
      <c r="F15" s="4" t="inlineStr">
        <is>
          <t>SEC company facts / Form 10-K</t>
        </is>
      </c>
      <c r="G15" s="15" t="inlineStr">
        <is>
          <t>OperatingIncomeLoss; 0001108524-26-000060 for latest 10-K</t>
        </is>
      </c>
      <c r="H15" s="17" t="n">
        <v>7205</v>
      </c>
      <c r="I15" s="15" t="inlineStr">
        <is>
          <t>https://stockanalysis.com/stocks/crm/financials/</t>
        </is>
      </c>
      <c r="J15" s="17" t="n">
        <v>7205</v>
      </c>
      <c r="K15" s="15" t="inlineStr">
        <is>
          <t>https://www.macrotrends.net/stocks/charts/CRM/salesforce/operating-income</t>
        </is>
      </c>
      <c r="L15" s="15" t="n">
        <v>0</v>
      </c>
      <c r="M15" s="15" t="inlineStr">
        <is>
          <t>Matches SEC/StockAnalysis/Macrotrends.</t>
        </is>
      </c>
      <c r="N15" s="4" t="inlineStr">
        <is>
          <t>Valuation!I16</t>
        </is>
      </c>
    </row>
    <row r="16">
      <c r="A16" s="4" t="inlineStr">
        <is>
          <t>Operating Income</t>
        </is>
      </c>
      <c r="B16" s="4" t="inlineStr">
        <is>
          <t>FY2026</t>
        </is>
      </c>
      <c r="C16" s="17" t="n">
        <v>8331</v>
      </c>
      <c r="D16" s="4" t="inlineStr">
        <is>
          <t>USD $m</t>
        </is>
      </c>
      <c r="E16" s="17" t="n">
        <v>8331</v>
      </c>
      <c r="F16" s="4" t="inlineStr">
        <is>
          <t>SEC company facts / Form 10-K</t>
        </is>
      </c>
      <c r="G16" s="15" t="inlineStr">
        <is>
          <t>OperatingIncomeLoss; 0001108524-26-000060 for latest 10-K</t>
        </is>
      </c>
      <c r="H16" s="17" t="n">
        <v>8331</v>
      </c>
      <c r="I16" s="15" t="inlineStr">
        <is>
          <t>https://stockanalysis.com/stocks/crm/financials/</t>
        </is>
      </c>
      <c r="J16" s="17" t="n">
        <v>8331</v>
      </c>
      <c r="K16" s="15" t="inlineStr">
        <is>
          <t>https://www.macrotrends.net/stocks/charts/CRM/salesforce/operating-income</t>
        </is>
      </c>
      <c r="L16" s="15" t="n">
        <v>0</v>
      </c>
      <c r="M16" s="15" t="inlineStr">
        <is>
          <t>Matches SEC/StockAnalysis/Macrotrends.</t>
        </is>
      </c>
      <c r="N16" s="4" t="inlineStr">
        <is>
          <t>Valuation!J16</t>
        </is>
      </c>
    </row>
    <row r="17">
      <c r="A17" s="4" t="inlineStr">
        <is>
          <t>Net Income</t>
        </is>
      </c>
      <c r="B17" s="4" t="inlineStr">
        <is>
          <t>FY2022</t>
        </is>
      </c>
      <c r="C17" s="17" t="n">
        <v>1444</v>
      </c>
      <c r="D17" s="4" t="inlineStr">
        <is>
          <t>USD $m</t>
        </is>
      </c>
      <c r="E17" s="17" t="n">
        <v>1444</v>
      </c>
      <c r="F17" s="4" t="inlineStr">
        <is>
          <t>SEC company facts / Form 10-K</t>
        </is>
      </c>
      <c r="G17" s="15" t="inlineStr">
        <is>
          <t>NetIncomeLoss; 0001108524-26-000060 for latest 10-K</t>
        </is>
      </c>
      <c r="H17" s="17" t="n">
        <v>1444</v>
      </c>
      <c r="I17" s="15" t="inlineStr">
        <is>
          <t>https://stockanalysis.com/stocks/crm/financials/</t>
        </is>
      </c>
      <c r="J17" s="17" t="n">
        <v>1444</v>
      </c>
      <c r="K17" s="15" t="inlineStr">
        <is>
          <t>https://www.macrotrends.net/stocks/charts/CRM/salesforce/net-income</t>
        </is>
      </c>
      <c r="L17" s="15" t="n">
        <v>0</v>
      </c>
      <c r="M17" s="15" t="inlineStr">
        <is>
          <t>Matches SEC/StockAnalysis/Macrotrends.</t>
        </is>
      </c>
      <c r="N17" s="4" t="inlineStr">
        <is>
          <t>Valuation!F23</t>
        </is>
      </c>
    </row>
    <row r="18">
      <c r="A18" s="4" t="inlineStr">
        <is>
          <t>Net Income</t>
        </is>
      </c>
      <c r="B18" s="4" t="inlineStr">
        <is>
          <t>FY2023</t>
        </is>
      </c>
      <c r="C18" s="17" t="n">
        <v>208</v>
      </c>
      <c r="D18" s="4" t="inlineStr">
        <is>
          <t>USD $m</t>
        </is>
      </c>
      <c r="E18" s="17" t="n">
        <v>208</v>
      </c>
      <c r="F18" s="4" t="inlineStr">
        <is>
          <t>SEC company facts / Form 10-K</t>
        </is>
      </c>
      <c r="G18" s="15" t="inlineStr">
        <is>
          <t>NetIncomeLoss; 0001108524-26-000060 for latest 10-K</t>
        </is>
      </c>
      <c r="H18" s="17" t="n">
        <v>208</v>
      </c>
      <c r="I18" s="15" t="inlineStr">
        <is>
          <t>https://stockanalysis.com/stocks/crm/financials/</t>
        </is>
      </c>
      <c r="J18" s="17" t="n">
        <v>208</v>
      </c>
      <c r="K18" s="15" t="inlineStr">
        <is>
          <t>https://www.macrotrends.net/stocks/charts/CRM/salesforce/net-income</t>
        </is>
      </c>
      <c r="L18" s="15" t="n">
        <v>0</v>
      </c>
      <c r="M18" s="15" t="inlineStr">
        <is>
          <t>Matches SEC/StockAnalysis/Macrotrends.</t>
        </is>
      </c>
      <c r="N18" s="4" t="inlineStr">
        <is>
          <t>Valuation!G23</t>
        </is>
      </c>
    </row>
    <row r="19">
      <c r="A19" s="4" t="inlineStr">
        <is>
          <t>Net Income</t>
        </is>
      </c>
      <c r="B19" s="4" t="inlineStr">
        <is>
          <t>FY2024</t>
        </is>
      </c>
      <c r="C19" s="17" t="n">
        <v>4136</v>
      </c>
      <c r="D19" s="4" t="inlineStr">
        <is>
          <t>USD $m</t>
        </is>
      </c>
      <c r="E19" s="17" t="n">
        <v>4136</v>
      </c>
      <c r="F19" s="4" t="inlineStr">
        <is>
          <t>SEC company facts / Form 10-K</t>
        </is>
      </c>
      <c r="G19" s="15" t="inlineStr">
        <is>
          <t>NetIncomeLoss; 0001108524-26-000060 for latest 10-K</t>
        </is>
      </c>
      <c r="H19" s="17" t="n">
        <v>4136</v>
      </c>
      <c r="I19" s="15" t="inlineStr">
        <is>
          <t>https://stockanalysis.com/stocks/crm/financials/</t>
        </is>
      </c>
      <c r="J19" s="17" t="n">
        <v>4136</v>
      </c>
      <c r="K19" s="15" t="inlineStr">
        <is>
          <t>https://www.macrotrends.net/stocks/charts/CRM/salesforce/net-income</t>
        </is>
      </c>
      <c r="L19" s="15" t="n">
        <v>0</v>
      </c>
      <c r="M19" s="15" t="inlineStr">
        <is>
          <t>Matches SEC/StockAnalysis/Macrotrends.</t>
        </is>
      </c>
      <c r="N19" s="4" t="inlineStr">
        <is>
          <t>Valuation!H23</t>
        </is>
      </c>
    </row>
    <row r="20">
      <c r="A20" s="4" t="inlineStr">
        <is>
          <t>Net Income</t>
        </is>
      </c>
      <c r="B20" s="4" t="inlineStr">
        <is>
          <t>FY2025</t>
        </is>
      </c>
      <c r="C20" s="17" t="n">
        <v>6197</v>
      </c>
      <c r="D20" s="4" t="inlineStr">
        <is>
          <t>USD $m</t>
        </is>
      </c>
      <c r="E20" s="17" t="n">
        <v>6197</v>
      </c>
      <c r="F20" s="4" t="inlineStr">
        <is>
          <t>SEC company facts / Form 10-K</t>
        </is>
      </c>
      <c r="G20" s="15" t="inlineStr">
        <is>
          <t>NetIncomeLoss; 0001108524-26-000060 for latest 10-K</t>
        </is>
      </c>
      <c r="H20" s="17" t="n">
        <v>6197</v>
      </c>
      <c r="I20" s="15" t="inlineStr">
        <is>
          <t>https://stockanalysis.com/stocks/crm/financials/</t>
        </is>
      </c>
      <c r="J20" s="17" t="n">
        <v>6197</v>
      </c>
      <c r="K20" s="15" t="inlineStr">
        <is>
          <t>https://www.macrotrends.net/stocks/charts/CRM/salesforce/net-income</t>
        </is>
      </c>
      <c r="L20" s="15" t="n">
        <v>0</v>
      </c>
      <c r="M20" s="15" t="inlineStr">
        <is>
          <t>Matches SEC/StockAnalysis/Macrotrends.</t>
        </is>
      </c>
      <c r="N20" s="4" t="inlineStr">
        <is>
          <t>Valuation!I23</t>
        </is>
      </c>
    </row>
    <row r="21">
      <c r="A21" s="4" t="inlineStr">
        <is>
          <t>Net Income</t>
        </is>
      </c>
      <c r="B21" s="4" t="inlineStr">
        <is>
          <t>FY2026</t>
        </is>
      </c>
      <c r="C21" s="17" t="n">
        <v>7457</v>
      </c>
      <c r="D21" s="4" t="inlineStr">
        <is>
          <t>USD $m</t>
        </is>
      </c>
      <c r="E21" s="17" t="n">
        <v>7457</v>
      </c>
      <c r="F21" s="4" t="inlineStr">
        <is>
          <t>SEC company facts / Form 10-K</t>
        </is>
      </c>
      <c r="G21" s="15" t="inlineStr">
        <is>
          <t>NetIncomeLoss; 0001108524-26-000060 for latest 10-K</t>
        </is>
      </c>
      <c r="H21" s="17" t="n">
        <v>7457</v>
      </c>
      <c r="I21" s="15" t="inlineStr">
        <is>
          <t>https://stockanalysis.com/stocks/crm/financials/</t>
        </is>
      </c>
      <c r="J21" s="17" t="n">
        <v>7457</v>
      </c>
      <c r="K21" s="15" t="inlineStr">
        <is>
          <t>https://www.macrotrends.net/stocks/charts/CRM/salesforce/net-income</t>
        </is>
      </c>
      <c r="L21" s="15" t="n">
        <v>0</v>
      </c>
      <c r="M21" s="15" t="inlineStr">
        <is>
          <t>Matches SEC/StockAnalysis/Macrotrends.</t>
        </is>
      </c>
      <c r="N21" s="4" t="inlineStr">
        <is>
          <t>Valuation!J23</t>
        </is>
      </c>
    </row>
    <row r="22">
      <c r="A22" s="4" t="inlineStr">
        <is>
          <t>Operating Cash Flow</t>
        </is>
      </c>
      <c r="B22" s="4" t="inlineStr">
        <is>
          <t>FY2022</t>
        </is>
      </c>
      <c r="C22" s="17" t="n">
        <v>6000</v>
      </c>
      <c r="D22" s="4" t="inlineStr">
        <is>
          <t>USD $m</t>
        </is>
      </c>
      <c r="E22" s="17" t="n">
        <v>6000</v>
      </c>
      <c r="F22" s="4" t="inlineStr">
        <is>
          <t>SEC company facts / Form 10-K</t>
        </is>
      </c>
      <c r="G22" s="15" t="inlineStr">
        <is>
          <t>NetCashProvidedByUsedInOperatingActivities; 0001108524-26-000060 for latest 10-K</t>
        </is>
      </c>
      <c r="H22" s="17" t="n">
        <v>6000</v>
      </c>
      <c r="I22" s="15" t="inlineStr">
        <is>
          <t>https://stockanalysis.com/stocks/crm/financials/cash-flow-statement/</t>
        </is>
      </c>
      <c r="J22" s="4" t="inlineStr">
        <is>
          <t>N/A</t>
        </is>
      </c>
      <c r="K22" s="15" t="inlineStr">
        <is>
          <t>N/A</t>
        </is>
      </c>
      <c r="L22" s="15" t="inlineStr">
        <is>
          <t>N/A</t>
        </is>
      </c>
      <c r="M22" s="15" t="inlineStr">
        <is>
          <t>Primary SEC and StockAnalysis used; secondary source unavailable or stale for this line.</t>
        </is>
      </c>
      <c r="N22" s="4" t="inlineStr">
        <is>
          <t>Valuation!F27</t>
        </is>
      </c>
    </row>
    <row r="23">
      <c r="A23" s="4" t="inlineStr">
        <is>
          <t>Operating Cash Flow</t>
        </is>
      </c>
      <c r="B23" s="4" t="inlineStr">
        <is>
          <t>FY2023</t>
        </is>
      </c>
      <c r="C23" s="17" t="n">
        <v>7111</v>
      </c>
      <c r="D23" s="4" t="inlineStr">
        <is>
          <t>USD $m</t>
        </is>
      </c>
      <c r="E23" s="17" t="n">
        <v>7111</v>
      </c>
      <c r="F23" s="4" t="inlineStr">
        <is>
          <t>SEC company facts / Form 10-K</t>
        </is>
      </c>
      <c r="G23" s="15" t="inlineStr">
        <is>
          <t>NetCashProvidedByUsedInOperatingActivities; 0001108524-26-000060 for latest 10-K</t>
        </is>
      </c>
      <c r="H23" s="17" t="n">
        <v>7111</v>
      </c>
      <c r="I23" s="15" t="inlineStr">
        <is>
          <t>https://stockanalysis.com/stocks/crm/financials/cash-flow-statement/</t>
        </is>
      </c>
      <c r="J23" s="4" t="inlineStr">
        <is>
          <t>N/A</t>
        </is>
      </c>
      <c r="K23" s="15" t="inlineStr">
        <is>
          <t>N/A</t>
        </is>
      </c>
      <c r="L23" s="15" t="inlineStr">
        <is>
          <t>N/A</t>
        </is>
      </c>
      <c r="M23" s="15" t="inlineStr">
        <is>
          <t>Primary SEC and StockAnalysis used; secondary source unavailable or stale for this line.</t>
        </is>
      </c>
      <c r="N23" s="4" t="inlineStr">
        <is>
          <t>Valuation!G27</t>
        </is>
      </c>
    </row>
    <row r="24">
      <c r="A24" s="4" t="inlineStr">
        <is>
          <t>Operating Cash Flow</t>
        </is>
      </c>
      <c r="B24" s="4" t="inlineStr">
        <is>
          <t>FY2024</t>
        </is>
      </c>
      <c r="C24" s="17" t="n">
        <v>10234</v>
      </c>
      <c r="D24" s="4" t="inlineStr">
        <is>
          <t>USD $m</t>
        </is>
      </c>
      <c r="E24" s="17" t="n">
        <v>10234</v>
      </c>
      <c r="F24" s="4" t="inlineStr">
        <is>
          <t>SEC company facts / Form 10-K</t>
        </is>
      </c>
      <c r="G24" s="15" t="inlineStr">
        <is>
          <t>NetCashProvidedByUsedInOperatingActivities; 0001108524-26-000060 for latest 10-K</t>
        </is>
      </c>
      <c r="H24" s="17" t="n">
        <v>10234</v>
      </c>
      <c r="I24" s="15" t="inlineStr">
        <is>
          <t>https://stockanalysis.com/stocks/crm/financials/cash-flow-statement/</t>
        </is>
      </c>
      <c r="J24" s="4" t="inlineStr">
        <is>
          <t>N/A</t>
        </is>
      </c>
      <c r="K24" s="15" t="inlineStr">
        <is>
          <t>N/A</t>
        </is>
      </c>
      <c r="L24" s="15" t="inlineStr">
        <is>
          <t>N/A</t>
        </is>
      </c>
      <c r="M24" s="15" t="inlineStr">
        <is>
          <t>Primary SEC and StockAnalysis used; secondary source unavailable or stale for this line.</t>
        </is>
      </c>
      <c r="N24" s="4" t="inlineStr">
        <is>
          <t>Valuation!H27</t>
        </is>
      </c>
    </row>
    <row r="25">
      <c r="A25" s="4" t="inlineStr">
        <is>
          <t>Operating Cash Flow</t>
        </is>
      </c>
      <c r="B25" s="4" t="inlineStr">
        <is>
          <t>FY2025</t>
        </is>
      </c>
      <c r="C25" s="17" t="n">
        <v>13092</v>
      </c>
      <c r="D25" s="4" t="inlineStr">
        <is>
          <t>USD $m</t>
        </is>
      </c>
      <c r="E25" s="17" t="n">
        <v>13092</v>
      </c>
      <c r="F25" s="4" t="inlineStr">
        <is>
          <t>SEC company facts / Form 10-K</t>
        </is>
      </c>
      <c r="G25" s="15" t="inlineStr">
        <is>
          <t>NetCashProvidedByUsedInOperatingActivities; 0001108524-26-000060 for latest 10-K</t>
        </is>
      </c>
      <c r="H25" s="17" t="n">
        <v>13092</v>
      </c>
      <c r="I25" s="15" t="inlineStr">
        <is>
          <t>https://stockanalysis.com/stocks/crm/financials/cash-flow-statement/</t>
        </is>
      </c>
      <c r="J25" s="4" t="inlineStr">
        <is>
          <t>N/A</t>
        </is>
      </c>
      <c r="K25" s="15" t="inlineStr">
        <is>
          <t>N/A</t>
        </is>
      </c>
      <c r="L25" s="15" t="inlineStr">
        <is>
          <t>N/A</t>
        </is>
      </c>
      <c r="M25" s="15" t="inlineStr">
        <is>
          <t>Primary SEC and StockAnalysis used; secondary source unavailable or stale for this line.</t>
        </is>
      </c>
      <c r="N25" s="4" t="inlineStr">
        <is>
          <t>Valuation!I27</t>
        </is>
      </c>
    </row>
    <row r="26">
      <c r="A26" s="4" t="inlineStr">
        <is>
          <t>Operating Cash Flow</t>
        </is>
      </c>
      <c r="B26" s="4" t="inlineStr">
        <is>
          <t>FY2026</t>
        </is>
      </c>
      <c r="C26" s="17" t="n">
        <v>14996</v>
      </c>
      <c r="D26" s="4" t="inlineStr">
        <is>
          <t>USD $m</t>
        </is>
      </c>
      <c r="E26" s="17" t="n">
        <v>14996</v>
      </c>
      <c r="F26" s="4" t="inlineStr">
        <is>
          <t>SEC company facts / Form 10-K</t>
        </is>
      </c>
      <c r="G26" s="15" t="inlineStr">
        <is>
          <t>NetCashProvidedByUsedInOperatingActivities; 0001108524-26-000060 for latest 10-K</t>
        </is>
      </c>
      <c r="H26" s="17" t="n">
        <v>14996</v>
      </c>
      <c r="I26" s="15" t="inlineStr">
        <is>
          <t>https://stockanalysis.com/stocks/crm/financials/cash-flow-statement/</t>
        </is>
      </c>
      <c r="J26" s="4" t="inlineStr">
        <is>
          <t>N/A</t>
        </is>
      </c>
      <c r="K26" s="15" t="inlineStr">
        <is>
          <t>N/A</t>
        </is>
      </c>
      <c r="L26" s="15" t="inlineStr">
        <is>
          <t>N/A</t>
        </is>
      </c>
      <c r="M26" s="15" t="inlineStr">
        <is>
          <t>Primary SEC and StockAnalysis used; secondary source unavailable or stale for this line.</t>
        </is>
      </c>
      <c r="N26" s="4" t="inlineStr">
        <is>
          <t>Valuation!J27</t>
        </is>
      </c>
    </row>
    <row r="27">
      <c r="A27" s="4" t="inlineStr">
        <is>
          <t>Capex</t>
        </is>
      </c>
      <c r="B27" s="4" t="inlineStr">
        <is>
          <t>FY2022</t>
        </is>
      </c>
      <c r="C27" s="17" t="n">
        <v>-717</v>
      </c>
      <c r="D27" s="4" t="inlineStr">
        <is>
          <t>USD $m</t>
        </is>
      </c>
      <c r="E27" s="17" t="n">
        <v>717</v>
      </c>
      <c r="F27" s="4" t="inlineStr">
        <is>
          <t>SEC company facts / Form 10-K</t>
        </is>
      </c>
      <c r="G27" s="15" t="inlineStr">
        <is>
          <t>PaymentsToAcquirePropertyPlantAndEquipment; 0001108524-26-000060 for latest 10-K</t>
        </is>
      </c>
      <c r="H27" s="17" t="n">
        <v>-717</v>
      </c>
      <c r="I27" s="15" t="inlineStr">
        <is>
          <t>https://stockanalysis.com/stocks/crm/financials/cash-flow-statement/</t>
        </is>
      </c>
      <c r="J27" s="4" t="inlineStr">
        <is>
          <t>N/A</t>
        </is>
      </c>
      <c r="K27" s="15" t="inlineStr">
        <is>
          <t>N/A</t>
        </is>
      </c>
      <c r="L27" s="15" t="inlineStr">
        <is>
          <t>Sign convention only.</t>
        </is>
      </c>
      <c r="M27" s="15" t="inlineStr">
        <is>
          <t>Model stores capex as a cash outflow sign; SEC payments tag is positive.</t>
        </is>
      </c>
      <c r="N27" s="4" t="inlineStr">
        <is>
          <t>Valuation!F28</t>
        </is>
      </c>
    </row>
    <row r="28">
      <c r="A28" s="4" t="inlineStr">
        <is>
          <t>Capex</t>
        </is>
      </c>
      <c r="B28" s="4" t="inlineStr">
        <is>
          <t>FY2023</t>
        </is>
      </c>
      <c r="C28" s="17" t="n">
        <v>-798</v>
      </c>
      <c r="D28" s="4" t="inlineStr">
        <is>
          <t>USD $m</t>
        </is>
      </c>
      <c r="E28" s="17" t="n">
        <v>798</v>
      </c>
      <c r="F28" s="4" t="inlineStr">
        <is>
          <t>SEC company facts / Form 10-K</t>
        </is>
      </c>
      <c r="G28" s="15" t="inlineStr">
        <is>
          <t>PaymentsToAcquirePropertyPlantAndEquipment; 0001108524-26-000060 for latest 10-K</t>
        </is>
      </c>
      <c r="H28" s="17" t="n">
        <v>-798</v>
      </c>
      <c r="I28" s="15" t="inlineStr">
        <is>
          <t>https://stockanalysis.com/stocks/crm/financials/cash-flow-statement/</t>
        </is>
      </c>
      <c r="J28" s="4" t="inlineStr">
        <is>
          <t>N/A</t>
        </is>
      </c>
      <c r="K28" s="15" t="inlineStr">
        <is>
          <t>N/A</t>
        </is>
      </c>
      <c r="L28" s="15" t="inlineStr">
        <is>
          <t>Sign convention only.</t>
        </is>
      </c>
      <c r="M28" s="15" t="inlineStr">
        <is>
          <t>Model stores capex as a cash outflow sign; SEC payments tag is positive.</t>
        </is>
      </c>
      <c r="N28" s="4" t="inlineStr">
        <is>
          <t>Valuation!G28</t>
        </is>
      </c>
    </row>
    <row r="29">
      <c r="A29" s="4" t="inlineStr">
        <is>
          <t>Capex</t>
        </is>
      </c>
      <c r="B29" s="4" t="inlineStr">
        <is>
          <t>FY2024</t>
        </is>
      </c>
      <c r="C29" s="17" t="n">
        <v>-736</v>
      </c>
      <c r="D29" s="4" t="inlineStr">
        <is>
          <t>USD $m</t>
        </is>
      </c>
      <c r="E29" s="17" t="n">
        <v>736</v>
      </c>
      <c r="F29" s="4" t="inlineStr">
        <is>
          <t>SEC company facts / Form 10-K</t>
        </is>
      </c>
      <c r="G29" s="15" t="inlineStr">
        <is>
          <t>PaymentsToAcquirePropertyPlantAndEquipment; 0001108524-26-000060 for latest 10-K</t>
        </is>
      </c>
      <c r="H29" s="17" t="n">
        <v>-736</v>
      </c>
      <c r="I29" s="15" t="inlineStr">
        <is>
          <t>https://stockanalysis.com/stocks/crm/financials/cash-flow-statement/</t>
        </is>
      </c>
      <c r="J29" s="4" t="inlineStr">
        <is>
          <t>N/A</t>
        </is>
      </c>
      <c r="K29" s="15" t="inlineStr">
        <is>
          <t>N/A</t>
        </is>
      </c>
      <c r="L29" s="15" t="inlineStr">
        <is>
          <t>Sign convention only.</t>
        </is>
      </c>
      <c r="M29" s="15" t="inlineStr">
        <is>
          <t>Model stores capex as a cash outflow sign; SEC payments tag is positive.</t>
        </is>
      </c>
      <c r="N29" s="4" t="inlineStr">
        <is>
          <t>Valuation!H28</t>
        </is>
      </c>
    </row>
    <row r="30">
      <c r="A30" s="4" t="inlineStr">
        <is>
          <t>Capex</t>
        </is>
      </c>
      <c r="B30" s="4" t="inlineStr">
        <is>
          <t>FY2025</t>
        </is>
      </c>
      <c r="C30" s="17" t="n">
        <v>-658</v>
      </c>
      <c r="D30" s="4" t="inlineStr">
        <is>
          <t>USD $m</t>
        </is>
      </c>
      <c r="E30" s="17" t="n">
        <v>658</v>
      </c>
      <c r="F30" s="4" t="inlineStr">
        <is>
          <t>SEC company facts / Form 10-K</t>
        </is>
      </c>
      <c r="G30" s="15" t="inlineStr">
        <is>
          <t>PaymentsToAcquirePropertyPlantAndEquipment; 0001108524-26-000060 for latest 10-K</t>
        </is>
      </c>
      <c r="H30" s="17" t="n">
        <v>-658</v>
      </c>
      <c r="I30" s="15" t="inlineStr">
        <is>
          <t>https://stockanalysis.com/stocks/crm/financials/cash-flow-statement/</t>
        </is>
      </c>
      <c r="J30" s="4" t="inlineStr">
        <is>
          <t>N/A</t>
        </is>
      </c>
      <c r="K30" s="15" t="inlineStr">
        <is>
          <t>N/A</t>
        </is>
      </c>
      <c r="L30" s="15" t="inlineStr">
        <is>
          <t>Sign convention only.</t>
        </is>
      </c>
      <c r="M30" s="15" t="inlineStr">
        <is>
          <t>Model stores capex as a cash outflow sign; SEC payments tag is positive.</t>
        </is>
      </c>
      <c r="N30" s="4" t="inlineStr">
        <is>
          <t>Valuation!I28</t>
        </is>
      </c>
    </row>
    <row r="31">
      <c r="A31" s="4" t="inlineStr">
        <is>
          <t>Capex</t>
        </is>
      </c>
      <c r="B31" s="4" t="inlineStr">
        <is>
          <t>FY2026</t>
        </is>
      </c>
      <c r="C31" s="17" t="n">
        <v>-594</v>
      </c>
      <c r="D31" s="4" t="inlineStr">
        <is>
          <t>USD $m</t>
        </is>
      </c>
      <c r="E31" s="17" t="n">
        <v>594</v>
      </c>
      <c r="F31" s="4" t="inlineStr">
        <is>
          <t>SEC company facts / Form 10-K</t>
        </is>
      </c>
      <c r="G31" s="15" t="inlineStr">
        <is>
          <t>PaymentsToAcquirePropertyPlantAndEquipment; 0001108524-26-000060 for latest 10-K</t>
        </is>
      </c>
      <c r="H31" s="17" t="n">
        <v>-594</v>
      </c>
      <c r="I31" s="15" t="inlineStr">
        <is>
          <t>https://stockanalysis.com/stocks/crm/financials/cash-flow-statement/</t>
        </is>
      </c>
      <c r="J31" s="4" t="inlineStr">
        <is>
          <t>N/A</t>
        </is>
      </c>
      <c r="K31" s="15" t="inlineStr">
        <is>
          <t>N/A</t>
        </is>
      </c>
      <c r="L31" s="15" t="inlineStr">
        <is>
          <t>Sign convention only.</t>
        </is>
      </c>
      <c r="M31" s="15" t="inlineStr">
        <is>
          <t>Model stores capex as a cash outflow sign; SEC payments tag is positive.</t>
        </is>
      </c>
      <c r="N31" s="4" t="inlineStr">
        <is>
          <t>Valuation!J28</t>
        </is>
      </c>
    </row>
    <row r="32">
      <c r="A32" s="4" t="inlineStr">
        <is>
          <t>Free Cash Flow</t>
        </is>
      </c>
      <c r="B32" s="4" t="inlineStr">
        <is>
          <t>FY2022</t>
        </is>
      </c>
      <c r="C32" s="17" t="n">
        <v>5283</v>
      </c>
      <c r="D32" s="4" t="inlineStr">
        <is>
          <t>USD $m</t>
        </is>
      </c>
      <c r="E32" s="17" t="n">
        <v>5283</v>
      </c>
      <c r="F32" s="4" t="inlineStr">
        <is>
          <t>SEC company facts / Form 10-K</t>
        </is>
      </c>
      <c r="G32" s="15" t="inlineStr">
        <is>
          <t>OCF less capex; 0001108524-26-000060 for latest 10-K</t>
        </is>
      </c>
      <c r="H32" s="17" t="n">
        <v>5283</v>
      </c>
      <c r="I32" s="15" t="inlineStr">
        <is>
          <t>https://stockanalysis.com/stocks/crm/financials/cash-flow-statement/</t>
        </is>
      </c>
      <c r="J32" s="17" t="n">
        <v>5283</v>
      </c>
      <c r="K32" s="15" t="inlineStr">
        <is>
          <t>https://www.macrotrends.net/stocks/charts/CRM/salesforce/free-cash-flow</t>
        </is>
      </c>
      <c r="L32" s="15" t="n">
        <v>0</v>
      </c>
      <c r="M32" s="15" t="inlineStr">
        <is>
          <t>Matches SEC/StockAnalysis/Macrotrends.</t>
        </is>
      </c>
      <c r="N32" s="4" t="inlineStr">
        <is>
          <t>Valuation!F29</t>
        </is>
      </c>
    </row>
    <row r="33">
      <c r="A33" s="4" t="inlineStr">
        <is>
          <t>Free Cash Flow</t>
        </is>
      </c>
      <c r="B33" s="4" t="inlineStr">
        <is>
          <t>FY2023</t>
        </is>
      </c>
      <c r="C33" s="17" t="n">
        <v>6313</v>
      </c>
      <c r="D33" s="4" t="inlineStr">
        <is>
          <t>USD $m</t>
        </is>
      </c>
      <c r="E33" s="17" t="n">
        <v>6313</v>
      </c>
      <c r="F33" s="4" t="inlineStr">
        <is>
          <t>SEC company facts / Form 10-K</t>
        </is>
      </c>
      <c r="G33" s="15" t="inlineStr">
        <is>
          <t>OCF less capex; 0001108524-26-000060 for latest 10-K</t>
        </is>
      </c>
      <c r="H33" s="17" t="n">
        <v>6313</v>
      </c>
      <c r="I33" s="15" t="inlineStr">
        <is>
          <t>https://stockanalysis.com/stocks/crm/financials/cash-flow-statement/</t>
        </is>
      </c>
      <c r="J33" s="17" t="n">
        <v>6313</v>
      </c>
      <c r="K33" s="15" t="inlineStr">
        <is>
          <t>https://www.macrotrends.net/stocks/charts/CRM/salesforce/free-cash-flow</t>
        </is>
      </c>
      <c r="L33" s="15" t="n">
        <v>0</v>
      </c>
      <c r="M33" s="15" t="inlineStr">
        <is>
          <t>Matches SEC/StockAnalysis/Macrotrends.</t>
        </is>
      </c>
      <c r="N33" s="4" t="inlineStr">
        <is>
          <t>Valuation!G29</t>
        </is>
      </c>
    </row>
    <row r="34">
      <c r="A34" s="4" t="inlineStr">
        <is>
          <t>Free Cash Flow</t>
        </is>
      </c>
      <c r="B34" s="4" t="inlineStr">
        <is>
          <t>FY2024</t>
        </is>
      </c>
      <c r="C34" s="17" t="n">
        <v>9498</v>
      </c>
      <c r="D34" s="4" t="inlineStr">
        <is>
          <t>USD $m</t>
        </is>
      </c>
      <c r="E34" s="17" t="n">
        <v>9498</v>
      </c>
      <c r="F34" s="4" t="inlineStr">
        <is>
          <t>SEC company facts / Form 10-K</t>
        </is>
      </c>
      <c r="G34" s="15" t="inlineStr">
        <is>
          <t>OCF less capex; 0001108524-26-000060 for latest 10-K</t>
        </is>
      </c>
      <c r="H34" s="17" t="n">
        <v>9498</v>
      </c>
      <c r="I34" s="15" t="inlineStr">
        <is>
          <t>https://stockanalysis.com/stocks/crm/financials/cash-flow-statement/</t>
        </is>
      </c>
      <c r="J34" s="17" t="n">
        <v>9498</v>
      </c>
      <c r="K34" s="15" t="inlineStr">
        <is>
          <t>https://www.macrotrends.net/stocks/charts/CRM/salesforce/free-cash-flow</t>
        </is>
      </c>
      <c r="L34" s="15" t="n">
        <v>0</v>
      </c>
      <c r="M34" s="15" t="inlineStr">
        <is>
          <t>Matches SEC/StockAnalysis/Macrotrends.</t>
        </is>
      </c>
      <c r="N34" s="4" t="inlineStr">
        <is>
          <t>Valuation!H29</t>
        </is>
      </c>
    </row>
    <row r="35">
      <c r="A35" s="4" t="inlineStr">
        <is>
          <t>Free Cash Flow</t>
        </is>
      </c>
      <c r="B35" s="4" t="inlineStr">
        <is>
          <t>FY2025</t>
        </is>
      </c>
      <c r="C35" s="17" t="n">
        <v>12434</v>
      </c>
      <c r="D35" s="4" t="inlineStr">
        <is>
          <t>USD $m</t>
        </is>
      </c>
      <c r="E35" s="17" t="n">
        <v>12434</v>
      </c>
      <c r="F35" s="4" t="inlineStr">
        <is>
          <t>SEC company facts / Form 10-K</t>
        </is>
      </c>
      <c r="G35" s="15" t="inlineStr">
        <is>
          <t>OCF less capex; 0001108524-26-000060 for latest 10-K</t>
        </is>
      </c>
      <c r="H35" s="17" t="n">
        <v>12434</v>
      </c>
      <c r="I35" s="15" t="inlineStr">
        <is>
          <t>https://stockanalysis.com/stocks/crm/financials/cash-flow-statement/</t>
        </is>
      </c>
      <c r="J35" s="17" t="n">
        <v>12434</v>
      </c>
      <c r="K35" s="15" t="inlineStr">
        <is>
          <t>https://www.macrotrends.net/stocks/charts/CRM/salesforce/free-cash-flow</t>
        </is>
      </c>
      <c r="L35" s="15" t="n">
        <v>0</v>
      </c>
      <c r="M35" s="15" t="inlineStr">
        <is>
          <t>Matches SEC/StockAnalysis/Macrotrends.</t>
        </is>
      </c>
      <c r="N35" s="4" t="inlineStr">
        <is>
          <t>Valuation!I29</t>
        </is>
      </c>
    </row>
    <row r="36">
      <c r="A36" s="4" t="inlineStr">
        <is>
          <t>Free Cash Flow</t>
        </is>
      </c>
      <c r="B36" s="4" t="inlineStr">
        <is>
          <t>FY2026</t>
        </is>
      </c>
      <c r="C36" s="17" t="n">
        <v>14402</v>
      </c>
      <c r="D36" s="4" t="inlineStr">
        <is>
          <t>USD $m</t>
        </is>
      </c>
      <c r="E36" s="17" t="n">
        <v>14402</v>
      </c>
      <c r="F36" s="4" t="inlineStr">
        <is>
          <t>SEC company facts / Form 10-K</t>
        </is>
      </c>
      <c r="G36" s="15" t="inlineStr">
        <is>
          <t>OCF less capex; 0001108524-26-000060 for latest 10-K</t>
        </is>
      </c>
      <c r="H36" s="17" t="n">
        <v>14402</v>
      </c>
      <c r="I36" s="15" t="inlineStr">
        <is>
          <t>https://stockanalysis.com/stocks/crm/financials/cash-flow-statement/</t>
        </is>
      </c>
      <c r="J36" s="4" t="inlineStr">
        <is>
          <t>N/A</t>
        </is>
      </c>
      <c r="K36" s="15" t="inlineStr">
        <is>
          <t>https://www.macrotrends.net/stocks/charts/CRM/salesforce/free-cash-flow</t>
        </is>
      </c>
      <c r="L36" s="15" t="inlineStr">
        <is>
          <t>N/A</t>
        </is>
      </c>
      <c r="M36" s="15" t="inlineStr">
        <is>
          <t>Primary SEC and StockAnalysis used; secondary source unavailable or stale for this line.</t>
        </is>
      </c>
      <c r="N36" s="4" t="inlineStr">
        <is>
          <t>Valuation!J29</t>
        </is>
      </c>
    </row>
    <row r="37">
      <c r="A37" s="4" t="inlineStr">
        <is>
          <t>Stock-Based Compensation</t>
        </is>
      </c>
      <c r="B37" s="4" t="inlineStr">
        <is>
          <t>FY2022</t>
        </is>
      </c>
      <c r="C37" s="17" t="n">
        <v>2779</v>
      </c>
      <c r="D37" s="4" t="inlineStr">
        <is>
          <t>USD $m</t>
        </is>
      </c>
      <c r="E37" s="17" t="n">
        <v>2779</v>
      </c>
      <c r="F37" s="4" t="inlineStr">
        <is>
          <t>SEC company facts / Form 10-K</t>
        </is>
      </c>
      <c r="G37" s="15" t="inlineStr">
        <is>
          <t>ShareBasedCompensation; 0001108524-26-000060 for latest 10-K</t>
        </is>
      </c>
      <c r="H37" s="17" t="n">
        <v>2779</v>
      </c>
      <c r="I37" s="15" t="inlineStr">
        <is>
          <t>https://stockanalysis.com/stocks/crm/financials/cash-flow-statement/</t>
        </is>
      </c>
      <c r="J37" s="4" t="inlineStr">
        <is>
          <t>N/A</t>
        </is>
      </c>
      <c r="K37" s="15" t="inlineStr">
        <is>
          <t>N/A</t>
        </is>
      </c>
      <c r="L37" s="15" t="inlineStr">
        <is>
          <t>N/A</t>
        </is>
      </c>
      <c r="M37" s="15" t="inlineStr">
        <is>
          <t>Primary SEC and StockAnalysis used; secondary source unavailable or stale for this line.</t>
        </is>
      </c>
      <c r="N37" s="4" t="inlineStr">
        <is>
          <t>Valuation!F31</t>
        </is>
      </c>
    </row>
    <row r="38">
      <c r="A38" s="4" t="inlineStr">
        <is>
          <t>Stock-Based Compensation</t>
        </is>
      </c>
      <c r="B38" s="4" t="inlineStr">
        <is>
          <t>FY2023</t>
        </is>
      </c>
      <c r="C38" s="17" t="n">
        <v>3279</v>
      </c>
      <c r="D38" s="4" t="inlineStr">
        <is>
          <t>USD $m</t>
        </is>
      </c>
      <c r="E38" s="17" t="n">
        <v>3279</v>
      </c>
      <c r="F38" s="4" t="inlineStr">
        <is>
          <t>SEC company facts / Form 10-K</t>
        </is>
      </c>
      <c r="G38" s="15" t="inlineStr">
        <is>
          <t>ShareBasedCompensation; 0001108524-26-000060 for latest 10-K</t>
        </is>
      </c>
      <c r="H38" s="17" t="n">
        <v>3279</v>
      </c>
      <c r="I38" s="15" t="inlineStr">
        <is>
          <t>https://stockanalysis.com/stocks/crm/financials/cash-flow-statement/</t>
        </is>
      </c>
      <c r="J38" s="4" t="inlineStr">
        <is>
          <t>N/A</t>
        </is>
      </c>
      <c r="K38" s="15" t="inlineStr">
        <is>
          <t>N/A</t>
        </is>
      </c>
      <c r="L38" s="15" t="inlineStr">
        <is>
          <t>N/A</t>
        </is>
      </c>
      <c r="M38" s="15" t="inlineStr">
        <is>
          <t>Primary SEC and StockAnalysis used; secondary source unavailable or stale for this line.</t>
        </is>
      </c>
      <c r="N38" s="4" t="inlineStr">
        <is>
          <t>Valuation!G31</t>
        </is>
      </c>
    </row>
    <row r="39">
      <c r="A39" s="4" t="inlineStr">
        <is>
          <t>Stock-Based Compensation</t>
        </is>
      </c>
      <c r="B39" s="4" t="inlineStr">
        <is>
          <t>FY2024</t>
        </is>
      </c>
      <c r="C39" s="17" t="n">
        <v>2787</v>
      </c>
      <c r="D39" s="4" t="inlineStr">
        <is>
          <t>USD $m</t>
        </is>
      </c>
      <c r="E39" s="17" t="n">
        <v>2787</v>
      </c>
      <c r="F39" s="4" t="inlineStr">
        <is>
          <t>SEC company facts / Form 10-K</t>
        </is>
      </c>
      <c r="G39" s="15" t="inlineStr">
        <is>
          <t>ShareBasedCompensation; 0001108524-26-000060 for latest 10-K</t>
        </is>
      </c>
      <c r="H39" s="17" t="n">
        <v>2787</v>
      </c>
      <c r="I39" s="15" t="inlineStr">
        <is>
          <t>https://stockanalysis.com/stocks/crm/financials/cash-flow-statement/</t>
        </is>
      </c>
      <c r="J39" s="4" t="inlineStr">
        <is>
          <t>N/A</t>
        </is>
      </c>
      <c r="K39" s="15" t="inlineStr">
        <is>
          <t>N/A</t>
        </is>
      </c>
      <c r="L39" s="15" t="inlineStr">
        <is>
          <t>N/A</t>
        </is>
      </c>
      <c r="M39" s="15" t="inlineStr">
        <is>
          <t>Primary SEC and StockAnalysis used; secondary source unavailable or stale for this line.</t>
        </is>
      </c>
      <c r="N39" s="4" t="inlineStr">
        <is>
          <t>Valuation!H31</t>
        </is>
      </c>
    </row>
    <row r="40">
      <c r="A40" s="4" t="inlineStr">
        <is>
          <t>Stock-Based Compensation</t>
        </is>
      </c>
      <c r="B40" s="4" t="inlineStr">
        <is>
          <t>FY2025</t>
        </is>
      </c>
      <c r="C40" s="17" t="n">
        <v>3183</v>
      </c>
      <c r="D40" s="4" t="inlineStr">
        <is>
          <t>USD $m</t>
        </is>
      </c>
      <c r="E40" s="17" t="n">
        <v>3183</v>
      </c>
      <c r="F40" s="4" t="inlineStr">
        <is>
          <t>SEC company facts / Form 10-K</t>
        </is>
      </c>
      <c r="G40" s="15" t="inlineStr">
        <is>
          <t>ShareBasedCompensation; 0001108524-26-000060 for latest 10-K</t>
        </is>
      </c>
      <c r="H40" s="17" t="n">
        <v>3183</v>
      </c>
      <c r="I40" s="15" t="inlineStr">
        <is>
          <t>https://stockanalysis.com/stocks/crm/financials/cash-flow-statement/</t>
        </is>
      </c>
      <c r="J40" s="4" t="inlineStr">
        <is>
          <t>N/A</t>
        </is>
      </c>
      <c r="K40" s="15" t="inlineStr">
        <is>
          <t>N/A</t>
        </is>
      </c>
      <c r="L40" s="15" t="inlineStr">
        <is>
          <t>N/A</t>
        </is>
      </c>
      <c r="M40" s="15" t="inlineStr">
        <is>
          <t>Primary SEC and StockAnalysis used; secondary source unavailable or stale for this line.</t>
        </is>
      </c>
      <c r="N40" s="4" t="inlineStr">
        <is>
          <t>Valuation!I31</t>
        </is>
      </c>
    </row>
    <row r="41">
      <c r="A41" s="4" t="inlineStr">
        <is>
          <t>Stock-Based Compensation</t>
        </is>
      </c>
      <c r="B41" s="4" t="inlineStr">
        <is>
          <t>FY2026</t>
        </is>
      </c>
      <c r="C41" s="17" t="n">
        <v>3509</v>
      </c>
      <c r="D41" s="4" t="inlineStr">
        <is>
          <t>USD $m</t>
        </is>
      </c>
      <c r="E41" s="17" t="n">
        <v>3509</v>
      </c>
      <c r="F41" s="4" t="inlineStr">
        <is>
          <t>SEC company facts / Form 10-K</t>
        </is>
      </c>
      <c r="G41" s="15" t="inlineStr">
        <is>
          <t>ShareBasedCompensation; 0001108524-26-000060 for latest 10-K</t>
        </is>
      </c>
      <c r="H41" s="17" t="n">
        <v>3509</v>
      </c>
      <c r="I41" s="15" t="inlineStr">
        <is>
          <t>https://stockanalysis.com/stocks/crm/financials/cash-flow-statement/</t>
        </is>
      </c>
      <c r="J41" s="4" t="inlineStr">
        <is>
          <t>N/A</t>
        </is>
      </c>
      <c r="K41" s="15" t="inlineStr">
        <is>
          <t>N/A</t>
        </is>
      </c>
      <c r="L41" s="15" t="inlineStr">
        <is>
          <t>N/A</t>
        </is>
      </c>
      <c r="M41" s="15" t="inlineStr">
        <is>
          <t>Primary SEC and StockAnalysis used; secondary source unavailable or stale for this line.</t>
        </is>
      </c>
      <c r="N41" s="4" t="inlineStr">
        <is>
          <t>Valuation!J31</t>
        </is>
      </c>
    </row>
    <row r="42">
      <c r="A42" s="4" t="inlineStr">
        <is>
          <t>Diluted Shares</t>
        </is>
      </c>
      <c r="B42" s="4" t="inlineStr">
        <is>
          <t>FY2022</t>
        </is>
      </c>
      <c r="C42" s="21" t="n">
        <v>974</v>
      </c>
      <c r="D42" s="4" t="inlineStr">
        <is>
          <t>mm shares</t>
        </is>
      </c>
      <c r="E42" s="21" t="n">
        <v>974</v>
      </c>
      <c r="F42" s="4" t="inlineStr">
        <is>
          <t>SEC company facts / Form 10-K</t>
        </is>
      </c>
      <c r="G42" s="15" t="inlineStr">
        <is>
          <t>WeightedAverageNumberOfDilutedSharesOutstanding; 0001108524-26-000060 for latest 10-K</t>
        </is>
      </c>
      <c r="H42" s="21" t="n">
        <v>974</v>
      </c>
      <c r="I42" s="15" t="inlineStr">
        <is>
          <t>https://stockanalysis.com/stocks/crm/financials/</t>
        </is>
      </c>
      <c r="J42" s="4" t="inlineStr">
        <is>
          <t>N/A</t>
        </is>
      </c>
      <c r="K42" s="15" t="inlineStr">
        <is>
          <t>N/A</t>
        </is>
      </c>
      <c r="L42" s="15" t="inlineStr">
        <is>
          <t>N/A</t>
        </is>
      </c>
      <c r="M42" s="15" t="inlineStr">
        <is>
          <t>Primary SEC and StockAnalysis used; secondary source unavailable or stale for this line.</t>
        </is>
      </c>
      <c r="N42" s="4" t="inlineStr">
        <is>
          <t>Valuation!F25</t>
        </is>
      </c>
    </row>
    <row r="43">
      <c r="A43" s="4" t="inlineStr">
        <is>
          <t>Diluted Shares</t>
        </is>
      </c>
      <c r="B43" s="4" t="inlineStr">
        <is>
          <t>FY2023</t>
        </is>
      </c>
      <c r="C43" s="21" t="n">
        <v>997</v>
      </c>
      <c r="D43" s="4" t="inlineStr">
        <is>
          <t>mm shares</t>
        </is>
      </c>
      <c r="E43" s="21" t="n">
        <v>997</v>
      </c>
      <c r="F43" s="4" t="inlineStr">
        <is>
          <t>SEC company facts / Form 10-K</t>
        </is>
      </c>
      <c r="G43" s="15" t="inlineStr">
        <is>
          <t>WeightedAverageNumberOfDilutedSharesOutstanding; 0001108524-26-000060 for latest 10-K</t>
        </is>
      </c>
      <c r="H43" s="21" t="n">
        <v>997</v>
      </c>
      <c r="I43" s="15" t="inlineStr">
        <is>
          <t>https://stockanalysis.com/stocks/crm/financials/</t>
        </is>
      </c>
      <c r="J43" s="4" t="inlineStr">
        <is>
          <t>N/A</t>
        </is>
      </c>
      <c r="K43" s="15" t="inlineStr">
        <is>
          <t>N/A</t>
        </is>
      </c>
      <c r="L43" s="15" t="inlineStr">
        <is>
          <t>N/A</t>
        </is>
      </c>
      <c r="M43" s="15" t="inlineStr">
        <is>
          <t>Primary SEC and StockAnalysis used; secondary source unavailable or stale for this line.</t>
        </is>
      </c>
      <c r="N43" s="4" t="inlineStr">
        <is>
          <t>Valuation!G25</t>
        </is>
      </c>
    </row>
    <row r="44">
      <c r="A44" s="4" t="inlineStr">
        <is>
          <t>Diluted Shares</t>
        </is>
      </c>
      <c r="B44" s="4" t="inlineStr">
        <is>
          <t>FY2024</t>
        </is>
      </c>
      <c r="C44" s="21" t="n">
        <v>984</v>
      </c>
      <c r="D44" s="4" t="inlineStr">
        <is>
          <t>mm shares</t>
        </is>
      </c>
      <c r="E44" s="21" t="n">
        <v>984</v>
      </c>
      <c r="F44" s="4" t="inlineStr">
        <is>
          <t>SEC company facts / Form 10-K</t>
        </is>
      </c>
      <c r="G44" s="15" t="inlineStr">
        <is>
          <t>WeightedAverageNumberOfDilutedSharesOutstanding; 0001108524-26-000060 for latest 10-K</t>
        </is>
      </c>
      <c r="H44" s="21" t="n">
        <v>984</v>
      </c>
      <c r="I44" s="15" t="inlineStr">
        <is>
          <t>https://stockanalysis.com/stocks/crm/financials/</t>
        </is>
      </c>
      <c r="J44" s="4" t="inlineStr">
        <is>
          <t>N/A</t>
        </is>
      </c>
      <c r="K44" s="15" t="inlineStr">
        <is>
          <t>N/A</t>
        </is>
      </c>
      <c r="L44" s="15" t="inlineStr">
        <is>
          <t>N/A</t>
        </is>
      </c>
      <c r="M44" s="15" t="inlineStr">
        <is>
          <t>Primary SEC and StockAnalysis used; secondary source unavailable or stale for this line.</t>
        </is>
      </c>
      <c r="N44" s="4" t="inlineStr">
        <is>
          <t>Valuation!H25</t>
        </is>
      </c>
    </row>
    <row r="45">
      <c r="A45" s="4" t="inlineStr">
        <is>
          <t>Diluted Shares</t>
        </is>
      </c>
      <c r="B45" s="4" t="inlineStr">
        <is>
          <t>FY2025</t>
        </is>
      </c>
      <c r="C45" s="21" t="n">
        <v>974</v>
      </c>
      <c r="D45" s="4" t="inlineStr">
        <is>
          <t>mm shares</t>
        </is>
      </c>
      <c r="E45" s="21" t="n">
        <v>974</v>
      </c>
      <c r="F45" s="4" t="inlineStr">
        <is>
          <t>SEC company facts / Form 10-K</t>
        </is>
      </c>
      <c r="G45" s="15" t="inlineStr">
        <is>
          <t>WeightedAverageNumberOfDilutedSharesOutstanding; 0001108524-26-000060 for latest 10-K</t>
        </is>
      </c>
      <c r="H45" s="21" t="n">
        <v>974</v>
      </c>
      <c r="I45" s="15" t="inlineStr">
        <is>
          <t>https://stockanalysis.com/stocks/crm/financials/</t>
        </is>
      </c>
      <c r="J45" s="4" t="inlineStr">
        <is>
          <t>N/A</t>
        </is>
      </c>
      <c r="K45" s="15" t="inlineStr">
        <is>
          <t>N/A</t>
        </is>
      </c>
      <c r="L45" s="15" t="inlineStr">
        <is>
          <t>N/A</t>
        </is>
      </c>
      <c r="M45" s="15" t="inlineStr">
        <is>
          <t>Primary SEC and StockAnalysis used; secondary source unavailable or stale for this line.</t>
        </is>
      </c>
      <c r="N45" s="4" t="inlineStr">
        <is>
          <t>Valuation!I25</t>
        </is>
      </c>
    </row>
    <row r="46">
      <c r="A46" s="4" t="inlineStr">
        <is>
          <t>Diluted Shares</t>
        </is>
      </c>
      <c r="B46" s="4" t="inlineStr">
        <is>
          <t>FY2026</t>
        </is>
      </c>
      <c r="C46" s="21" t="n">
        <v>956</v>
      </c>
      <c r="D46" s="4" t="inlineStr">
        <is>
          <t>mm shares</t>
        </is>
      </c>
      <c r="E46" s="21" t="n">
        <v>956</v>
      </c>
      <c r="F46" s="4" t="inlineStr">
        <is>
          <t>SEC company facts / Form 10-K</t>
        </is>
      </c>
      <c r="G46" s="15" t="inlineStr">
        <is>
          <t>WeightedAverageNumberOfDilutedSharesOutstanding; 0001108524-26-000060 for latest 10-K</t>
        </is>
      </c>
      <c r="H46" s="21" t="n">
        <v>956</v>
      </c>
      <c r="I46" s="15" t="inlineStr">
        <is>
          <t>https://stockanalysis.com/stocks/crm/financials/</t>
        </is>
      </c>
      <c r="J46" s="4" t="inlineStr">
        <is>
          <t>N/A</t>
        </is>
      </c>
      <c r="K46" s="15" t="inlineStr">
        <is>
          <t>N/A</t>
        </is>
      </c>
      <c r="L46" s="15" t="inlineStr">
        <is>
          <t>N/A</t>
        </is>
      </c>
      <c r="M46" s="15" t="inlineStr">
        <is>
          <t>Primary SEC and StockAnalysis used; secondary source unavailable or stale for this line.</t>
        </is>
      </c>
      <c r="N46" s="4" t="inlineStr">
        <is>
          <t>Valuation!J25</t>
        </is>
      </c>
    </row>
    <row r="47">
      <c r="A47" s="4" t="inlineStr">
        <is>
          <t>Cash + Short-Term Investments</t>
        </is>
      </c>
      <c r="B47" s="4" t="inlineStr">
        <is>
          <t>FY2022</t>
        </is>
      </c>
      <c r="C47" s="17" t="n">
        <v>10537</v>
      </c>
      <c r="D47" s="4" t="inlineStr">
        <is>
          <t>USD $m</t>
        </is>
      </c>
      <c r="E47" s="17" t="n">
        <v>10537</v>
      </c>
      <c r="F47" s="4" t="inlineStr">
        <is>
          <t>SEC company facts / Form 10-K</t>
        </is>
      </c>
      <c r="G47" s="15" t="inlineStr">
        <is>
          <t>Cash + AvailableForSaleSecuritiesDebtSecuritiesCurrent; 0001108524-26-000060 for latest 10-K</t>
        </is>
      </c>
      <c r="H47" s="17" t="n">
        <v>10537</v>
      </c>
      <c r="I47" s="15" t="inlineStr">
        <is>
          <t>https://stockanalysis.com/stocks/crm/financials/balance-sheet/</t>
        </is>
      </c>
      <c r="J47" s="17" t="n">
        <v>10537</v>
      </c>
      <c r="K47" s="15" t="inlineStr">
        <is>
          <t>https://www.macrotrends.net/stocks/charts/CRM/salesforce/cash-on-hand</t>
        </is>
      </c>
      <c r="L47" s="15" t="n">
        <v>0</v>
      </c>
      <c r="M47" s="15" t="inlineStr">
        <is>
          <t>Matches SEC/StockAnalysis/Macrotrends.</t>
        </is>
      </c>
      <c r="N47" s="4" t="inlineStr">
        <is>
          <t>Valuation!F35</t>
        </is>
      </c>
    </row>
    <row r="48">
      <c r="A48" s="4" t="inlineStr">
        <is>
          <t>Cash + Short-Term Investments</t>
        </is>
      </c>
      <c r="B48" s="4" t="inlineStr">
        <is>
          <t>FY2023</t>
        </is>
      </c>
      <c r="C48" s="17" t="n">
        <v>12508</v>
      </c>
      <c r="D48" s="4" t="inlineStr">
        <is>
          <t>USD $m</t>
        </is>
      </c>
      <c r="E48" s="17" t="n">
        <v>12508</v>
      </c>
      <c r="F48" s="4" t="inlineStr">
        <is>
          <t>SEC company facts / Form 10-K</t>
        </is>
      </c>
      <c r="G48" s="15" t="inlineStr">
        <is>
          <t>Cash + AvailableForSaleSecuritiesDebtSecuritiesCurrent; 0001108524-26-000060 for latest 10-K</t>
        </is>
      </c>
      <c r="H48" s="17" t="n">
        <v>12508</v>
      </c>
      <c r="I48" s="15" t="inlineStr">
        <is>
          <t>https://stockanalysis.com/stocks/crm/financials/balance-sheet/</t>
        </is>
      </c>
      <c r="J48" s="17" t="n">
        <v>12508</v>
      </c>
      <c r="K48" s="15" t="inlineStr">
        <is>
          <t>https://www.macrotrends.net/stocks/charts/CRM/salesforce/cash-on-hand</t>
        </is>
      </c>
      <c r="L48" s="15" t="n">
        <v>0</v>
      </c>
      <c r="M48" s="15" t="inlineStr">
        <is>
          <t>Matches SEC/StockAnalysis/Macrotrends.</t>
        </is>
      </c>
      <c r="N48" s="4" t="inlineStr">
        <is>
          <t>Valuation!G35</t>
        </is>
      </c>
    </row>
    <row r="49">
      <c r="A49" s="4" t="inlineStr">
        <is>
          <t>Cash + Short-Term Investments</t>
        </is>
      </c>
      <c r="B49" s="4" t="inlineStr">
        <is>
          <t>FY2024</t>
        </is>
      </c>
      <c r="C49" s="17" t="n">
        <v>14194</v>
      </c>
      <c r="D49" s="4" t="inlineStr">
        <is>
          <t>USD $m</t>
        </is>
      </c>
      <c r="E49" s="17" t="n">
        <v>14194</v>
      </c>
      <c r="F49" s="4" t="inlineStr">
        <is>
          <t>SEC company facts / Form 10-K</t>
        </is>
      </c>
      <c r="G49" s="15" t="inlineStr">
        <is>
          <t>Cash + AvailableForSaleSecuritiesDebtSecuritiesCurrent; 0001108524-26-000060 for latest 10-K</t>
        </is>
      </c>
      <c r="H49" s="17" t="n">
        <v>14194</v>
      </c>
      <c r="I49" s="15" t="inlineStr">
        <is>
          <t>https://stockanalysis.com/stocks/crm/financials/balance-sheet/</t>
        </is>
      </c>
      <c r="J49" s="17" t="n">
        <v>14194</v>
      </c>
      <c r="K49" s="15" t="inlineStr">
        <is>
          <t>https://www.macrotrends.net/stocks/charts/CRM/salesforce/cash-on-hand</t>
        </is>
      </c>
      <c r="L49" s="15" t="n">
        <v>0</v>
      </c>
      <c r="M49" s="15" t="inlineStr">
        <is>
          <t>Matches SEC/StockAnalysis/Macrotrends.</t>
        </is>
      </c>
      <c r="N49" s="4" t="inlineStr">
        <is>
          <t>Valuation!H35</t>
        </is>
      </c>
    </row>
    <row r="50">
      <c r="A50" s="4" t="inlineStr">
        <is>
          <t>Cash + Short-Term Investments</t>
        </is>
      </c>
      <c r="B50" s="4" t="inlineStr">
        <is>
          <t>FY2025</t>
        </is>
      </c>
      <c r="C50" s="17" t="n">
        <v>14032</v>
      </c>
      <c r="D50" s="4" t="inlineStr">
        <is>
          <t>USD $m</t>
        </is>
      </c>
      <c r="E50" s="17" t="n">
        <v>14032</v>
      </c>
      <c r="F50" s="4" t="inlineStr">
        <is>
          <t>SEC company facts / Form 10-K</t>
        </is>
      </c>
      <c r="G50" s="15" t="inlineStr">
        <is>
          <t>Cash + AvailableForSaleSecuritiesDebtSecuritiesCurrent; 0001108524-26-000060 for latest 10-K</t>
        </is>
      </c>
      <c r="H50" s="17" t="n">
        <v>14032</v>
      </c>
      <c r="I50" s="15" t="inlineStr">
        <is>
          <t>https://stockanalysis.com/stocks/crm/financials/balance-sheet/</t>
        </is>
      </c>
      <c r="J50" s="17" t="n">
        <v>14032</v>
      </c>
      <c r="K50" s="15" t="inlineStr">
        <is>
          <t>https://www.macrotrends.net/stocks/charts/CRM/salesforce/cash-on-hand</t>
        </is>
      </c>
      <c r="L50" s="15" t="n">
        <v>0</v>
      </c>
      <c r="M50" s="15" t="inlineStr">
        <is>
          <t>Matches SEC/StockAnalysis/Macrotrends.</t>
        </is>
      </c>
      <c r="N50" s="4" t="inlineStr">
        <is>
          <t>Valuation!I35</t>
        </is>
      </c>
    </row>
    <row r="51">
      <c r="A51" s="4" t="inlineStr">
        <is>
          <t>Cash + Short-Term Investments</t>
        </is>
      </c>
      <c r="B51" s="4" t="inlineStr">
        <is>
          <t>FY2026</t>
        </is>
      </c>
      <c r="C51" s="17" t="n">
        <v>9565</v>
      </c>
      <c r="D51" s="4" t="inlineStr">
        <is>
          <t>USD $m</t>
        </is>
      </c>
      <c r="E51" s="17" t="n">
        <v>9565</v>
      </c>
      <c r="F51" s="4" t="inlineStr">
        <is>
          <t>SEC company facts / Form 10-K</t>
        </is>
      </c>
      <c r="G51" s="15" t="inlineStr">
        <is>
          <t>Cash + AvailableForSaleSecuritiesDebtSecuritiesCurrent; 0001108524-26-000060 for latest 10-K</t>
        </is>
      </c>
      <c r="H51" s="17" t="n">
        <v>9565</v>
      </c>
      <c r="I51" s="15" t="inlineStr">
        <is>
          <t>https://stockanalysis.com/stocks/crm/financials/balance-sheet/</t>
        </is>
      </c>
      <c r="J51" s="4" t="inlineStr">
        <is>
          <t>N/A</t>
        </is>
      </c>
      <c r="K51" s="15" t="inlineStr">
        <is>
          <t>https://www.macrotrends.net/stocks/charts/CRM/salesforce/cash-on-hand</t>
        </is>
      </c>
      <c r="L51" s="15" t="inlineStr">
        <is>
          <t>N/A</t>
        </is>
      </c>
      <c r="M51" s="15" t="inlineStr">
        <is>
          <t>Primary SEC and StockAnalysis used; secondary source unavailable or stale for this line.</t>
        </is>
      </c>
      <c r="N51" s="4" t="inlineStr">
        <is>
          <t>Valuation!J35</t>
        </is>
      </c>
    </row>
    <row r="52">
      <c r="A52" s="4" t="inlineStr">
        <is>
          <t>Gross Debt</t>
        </is>
      </c>
      <c r="B52" s="4" t="inlineStr">
        <is>
          <t>FY2022</t>
        </is>
      </c>
      <c r="C52" s="17" t="n">
        <v>10596</v>
      </c>
      <c r="D52" s="4" t="inlineStr">
        <is>
          <t>USD $m</t>
        </is>
      </c>
      <c r="E52" s="17" t="n">
        <v>10596</v>
      </c>
      <c r="F52" s="4" t="inlineStr">
        <is>
          <t>SEC company facts / Form 10-K</t>
        </is>
      </c>
      <c r="G52" s="15" t="inlineStr">
        <is>
          <t>LongTermDebt plus current maturities; FY2026 pro forma adjusted separately; 0001108524-26-000060 for latest 10-K</t>
        </is>
      </c>
      <c r="H52" s="17" t="n">
        <v>10596</v>
      </c>
      <c r="I52" s="15" t="inlineStr">
        <is>
          <t>https://stockanalysis.com/stocks/crm/financials/balance-sheet/</t>
        </is>
      </c>
      <c r="J52" s="4" t="inlineStr">
        <is>
          <t>N/A</t>
        </is>
      </c>
      <c r="K52" s="15" t="inlineStr">
        <is>
          <t>N/A</t>
        </is>
      </c>
      <c r="L52" s="15" t="inlineStr">
        <is>
          <t>N/A</t>
        </is>
      </c>
      <c r="M52" s="15" t="inlineStr">
        <is>
          <t>Primary SEC and StockAnalysis used; secondary source unavailable or stale for this line.</t>
        </is>
      </c>
      <c r="N52" s="4" t="inlineStr">
        <is>
          <t>Valuation!F36</t>
        </is>
      </c>
    </row>
    <row r="53">
      <c r="A53" s="4" t="inlineStr">
        <is>
          <t>Gross Debt</t>
        </is>
      </c>
      <c r="B53" s="4" t="inlineStr">
        <is>
          <t>FY2023</t>
        </is>
      </c>
      <c r="C53" s="17" t="n">
        <v>10601</v>
      </c>
      <c r="D53" s="4" t="inlineStr">
        <is>
          <t>USD $m</t>
        </is>
      </c>
      <c r="E53" s="17" t="n">
        <v>10601</v>
      </c>
      <c r="F53" s="4" t="inlineStr">
        <is>
          <t>SEC company facts / Form 10-K</t>
        </is>
      </c>
      <c r="G53" s="15" t="inlineStr">
        <is>
          <t>LongTermDebt plus current maturities; FY2026 pro forma adjusted separately; 0001108524-26-000060 for latest 10-K</t>
        </is>
      </c>
      <c r="H53" s="17" t="n">
        <v>10601</v>
      </c>
      <c r="I53" s="15" t="inlineStr">
        <is>
          <t>https://stockanalysis.com/stocks/crm/financials/balance-sheet/</t>
        </is>
      </c>
      <c r="J53" s="4" t="inlineStr">
        <is>
          <t>N/A</t>
        </is>
      </c>
      <c r="K53" s="15" t="inlineStr">
        <is>
          <t>N/A</t>
        </is>
      </c>
      <c r="L53" s="15" t="inlineStr">
        <is>
          <t>N/A</t>
        </is>
      </c>
      <c r="M53" s="15" t="inlineStr">
        <is>
          <t>Primary SEC and StockAnalysis used; secondary source unavailable or stale for this line.</t>
        </is>
      </c>
      <c r="N53" s="4" t="inlineStr">
        <is>
          <t>Valuation!G36</t>
        </is>
      </c>
    </row>
    <row r="54">
      <c r="A54" s="4" t="inlineStr">
        <is>
          <t>Gross Debt</t>
        </is>
      </c>
      <c r="B54" s="4" t="inlineStr">
        <is>
          <t>FY2024</t>
        </is>
      </c>
      <c r="C54" s="17" t="n">
        <v>9426</v>
      </c>
      <c r="D54" s="4" t="inlineStr">
        <is>
          <t>USD $m</t>
        </is>
      </c>
      <c r="E54" s="17" t="n">
        <v>9426</v>
      </c>
      <c r="F54" s="4" t="inlineStr">
        <is>
          <t>SEC company facts / Form 10-K</t>
        </is>
      </c>
      <c r="G54" s="15" t="inlineStr">
        <is>
          <t>LongTermDebt plus current maturities; FY2026 pro forma adjusted separately; 0001108524-26-000060 for latest 10-K</t>
        </is>
      </c>
      <c r="H54" s="17" t="n">
        <v>9426</v>
      </c>
      <c r="I54" s="15" t="inlineStr">
        <is>
          <t>https://stockanalysis.com/stocks/crm/financials/balance-sheet/</t>
        </is>
      </c>
      <c r="J54" s="4" t="inlineStr">
        <is>
          <t>N/A</t>
        </is>
      </c>
      <c r="K54" s="15" t="inlineStr">
        <is>
          <t>N/A</t>
        </is>
      </c>
      <c r="L54" s="15" t="inlineStr">
        <is>
          <t>N/A</t>
        </is>
      </c>
      <c r="M54" s="15" t="inlineStr">
        <is>
          <t>Primary SEC and StockAnalysis used; secondary source unavailable or stale for this line.</t>
        </is>
      </c>
      <c r="N54" s="4" t="inlineStr">
        <is>
          <t>Valuation!H36</t>
        </is>
      </c>
    </row>
    <row r="55">
      <c r="A55" s="4" t="inlineStr">
        <is>
          <t>Gross Debt</t>
        </is>
      </c>
      <c r="B55" s="4" t="inlineStr">
        <is>
          <t>FY2025</t>
        </is>
      </c>
      <c r="C55" s="17" t="n">
        <v>8433</v>
      </c>
      <c r="D55" s="4" t="inlineStr">
        <is>
          <t>USD $m</t>
        </is>
      </c>
      <c r="E55" s="17" t="n">
        <v>8433</v>
      </c>
      <c r="F55" s="4" t="inlineStr">
        <is>
          <t>SEC company facts / Form 10-K</t>
        </is>
      </c>
      <c r="G55" s="15" t="inlineStr">
        <is>
          <t>LongTermDebt plus current maturities; FY2026 pro forma adjusted separately; 0001108524-26-000060 for latest 10-K</t>
        </is>
      </c>
      <c r="H55" s="17" t="n">
        <v>8433</v>
      </c>
      <c r="I55" s="15" t="inlineStr">
        <is>
          <t>https://stockanalysis.com/stocks/crm/financials/balance-sheet/</t>
        </is>
      </c>
      <c r="J55" s="4" t="inlineStr">
        <is>
          <t>N/A</t>
        </is>
      </c>
      <c r="K55" s="15" t="inlineStr">
        <is>
          <t>N/A</t>
        </is>
      </c>
      <c r="L55" s="15" t="inlineStr">
        <is>
          <t>N/A</t>
        </is>
      </c>
      <c r="M55" s="15" t="inlineStr">
        <is>
          <t>Primary SEC and StockAnalysis used; secondary source unavailable or stale for this line.</t>
        </is>
      </c>
      <c r="N55" s="4" t="inlineStr">
        <is>
          <t>Valuation!I36</t>
        </is>
      </c>
    </row>
    <row r="56">
      <c r="A56" s="4" t="inlineStr">
        <is>
          <t>Gross Debt</t>
        </is>
      </c>
      <c r="B56" s="4" t="inlineStr">
        <is>
          <t>FY2026</t>
        </is>
      </c>
      <c r="C56" s="17" t="n">
        <v>14439</v>
      </c>
      <c r="D56" s="4" t="inlineStr">
        <is>
          <t>USD $m</t>
        </is>
      </c>
      <c r="E56" s="17" t="n">
        <v>14439</v>
      </c>
      <c r="F56" s="4" t="inlineStr">
        <is>
          <t>SEC company facts / Form 10-K</t>
        </is>
      </c>
      <c r="G56" s="15" t="inlineStr">
        <is>
          <t>LongTermDebt plus current maturities; FY2026 pro forma adjusted separately; 0001108524-26-000060 for latest 10-K</t>
        </is>
      </c>
      <c r="H56" s="17" t="n">
        <v>14439</v>
      </c>
      <c r="I56" s="15" t="inlineStr">
        <is>
          <t>https://stockanalysis.com/stocks/crm/financials/balance-sheet/</t>
        </is>
      </c>
      <c r="J56" s="4" t="inlineStr">
        <is>
          <t>N/A</t>
        </is>
      </c>
      <c r="K56" s="15" t="inlineStr">
        <is>
          <t>N/A</t>
        </is>
      </c>
      <c r="L56" s="15" t="inlineStr">
        <is>
          <t>N/A</t>
        </is>
      </c>
      <c r="M56" s="15" t="inlineStr">
        <is>
          <t>Primary SEC and StockAnalysis used; secondary source unavailable or stale for this line.</t>
        </is>
      </c>
      <c r="N56" s="4" t="inlineStr">
        <is>
          <t>Valuation!J36</t>
        </is>
      </c>
    </row>
    <row r="57">
      <c r="A57" s="4" t="inlineStr">
        <is>
          <t>Quote price</t>
        </is>
      </c>
      <c r="B57" s="4" t="inlineStr">
        <is>
          <t>2026-05-22</t>
        </is>
      </c>
      <c r="C57" s="6" t="n">
        <v>180.07</v>
      </c>
      <c r="D57" s="4" t="inlineStr">
        <is>
          <t>USD/share</t>
        </is>
      </c>
      <c r="E57" s="17" t="n">
        <v>180.07</v>
      </c>
      <c r="F57" s="4" t="inlineStr">
        <is>
          <t>StockAnalysis market quote</t>
        </is>
      </c>
      <c r="G57" s="15" t="inlineStr">
        <is>
          <t>Close at 4:00 PM EDT</t>
        </is>
      </c>
      <c r="H57" s="17" t="n">
        <v>180.07</v>
      </c>
      <c r="I57" s="15" t="inlineStr">
        <is>
          <t>https://stockanalysis.com/stocks/crm/</t>
        </is>
      </c>
      <c r="J57" s="4" t="inlineStr">
        <is>
          <t>N/A</t>
        </is>
      </c>
      <c r="K57" s="15" t="inlineStr">
        <is>
          <t>N/A</t>
        </is>
      </c>
      <c r="L57" s="15" t="inlineStr">
        <is>
          <t>None</t>
        </is>
      </c>
      <c r="M57" s="15" t="inlineStr">
        <is>
          <t>Used May 22 close; after-hours not used.</t>
        </is>
      </c>
      <c r="N57" s="4" t="inlineStr">
        <is>
          <t>Valuation!C4</t>
        </is>
      </c>
    </row>
    <row r="58">
      <c r="A58" s="4" t="inlineStr">
        <is>
          <t>Current shares outstanding</t>
        </is>
      </c>
      <c r="B58" s="4" t="inlineStr">
        <is>
          <t>2026-05-22</t>
        </is>
      </c>
      <c r="C58" s="17" t="n">
        <v>818.05</v>
      </c>
      <c r="D58" s="4" t="inlineStr">
        <is>
          <t>mm shares</t>
        </is>
      </c>
      <c r="E58" s="17" t="n">
        <v>818.05</v>
      </c>
      <c r="F58" s="4" t="inlineStr">
        <is>
          <t>StockAnalysis market data</t>
        </is>
      </c>
      <c r="G58" s="15" t="inlineStr">
        <is>
          <t>Post-ASR provisional market data</t>
        </is>
      </c>
      <c r="H58" s="17" t="n">
        <v>818.05</v>
      </c>
      <c r="I58" s="15" t="inlineStr">
        <is>
          <t>https://stockanalysis.com/stocks/crm/</t>
        </is>
      </c>
      <c r="J58" s="4" t="inlineStr">
        <is>
          <t>N/A</t>
        </is>
      </c>
      <c r="K58" s="15" t="inlineStr">
        <is>
          <t>N/A</t>
        </is>
      </c>
      <c r="L58" s="15" t="inlineStr">
        <is>
          <t>None</t>
        </is>
      </c>
      <c r="M58" s="15" t="inlineStr">
        <is>
          <t>Used for current market cap and DCF per-share output.</t>
        </is>
      </c>
      <c r="N58" s="4" t="inlineStr">
        <is>
          <t>Valuation!C6</t>
        </is>
      </c>
    </row>
    <row r="59">
      <c r="A59" s="4" t="inlineStr">
        <is>
          <t>March 2026 senior notes</t>
        </is>
      </c>
      <c r="B59" s="4" t="inlineStr">
        <is>
          <t>2026-03-12</t>
        </is>
      </c>
      <c r="C59" s="17" t="n">
        <v>25000</v>
      </c>
      <c r="D59" s="4" t="inlineStr">
        <is>
          <t>USD $m</t>
        </is>
      </c>
      <c r="E59" s="17" t="n">
        <v>25000</v>
      </c>
      <c r="F59" s="4" t="inlineStr">
        <is>
          <t>SEC 424B2</t>
        </is>
      </c>
      <c r="G59" s="15" t="inlineStr">
        <is>
          <t>0001193125-26-104301; notes issued for ASR</t>
        </is>
      </c>
      <c r="H59" s="17" t="n">
        <v>25000</v>
      </c>
      <c r="I59" s="15" t="inlineStr">
        <is>
          <t>https://www.sec.gov/Archives/edgar/data/1108524/000119312526104301/d29877d424b2.htm</t>
        </is>
      </c>
      <c r="J59" s="4" t="inlineStr">
        <is>
          <t>N/A</t>
        </is>
      </c>
      <c r="K59" s="15" t="inlineStr">
        <is>
          <t>N/A</t>
        </is>
      </c>
      <c r="L59" s="15" t="inlineStr">
        <is>
          <t>None</t>
        </is>
      </c>
      <c r="M59" s="15" t="inlineStr">
        <is>
          <t>Added to FY2026 debt for pro forma EV/WACC.</t>
        </is>
      </c>
      <c r="N59" s="4" t="inlineStr">
        <is>
          <t>Valuation!C9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I3" r:id="rId3"/>
    <hyperlink xmlns:r="http://schemas.openxmlformats.org/officeDocument/2006/relationships" ref="K3" r:id="rId4"/>
    <hyperlink xmlns:r="http://schemas.openxmlformats.org/officeDocument/2006/relationships" ref="I4" r:id="rId5"/>
    <hyperlink xmlns:r="http://schemas.openxmlformats.org/officeDocument/2006/relationships" ref="K4" r:id="rId6"/>
    <hyperlink xmlns:r="http://schemas.openxmlformats.org/officeDocument/2006/relationships" ref="I5" r:id="rId7"/>
    <hyperlink xmlns:r="http://schemas.openxmlformats.org/officeDocument/2006/relationships" ref="K5" r:id="rId8"/>
    <hyperlink xmlns:r="http://schemas.openxmlformats.org/officeDocument/2006/relationships" ref="I6" r:id="rId9"/>
    <hyperlink xmlns:r="http://schemas.openxmlformats.org/officeDocument/2006/relationships" ref="K6" r:id="rId10"/>
    <hyperlink xmlns:r="http://schemas.openxmlformats.org/officeDocument/2006/relationships" ref="I7" r:id="rId11"/>
    <hyperlink xmlns:r="http://schemas.openxmlformats.org/officeDocument/2006/relationships" ref="K7" r:id="rId12"/>
    <hyperlink xmlns:r="http://schemas.openxmlformats.org/officeDocument/2006/relationships" ref="I8" r:id="rId13"/>
    <hyperlink xmlns:r="http://schemas.openxmlformats.org/officeDocument/2006/relationships" ref="K8" r:id="rId14"/>
    <hyperlink xmlns:r="http://schemas.openxmlformats.org/officeDocument/2006/relationships" ref="I9" r:id="rId15"/>
    <hyperlink xmlns:r="http://schemas.openxmlformats.org/officeDocument/2006/relationships" ref="K9" r:id="rId16"/>
    <hyperlink xmlns:r="http://schemas.openxmlformats.org/officeDocument/2006/relationships" ref="I10" r:id="rId17"/>
    <hyperlink xmlns:r="http://schemas.openxmlformats.org/officeDocument/2006/relationships" ref="K10" r:id="rId18"/>
    <hyperlink xmlns:r="http://schemas.openxmlformats.org/officeDocument/2006/relationships" ref="I11" r:id="rId19"/>
    <hyperlink xmlns:r="http://schemas.openxmlformats.org/officeDocument/2006/relationships" ref="K11" r:id="rId20"/>
    <hyperlink xmlns:r="http://schemas.openxmlformats.org/officeDocument/2006/relationships" ref="I12" r:id="rId21"/>
    <hyperlink xmlns:r="http://schemas.openxmlformats.org/officeDocument/2006/relationships" ref="K12" r:id="rId22"/>
    <hyperlink xmlns:r="http://schemas.openxmlformats.org/officeDocument/2006/relationships" ref="I13" r:id="rId23"/>
    <hyperlink xmlns:r="http://schemas.openxmlformats.org/officeDocument/2006/relationships" ref="K13" r:id="rId24"/>
    <hyperlink xmlns:r="http://schemas.openxmlformats.org/officeDocument/2006/relationships" ref="I14" r:id="rId25"/>
    <hyperlink xmlns:r="http://schemas.openxmlformats.org/officeDocument/2006/relationships" ref="K14" r:id="rId26"/>
    <hyperlink xmlns:r="http://schemas.openxmlformats.org/officeDocument/2006/relationships" ref="I15" r:id="rId27"/>
    <hyperlink xmlns:r="http://schemas.openxmlformats.org/officeDocument/2006/relationships" ref="K15" r:id="rId28"/>
    <hyperlink xmlns:r="http://schemas.openxmlformats.org/officeDocument/2006/relationships" ref="I16" r:id="rId29"/>
    <hyperlink xmlns:r="http://schemas.openxmlformats.org/officeDocument/2006/relationships" ref="K16" r:id="rId30"/>
    <hyperlink xmlns:r="http://schemas.openxmlformats.org/officeDocument/2006/relationships" ref="I17" r:id="rId31"/>
    <hyperlink xmlns:r="http://schemas.openxmlformats.org/officeDocument/2006/relationships" ref="K17" r:id="rId32"/>
    <hyperlink xmlns:r="http://schemas.openxmlformats.org/officeDocument/2006/relationships" ref="I18" r:id="rId33"/>
    <hyperlink xmlns:r="http://schemas.openxmlformats.org/officeDocument/2006/relationships" ref="K18" r:id="rId34"/>
    <hyperlink xmlns:r="http://schemas.openxmlformats.org/officeDocument/2006/relationships" ref="I19" r:id="rId35"/>
    <hyperlink xmlns:r="http://schemas.openxmlformats.org/officeDocument/2006/relationships" ref="K19" r:id="rId36"/>
    <hyperlink xmlns:r="http://schemas.openxmlformats.org/officeDocument/2006/relationships" ref="I20" r:id="rId37"/>
    <hyperlink xmlns:r="http://schemas.openxmlformats.org/officeDocument/2006/relationships" ref="K20" r:id="rId38"/>
    <hyperlink xmlns:r="http://schemas.openxmlformats.org/officeDocument/2006/relationships" ref="I21" r:id="rId39"/>
    <hyperlink xmlns:r="http://schemas.openxmlformats.org/officeDocument/2006/relationships" ref="K21" r:id="rId40"/>
    <hyperlink xmlns:r="http://schemas.openxmlformats.org/officeDocument/2006/relationships" ref="I22" r:id="rId41"/>
    <hyperlink xmlns:r="http://schemas.openxmlformats.org/officeDocument/2006/relationships" ref="I23" r:id="rId42"/>
    <hyperlink xmlns:r="http://schemas.openxmlformats.org/officeDocument/2006/relationships" ref="I24" r:id="rId43"/>
    <hyperlink xmlns:r="http://schemas.openxmlformats.org/officeDocument/2006/relationships" ref="I25" r:id="rId44"/>
    <hyperlink xmlns:r="http://schemas.openxmlformats.org/officeDocument/2006/relationships" ref="I26" r:id="rId45"/>
    <hyperlink xmlns:r="http://schemas.openxmlformats.org/officeDocument/2006/relationships" ref="I27" r:id="rId46"/>
    <hyperlink xmlns:r="http://schemas.openxmlformats.org/officeDocument/2006/relationships" ref="I28" r:id="rId47"/>
    <hyperlink xmlns:r="http://schemas.openxmlformats.org/officeDocument/2006/relationships" ref="I29" r:id="rId48"/>
    <hyperlink xmlns:r="http://schemas.openxmlformats.org/officeDocument/2006/relationships" ref="I30" r:id="rId49"/>
    <hyperlink xmlns:r="http://schemas.openxmlformats.org/officeDocument/2006/relationships" ref="I31" r:id="rId50"/>
    <hyperlink xmlns:r="http://schemas.openxmlformats.org/officeDocument/2006/relationships" ref="I32" r:id="rId51"/>
    <hyperlink xmlns:r="http://schemas.openxmlformats.org/officeDocument/2006/relationships" ref="K32" r:id="rId52"/>
    <hyperlink xmlns:r="http://schemas.openxmlformats.org/officeDocument/2006/relationships" ref="I33" r:id="rId53"/>
    <hyperlink xmlns:r="http://schemas.openxmlformats.org/officeDocument/2006/relationships" ref="K33" r:id="rId54"/>
    <hyperlink xmlns:r="http://schemas.openxmlformats.org/officeDocument/2006/relationships" ref="I34" r:id="rId55"/>
    <hyperlink xmlns:r="http://schemas.openxmlformats.org/officeDocument/2006/relationships" ref="K34" r:id="rId56"/>
    <hyperlink xmlns:r="http://schemas.openxmlformats.org/officeDocument/2006/relationships" ref="I35" r:id="rId57"/>
    <hyperlink xmlns:r="http://schemas.openxmlformats.org/officeDocument/2006/relationships" ref="K35" r:id="rId58"/>
    <hyperlink xmlns:r="http://schemas.openxmlformats.org/officeDocument/2006/relationships" ref="I36" r:id="rId59"/>
    <hyperlink xmlns:r="http://schemas.openxmlformats.org/officeDocument/2006/relationships" ref="K36" r:id="rId60"/>
    <hyperlink xmlns:r="http://schemas.openxmlformats.org/officeDocument/2006/relationships" ref="I37" r:id="rId61"/>
    <hyperlink xmlns:r="http://schemas.openxmlformats.org/officeDocument/2006/relationships" ref="I38" r:id="rId62"/>
    <hyperlink xmlns:r="http://schemas.openxmlformats.org/officeDocument/2006/relationships" ref="I39" r:id="rId63"/>
    <hyperlink xmlns:r="http://schemas.openxmlformats.org/officeDocument/2006/relationships" ref="I40" r:id="rId64"/>
    <hyperlink xmlns:r="http://schemas.openxmlformats.org/officeDocument/2006/relationships" ref="I41" r:id="rId65"/>
    <hyperlink xmlns:r="http://schemas.openxmlformats.org/officeDocument/2006/relationships" ref="I42" r:id="rId66"/>
    <hyperlink xmlns:r="http://schemas.openxmlformats.org/officeDocument/2006/relationships" ref="I43" r:id="rId67"/>
    <hyperlink xmlns:r="http://schemas.openxmlformats.org/officeDocument/2006/relationships" ref="I44" r:id="rId68"/>
    <hyperlink xmlns:r="http://schemas.openxmlformats.org/officeDocument/2006/relationships" ref="I45" r:id="rId69"/>
    <hyperlink xmlns:r="http://schemas.openxmlformats.org/officeDocument/2006/relationships" ref="I46" r:id="rId70"/>
    <hyperlink xmlns:r="http://schemas.openxmlformats.org/officeDocument/2006/relationships" ref="I47" r:id="rId71"/>
    <hyperlink xmlns:r="http://schemas.openxmlformats.org/officeDocument/2006/relationships" ref="K47" r:id="rId72"/>
    <hyperlink xmlns:r="http://schemas.openxmlformats.org/officeDocument/2006/relationships" ref="I48" r:id="rId73"/>
    <hyperlink xmlns:r="http://schemas.openxmlformats.org/officeDocument/2006/relationships" ref="K48" r:id="rId74"/>
    <hyperlink xmlns:r="http://schemas.openxmlformats.org/officeDocument/2006/relationships" ref="I49" r:id="rId75"/>
    <hyperlink xmlns:r="http://schemas.openxmlformats.org/officeDocument/2006/relationships" ref="K49" r:id="rId76"/>
    <hyperlink xmlns:r="http://schemas.openxmlformats.org/officeDocument/2006/relationships" ref="I50" r:id="rId77"/>
    <hyperlink xmlns:r="http://schemas.openxmlformats.org/officeDocument/2006/relationships" ref="K50" r:id="rId78"/>
    <hyperlink xmlns:r="http://schemas.openxmlformats.org/officeDocument/2006/relationships" ref="I51" r:id="rId79"/>
    <hyperlink xmlns:r="http://schemas.openxmlformats.org/officeDocument/2006/relationships" ref="K51" r:id="rId80"/>
    <hyperlink xmlns:r="http://schemas.openxmlformats.org/officeDocument/2006/relationships" ref="I52" r:id="rId81"/>
    <hyperlink xmlns:r="http://schemas.openxmlformats.org/officeDocument/2006/relationships" ref="I53" r:id="rId82"/>
    <hyperlink xmlns:r="http://schemas.openxmlformats.org/officeDocument/2006/relationships" ref="I54" r:id="rId83"/>
    <hyperlink xmlns:r="http://schemas.openxmlformats.org/officeDocument/2006/relationships" ref="I55" r:id="rId84"/>
    <hyperlink xmlns:r="http://schemas.openxmlformats.org/officeDocument/2006/relationships" ref="I56" r:id="rId85"/>
    <hyperlink xmlns:r="http://schemas.openxmlformats.org/officeDocument/2006/relationships" ref="I57" r:id="rId86"/>
    <hyperlink xmlns:r="http://schemas.openxmlformats.org/officeDocument/2006/relationships" ref="I58" r:id="rId87"/>
    <hyperlink xmlns:r="http://schemas.openxmlformats.org/officeDocument/2006/relationships" ref="I59" r:id="rId8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B14"/>
  <sheetViews>
    <sheetView showGridLines="0" workbookViewId="0">
      <selection activeCell="A1" sqref="A1"/>
    </sheetView>
  </sheetViews>
  <sheetFormatPr baseColWidth="8" defaultRowHeight="15"/>
  <cols>
    <col width="2.7109375" customWidth="1" min="1" max="1"/>
    <col width="95.7109375" customWidth="1" min="2" max="2"/>
    <col width="18.7109375" customWidth="1" min="3" max="5"/>
  </cols>
  <sheetData>
    <row r="3">
      <c r="B3" s="1" t="inlineStr">
        <is>
          <t>Questions</t>
        </is>
      </c>
    </row>
    <row r="5">
      <c r="B5" s="4" t="inlineStr">
        <is>
          <t>What are Agentforce and Data 360 doing that Microsoft, ServiceNow, Snowflake, Databricks, and AI-native vendors cannot bundle away?</t>
        </is>
      </c>
    </row>
    <row r="6">
      <c r="B6" s="4" t="inlineStr">
        <is>
          <t>Does Agentforce ARR convert into high-quality usage revenue, or is deal count ahead of economic adoption?</t>
        </is>
      </c>
    </row>
    <row r="7">
      <c r="B7" s="4" t="inlineStr">
        <is>
          <t>Will AI agents expand customer workflow value or reduce the number/value of human CRM seats?</t>
        </is>
      </c>
    </row>
    <row r="8">
      <c r="B8" s="4" t="inlineStr">
        <is>
          <t>Can organic cRPO and subscription growth reaccelerate in H2 FY2027 after stripping out Informatica?</t>
        </is>
      </c>
    </row>
    <row r="9">
      <c r="B9" s="4" t="inlineStr">
        <is>
          <t>Is the March 2026 debt-funded ASR value-accretive, or did it reduce balance-sheet flexibility before the AI transition is proven?</t>
        </is>
      </c>
    </row>
    <row r="10">
      <c r="B10" s="4" t="inlineStr">
        <is>
          <t>How much of free cash flow is owner cash flow after full SBC, restructuring, acquisition costs, and integration spend?</t>
        </is>
      </c>
    </row>
    <row r="11">
      <c r="B11" s="4" t="inlineStr">
        <is>
          <t>Will Salesforce continue to improve GAAP operating margin without starving product velocity?</t>
        </is>
      </c>
    </row>
    <row r="12">
      <c r="B12" s="4" t="inlineStr">
        <is>
          <t>How should investors value strategic investments and acquired intangible amortization when measuring owner economics?</t>
        </is>
      </c>
    </row>
    <row r="13">
      <c r="B13" s="4" t="inlineStr">
        <is>
          <t>What would prove that Slack, MuleSoft, Tableau, and Informatica are increasing platform lock-in rather than adding complexity?</t>
        </is>
      </c>
    </row>
    <row r="14">
      <c r="B14" s="4" t="inlineStr">
        <is>
          <t>What evidence would make the bear case decisive: seat pressure, cRPO deceleration, churn, Data 360 weakness, or FCF margin reversal?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4.7109375" customWidth="1" min="1" max="1"/>
    <col width="76.7109375" customWidth="1" min="2" max="2"/>
    <col width="40.7109375" customWidth="1" min="3" max="3"/>
    <col width="70.7109375" customWidth="1" min="4" max="4"/>
  </cols>
  <sheetData>
    <row r="1">
      <c r="A1" s="2" t="inlineStr">
        <is>
          <t>Category</t>
        </is>
      </c>
      <c r="B1" s="2" t="inlineStr">
        <is>
          <t>Source</t>
        </is>
      </c>
      <c r="C1" s="2" t="inlineStr">
        <is>
          <t>Date / as-of</t>
        </is>
      </c>
      <c r="D1" s="2" t="inlineStr">
        <is>
          <t>Use in model</t>
        </is>
      </c>
    </row>
    <row r="2">
      <c r="A2" s="15" t="inlineStr">
        <is>
          <t>Primary filing</t>
        </is>
      </c>
      <c r="B2" s="15" t="inlineStr">
        <is>
          <t>https://www.sec.gov/Archives/edgar/data/1108524/000110852426000060/crm-20260131.htm</t>
        </is>
      </c>
      <c r="C2" s="15" t="inlineStr">
        <is>
          <t>Filed 2026-03-02</t>
        </is>
      </c>
      <c r="D2" s="15" t="inlineStr">
        <is>
          <t>FY2026 Form 10-K; historical statements and balance sheet.</t>
        </is>
      </c>
    </row>
    <row r="3">
      <c r="A3" s="15" t="inlineStr">
        <is>
          <t>Primary XBRL</t>
        </is>
      </c>
      <c r="B3" s="15" t="inlineStr">
        <is>
          <t>https://data.sec.gov/api/xbrl/companyfacts/CIK0001108524.json</t>
        </is>
      </c>
      <c r="C3" s="15" t="inlineStr">
        <is>
          <t>Fetched 2026-05-25</t>
        </is>
      </c>
      <c r="D3" s="15" t="inlineStr">
        <is>
          <t>SEC company facts extraction for actuals and audit values.</t>
        </is>
      </c>
    </row>
    <row r="4">
      <c r="A4" s="15" t="inlineStr">
        <is>
          <t>Company release</t>
        </is>
      </c>
      <c r="B4" s="15" t="inlineStr">
        <is>
          <t>https://www.salesforce.com/news/press-releases/2026/02/25/fy26-q4-earnings/</t>
        </is>
      </c>
      <c r="C4" s="15" t="inlineStr">
        <is>
          <t>2026-02-25</t>
        </is>
      </c>
      <c r="D4" s="15" t="inlineStr">
        <is>
          <t>FY2026 results highlights, FY2027 guidance, RPO, Agentforce ARR, Data 360 metrics.</t>
        </is>
      </c>
    </row>
    <row r="5">
      <c r="A5" s="15" t="inlineStr">
        <is>
          <t>SEC 424B2</t>
        </is>
      </c>
      <c r="B5" s="15" t="inlineStr">
        <is>
          <t>https://www.sec.gov/Archives/edgar/data/1108524/000119312526104301/d29877d424b2.htm</t>
        </is>
      </c>
      <c r="C5" s="15" t="inlineStr">
        <is>
          <t>Filed 2026-03-12</t>
        </is>
      </c>
      <c r="D5" s="15" t="inlineStr">
        <is>
          <t>March 2026 $25B senior notes; coupon schedule and use of proceeds for ASR.</t>
        </is>
      </c>
    </row>
    <row r="6">
      <c r="A6" s="15" t="inlineStr">
        <is>
          <t>SEC 8-K</t>
        </is>
      </c>
      <c r="B6" s="15" t="inlineStr">
        <is>
          <t>https://www.sec.gov/Archives/edgar/data/1108524/000119312526104282/d887348d8k.htm</t>
        </is>
      </c>
      <c r="C6" s="15" t="inlineStr">
        <is>
          <t>Filed 2026-03-12</t>
        </is>
      </c>
      <c r="D6" s="15" t="inlineStr">
        <is>
          <t>ASR agreement terms and 80% initial delivery mechanics.</t>
        </is>
      </c>
    </row>
    <row r="7">
      <c r="A7" s="15" t="inlineStr">
        <is>
          <t>Market data</t>
        </is>
      </c>
      <c r="B7" s="15" t="inlineStr">
        <is>
          <t>https://stockanalysis.com/stocks/crm/</t>
        </is>
      </c>
      <c r="C7" s="15" t="inlineStr">
        <is>
          <t>As of 2026-05-22 close</t>
        </is>
      </c>
      <c r="D7" s="15" t="inlineStr">
        <is>
          <t>Price, shares outstanding, market cap, beta, quote timestamp.</t>
        </is>
      </c>
    </row>
    <row r="8">
      <c r="A8" s="15" t="inlineStr">
        <is>
          <t>Secondary financials</t>
        </is>
      </c>
      <c r="B8" s="15" t="inlineStr">
        <is>
          <t>https://stockanalysis.com/stocks/crm/financials/</t>
        </is>
      </c>
      <c r="C8" s="15" t="inlineStr">
        <is>
          <t>Pulled 2026-05-25</t>
        </is>
      </c>
      <c r="D8" s="15" t="inlineStr">
        <is>
          <t>Income statement and headline FCF cross-check.</t>
        </is>
      </c>
    </row>
    <row r="9">
      <c r="A9" s="15" t="inlineStr">
        <is>
          <t>Secondary financials</t>
        </is>
      </c>
      <c r="B9" s="15" t="inlineStr">
        <is>
          <t>https://stockanalysis.com/stocks/crm/financials/cash-flow-statement/</t>
        </is>
      </c>
      <c r="C9" s="15" t="inlineStr">
        <is>
          <t>Pulled 2026-05-25</t>
        </is>
      </c>
      <c r="D9" s="15" t="inlineStr">
        <is>
          <t>Operating cash flow, capex, FCF cross-check.</t>
        </is>
      </c>
    </row>
    <row r="10">
      <c r="A10" s="15" t="inlineStr">
        <is>
          <t>Secondary financials</t>
        </is>
      </c>
      <c r="B10" s="15" t="inlineStr">
        <is>
          <t>https://stockanalysis.com/stocks/crm/financials/balance-sheet/</t>
        </is>
      </c>
      <c r="C10" s="15" t="inlineStr">
        <is>
          <t>Pulled 2026-05-25</t>
        </is>
      </c>
      <c r="D10" s="15" t="inlineStr">
        <is>
          <t>Cash, short-term investments, debt cross-check.</t>
        </is>
      </c>
    </row>
    <row r="11">
      <c r="A11" s="15" t="inlineStr">
        <is>
          <t>Secondary financials</t>
        </is>
      </c>
      <c r="B11" s="15" t="inlineStr">
        <is>
          <t>https://www.macrotrends.net/stocks/charts/CRM/salesforce/revenue</t>
        </is>
      </c>
      <c r="C11" s="15" t="inlineStr">
        <is>
          <t>Pulled 2026-05-25</t>
        </is>
      </c>
      <c r="D11" s="15" t="inlineStr">
        <is>
          <t>Revenue cross-check.</t>
        </is>
      </c>
    </row>
    <row r="12">
      <c r="A12" s="15" t="inlineStr">
        <is>
          <t>Secondary financials</t>
        </is>
      </c>
      <c r="B12" s="15" t="inlineStr">
        <is>
          <t>https://www.macrotrends.net/stocks/charts/CRM/salesforce/gross-profit</t>
        </is>
      </c>
      <c r="C12" s="15" t="inlineStr">
        <is>
          <t>Pulled 2026-05-25</t>
        </is>
      </c>
      <c r="D12" s="15" t="inlineStr">
        <is>
          <t>Gross profit cross-check.</t>
        </is>
      </c>
    </row>
    <row r="13">
      <c r="A13" s="15" t="inlineStr">
        <is>
          <t>Secondary financials</t>
        </is>
      </c>
      <c r="B13" s="15" t="inlineStr">
        <is>
          <t>https://www.macrotrends.net/stocks/charts/CRM/salesforce/operating-income</t>
        </is>
      </c>
      <c r="C13" s="15" t="inlineStr">
        <is>
          <t>Pulled 2026-05-25</t>
        </is>
      </c>
      <c r="D13" s="15" t="inlineStr">
        <is>
          <t>Operating income cross-check.</t>
        </is>
      </c>
    </row>
    <row r="14">
      <c r="A14" s="15" t="inlineStr">
        <is>
          <t>Secondary financials</t>
        </is>
      </c>
      <c r="B14" s="15" t="inlineStr">
        <is>
          <t>https://www.macrotrends.net/stocks/charts/CRM/salesforce/net-income</t>
        </is>
      </c>
      <c r="C14" s="15" t="inlineStr">
        <is>
          <t>Pulled 2026-05-25</t>
        </is>
      </c>
      <c r="D14" s="15" t="inlineStr">
        <is>
          <t>Net income cross-check.</t>
        </is>
      </c>
    </row>
    <row r="15">
      <c r="A15" s="15" t="inlineStr">
        <is>
          <t>Rates</t>
        </is>
      </c>
      <c r="B15" s="15" t="inlineStr">
        <is>
          <t>https://www.treasury.gov/resource-center/data-chart-center/interest-rates/pages/textview.aspx?data=daily_treasury_yield_curve</t>
        </is>
      </c>
      <c r="C15" s="15" t="inlineStr">
        <is>
          <t>May 2026 latest daily rate</t>
        </is>
      </c>
      <c r="D15" s="15" t="inlineStr">
        <is>
          <t>10-year U.S. Treasury rate / risk-free input cross-check.</t>
        </is>
      </c>
    </row>
    <row r="16">
      <c r="A16" s="15" t="inlineStr">
        <is>
          <t>ERP</t>
        </is>
      </c>
      <c r="B16" s="15" t="inlineStr">
        <is>
          <t>https://www.kroll.com/en/insights/publications/cost-of-capital/recommended-us-equity-risk-premium-and-corresponding-risk-free-rates</t>
        </is>
      </c>
      <c r="C16" s="15" t="inlineStr">
        <is>
          <t>2026 public update</t>
        </is>
      </c>
      <c r="D16" s="15" t="inlineStr">
        <is>
          <t>U.S. ERP sanity check; rounded to 5.0%.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Salesforce DCF Model</dc:title>
  <dc:description>Static market data as of 2026-05-22 close; model date 2026-05-25.</dc:description>
  <dc:subject>DCF valuation model for Salesforce, Inc. (CRM)</dc:subject>
  <dcterms:created xsi:type="dcterms:W3CDTF">2026-05-25T15:47:08Z</dcterms:created>
  <dcterms:modified xsi:type="dcterms:W3CDTF">2026-05-25T15:48:06Z</dcterms:modified>
  <cp:lastModifiedBy>Codex</cp:lastModifiedBy>
</cp:coreProperties>
</file>