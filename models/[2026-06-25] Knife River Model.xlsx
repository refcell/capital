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0" customWidth="1" min="3" max="3"/>
  </cols>
  <sheetData>
    <row r="1">
      <c r="A1" s="1" t="inlineStr">
        <is>
          <t>Knife River Corporation (KNF) - Valuation Model</t>
        </is>
      </c>
    </row>
    <row r="2">
      <c r="A2" s="2" t="inlineStr">
        <is>
          <t>Company:</t>
        </is>
      </c>
      <c r="B2" t="inlineStr">
        <is>
          <t>Knife River Corporation</t>
        </is>
      </c>
    </row>
    <row r="3">
      <c r="A3" s="2" t="inlineStr">
        <is>
          <t>Ticker:</t>
        </is>
      </c>
      <c r="B3" t="inlineStr">
        <is>
          <t>NYSE: KNF</t>
        </is>
      </c>
    </row>
    <row r="4">
      <c r="A4" s="2" t="inlineStr">
        <is>
          <t>Sector:</t>
        </is>
      </c>
      <c r="B4" t="inlineStr">
        <is>
          <t>Materials - Aggregates / Construction Materials</t>
        </is>
      </c>
    </row>
    <row r="5">
      <c r="A5" s="2" t="inlineStr">
        <is>
          <t>Date:</t>
        </is>
      </c>
      <c r="B5" t="inlineStr">
        <is>
          <t>2026-06-25</t>
        </is>
      </c>
    </row>
    <row r="6">
      <c r="A6" s="2" t="inlineStr">
        <is>
          <t>Source Date:</t>
        </is>
      </c>
      <c r="B6" t="inlineStr">
        <is>
          <t>Yahoo Finance, 2026-06-25 close</t>
        </is>
      </c>
    </row>
    <row r="7">
      <c r="A7" s="2" t="inlineStr">
        <is>
          <t>Price:</t>
        </is>
      </c>
      <c r="B7" t="inlineStr">
        <is>
          <t>$92.90</t>
        </is>
      </c>
    </row>
    <row r="8">
      <c r="A8" s="2" t="inlineStr">
        <is>
          <t>Shares Outstanding:</t>
        </is>
      </c>
      <c r="B8" t="inlineStr">
        <is>
          <t>56.75M (per Yahoo Finance Statistics)</t>
        </is>
      </c>
    </row>
    <row r="9">
      <c r="A9" s="2" t="inlineStr">
        <is>
          <t>Market Cap:</t>
        </is>
      </c>
      <c r="B9" t="inlineStr">
        <is>
          <t>$5.15B</t>
        </is>
      </c>
    </row>
    <row r="10">
      <c r="A10" s="2" t="inlineStr">
        <is>
          <t>Enterprise Value:</t>
        </is>
      </c>
      <c r="B10" t="inlineStr">
        <is>
          <t>$6.62B (MC $5.15B - Cash ~$13M + Debt ~$1.48B)</t>
        </is>
      </c>
    </row>
    <row r="11">
      <c r="A11" s="2" t="inlineStr">
        <is>
          <t>Primary Lens:</t>
        </is>
      </c>
      <c r="B11" t="inlineStr">
        <is>
          <t>Forward P/E + EV/EBITDA; FCF scenarios with WACC</t>
        </is>
      </c>
    </row>
    <row r="12">
      <c r="A12" s="2" t="inlineStr">
        <is>
          <t>Stance:</t>
        </is>
      </c>
      <c r="B12" t="inlineStr">
        <is>
          <t>Watch — strong OCF generation compressed by acquisition-related capex cycle and leverage increase</t>
        </is>
      </c>
    </row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Comment</t>
        </is>
      </c>
    </row>
    <row r="15">
      <c r="A15" s="4" t="inlineStr">
        <is>
          <t>Trailing P/E</t>
        </is>
      </c>
      <c r="B15" s="4" t="inlineStr">
        <is>
          <t>36.1x</t>
        </is>
      </c>
      <c r="C15" s="4" t="inlineStr">
        <is>
          <t>TTM dil EPS $2.57; elevated vs. 5-yr avg ~25-30x</t>
        </is>
      </c>
    </row>
    <row r="16">
      <c r="A16" s="4" t="inlineStr">
        <is>
          <t>Forward P/E (FY2026)</t>
        </is>
      </c>
      <c r="B16" s="4" t="inlineStr">
        <is>
          <t>27.5x</t>
        </is>
      </c>
      <c r="C16" s="4" t="inlineStr">
        <is>
          <t>Based on FY2026 EPS consensus $3.38 (9 analysts)</t>
        </is>
      </c>
    </row>
    <row r="17">
      <c r="A17" s="4" t="inlineStr">
        <is>
          <t>P/S (TTM)</t>
        </is>
      </c>
      <c r="B17" s="4" t="inlineStr">
        <is>
          <t>1.61x</t>
        </is>
      </c>
      <c r="C17" s="4" t="inlineStr">
        <is>
          <t>TTM revenue $3.20B; reasonable for aggregates sector</t>
        </is>
      </c>
    </row>
    <row r="18">
      <c r="A18" s="4" t="inlineStr">
        <is>
          <t>P/FCF (TTM)</t>
        </is>
      </c>
      <c r="B18" s="4" t="inlineStr">
        <is>
          <t>N/A</t>
        </is>
      </c>
      <c r="C18" s="4" t="inlineStr">
        <is>
          <t>FCF TTM negative (-$5.2M) due to capex spike from $172M to $348M</t>
        </is>
      </c>
    </row>
    <row r="19">
      <c r="A19" s="4" t="inlineStr">
        <is>
          <t>EV/FCF (TTM)</t>
        </is>
      </c>
      <c r="B19" s="4" t="inlineStr">
        <is>
          <t>N/A</t>
        </is>
      </c>
      <c r="C19" s="4" t="inlineStr">
        <is>
          <t>FCF negative; driven by cyclical capex compression</t>
        </is>
      </c>
    </row>
    <row r="20">
      <c r="A20" s="4" t="inlineStr">
        <is>
          <t>EV/Sales</t>
        </is>
      </c>
      <c r="B20" s="4" t="inlineStr">
        <is>
          <t>2.07x</t>
        </is>
      </c>
      <c r="C20" s="4" t="inlineStr">
        <is>
          <t>EV $6.62B / TTM rev $3.20B; includes acquisition-related debt step-up</t>
        </is>
      </c>
    </row>
    <row r="21">
      <c r="A21" s="4" t="inlineStr">
        <is>
          <t>EV/EBITDA</t>
        </is>
      </c>
      <c r="B21" s="4" t="inlineStr">
        <is>
          <t>13.4x</t>
        </is>
      </c>
      <c r="C21" s="4" t="inlineStr">
        <is>
          <t>EV $6.62B / EBITDA $493M; in line with VMC/MLM at 12-15x</t>
        </is>
      </c>
    </row>
    <row r="22">
      <c r="A22" s="4" t="inlineStr">
        <is>
          <t>P/B</t>
        </is>
      </c>
      <c r="B22" s="4" t="inlineStr">
        <is>
          <t>3.14x</t>
        </is>
      </c>
      <c r="C22" s="4" t="inlineStr">
        <is>
          <t>MC $5.15B / equity $1.64B; above historical range ~2.5-3.0x</t>
        </is>
      </c>
    </row>
    <row r="23">
      <c r="A23" s="4" t="inlineStr">
        <is>
          <t>PEG Ratio (5yr)</t>
        </is>
      </c>
      <c r="B23" s="4" t="inlineStr">
        <is>
          <t>1.62x</t>
        </is>
      </c>
      <c r="C23" s="4" t="inlineStr">
        <is>
          <t>Per Yahoo Finance; moderate growth premium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75" customWidth="1" min="3" max="3"/>
  </cols>
  <sheetData>
    <row r="1">
      <c r="A1" s="5" t="inlineStr">
        <is>
          <t>WACC Calculation - CAPM Method</t>
        </is>
      </c>
    </row>
    <row r="2">
      <c r="A2" s="3" t="inlineStr">
        <is>
          <t>Component</t>
        </is>
      </c>
      <c r="B2" s="3" t="inlineStr">
        <is>
          <t>Value</t>
        </is>
      </c>
      <c r="C2" s="3" t="inlineStr">
        <is>
          <t>Source / Notes</t>
        </is>
      </c>
    </row>
    <row r="3">
      <c r="A3" s="4" t="inlineStr">
        <is>
          <t>Risk-Free Rate (10Y US)</t>
        </is>
      </c>
      <c r="B3" s="4" t="inlineStr">
        <is>
          <t>4.394%</t>
        </is>
      </c>
      <c r="C3" s="4" t="inlineStr">
        <is>
          <t>CNBC US10Y, 2026-06-25, yield 4.394%</t>
        </is>
      </c>
    </row>
    <row r="4">
      <c r="A4" s="4" t="inlineStr">
        <is>
          <t>Beta (5Y Monthly)</t>
        </is>
      </c>
      <c r="B4" s="4" t="inlineStr">
        <is>
          <t>0.53</t>
        </is>
      </c>
      <c r="C4" s="4" t="inlineStr">
        <is>
          <t>Yahoo Finance Statistics; low beta typical for aggregates</t>
        </is>
      </c>
    </row>
    <row r="5">
      <c r="A5" s="4" t="inlineStr">
        <is>
          <t>Equity Risk Premium</t>
        </is>
      </c>
      <c r="B5" s="4" t="inlineStr">
        <is>
          <t>5.00%</t>
        </is>
      </c>
      <c r="C5" s="4" t="inlineStr">
        <is>
          <t>Standard assumption</t>
        </is>
      </c>
    </row>
    <row r="6">
      <c r="A6" s="4" t="inlineStr">
        <is>
          <t>Cost of Equity (Rf + Beta*ERP)</t>
        </is>
      </c>
      <c r="B6" s="4" t="inlineStr">
        <is>
          <t>7.04%</t>
        </is>
      </c>
      <c r="C6" s="4">
        <f> 4.394% + 0.53 * 5.00%</f>
        <v/>
      </c>
    </row>
    <row r="7">
      <c r="A7" s="4" t="inlineStr">
        <is>
          <t>Market Cap</t>
        </is>
      </c>
      <c r="B7" s="4" t="inlineStr">
        <is>
          <t>$5,150M</t>
        </is>
      </c>
      <c r="C7" s="4" t="inlineStr">
        <is>
          <t>Yahoo Finance, 2026-06-25</t>
        </is>
      </c>
    </row>
    <row r="8">
      <c r="A8" s="4" t="inlineStr">
        <is>
          <t>Total Debt (MRQ)</t>
        </is>
      </c>
      <c r="B8" s="4" t="inlineStr">
        <is>
          <t>$1,480M</t>
        </is>
      </c>
      <c r="C8" s="4" t="inlineStr">
        <is>
          <t>Yahoo Finance Balance Sheet, MRQ 2026-03-31</t>
        </is>
      </c>
    </row>
    <row r="9">
      <c r="A9" s="4" t="inlineStr">
        <is>
          <t>Cash (MRQ)</t>
        </is>
      </c>
      <c r="B9" s="4" t="inlineStr">
        <is>
          <t>$13.4M</t>
        </is>
      </c>
      <c r="C9" s="4" t="inlineStr">
        <is>
          <t>Yahoo Finance Balance Sheet, MRQ</t>
        </is>
      </c>
    </row>
    <row r="10">
      <c r="A10" s="4" t="inlineStr">
        <is>
          <t>Total Capitalization (E+D)</t>
        </is>
      </c>
      <c r="B10" s="4" t="inlineStr">
        <is>
          <t>$6,630M</t>
        </is>
      </c>
      <c r="C10" s="4" t="inlineStr">
        <is>
          <t>MC + Debt</t>
        </is>
      </c>
    </row>
    <row r="11">
      <c r="A11" s="4" t="inlineStr">
        <is>
          <t>Equity Weight</t>
        </is>
      </c>
      <c r="B11" s="4" t="inlineStr">
        <is>
          <t>77.7%</t>
        </is>
      </c>
      <c r="C11" s="4" t="inlineStr">
        <is>
          <t>MC / (MC + Debt)</t>
        </is>
      </c>
    </row>
    <row r="12">
      <c r="A12" s="4" t="inlineStr">
        <is>
          <t>Debt Weight</t>
        </is>
      </c>
      <c r="B12" s="4" t="inlineStr">
        <is>
          <t>22.3%</t>
        </is>
      </c>
      <c r="C12" s="4" t="inlineStr">
        <is>
          <t>Debt / (MC + Debt)</t>
        </is>
      </c>
    </row>
    <row r="13">
      <c r="A13" s="4" t="inlineStr">
        <is>
          <t>Pre-Tax Cost of Debt</t>
        </is>
      </c>
      <c r="B13" s="4" t="inlineStr">
        <is>
          <t>6.50%</t>
        </is>
      </c>
      <c r="C13" s="4" t="inlineStr">
        <is>
          <t>Estimated investment-grade corporate rate; significant leverage post-acquisition</t>
        </is>
      </c>
    </row>
    <row r="14">
      <c r="A14" s="4" t="inlineStr">
        <is>
          <t>Tax Rate (effective TTM)</t>
        </is>
      </c>
      <c r="B14" s="4" t="inlineStr">
        <is>
          <t>26.3%</t>
        </is>
      </c>
      <c r="C14" s="4" t="inlineStr">
        <is>
          <t>TTM tax provision $52.3M / pretax income $199.0M</t>
        </is>
      </c>
    </row>
    <row r="15">
      <c r="A15" s="4" t="inlineStr">
        <is>
          <t>WACC</t>
        </is>
      </c>
      <c r="B15" s="4" t="inlineStr">
        <is>
          <t>6.54%</t>
        </is>
      </c>
      <c r="C15" s="4">
        <f> 0.777 * 7.04% + 0.223 * 6.5% * (1 - 0.263)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Scenario Analysis - Bear / Base / Bull</t>
        </is>
      </c>
    </row>
    <row r="2">
      <c r="A2" s="3" t="inlineStr">
        <is>
          <t>Item</t>
        </is>
      </c>
      <c r="B2" s="3" t="inlineStr">
        <is>
          <t>Bear</t>
        </is>
      </c>
      <c r="C2" s="3" t="inlineStr">
        <is>
          <t>Base</t>
        </is>
      </c>
      <c r="D2" s="3" t="inlineStr">
        <is>
          <t>Bull</t>
        </is>
      </c>
    </row>
    <row r="3">
      <c r="A3" s="4" t="inlineStr">
        <is>
          <t>Revenue CAGR (5Y)</t>
        </is>
      </c>
      <c r="B3" s="6" t="inlineStr">
        <is>
          <t>3.0%</t>
        </is>
      </c>
      <c r="C3" s="7" t="inlineStr">
        <is>
          <t>7.0%</t>
        </is>
      </c>
      <c r="D3" s="8" t="inlineStr">
        <is>
          <t>11.0%</t>
        </is>
      </c>
    </row>
    <row r="4">
      <c r="A4" s="4" t="inlineStr">
        <is>
          <t>FY2026 Revenue ($M)</t>
        </is>
      </c>
      <c r="B4" s="6" t="inlineStr">
        <is>
          <t>$3,440</t>
        </is>
      </c>
      <c r="C4" s="7" t="inlineStr">
        <is>
          <t>$3,440</t>
        </is>
      </c>
      <c r="D4" s="8" t="inlineStr">
        <is>
          <t>$3,440</t>
        </is>
      </c>
    </row>
    <row r="5">
      <c r="A5" s="4" t="inlineStr">
        <is>
          <t>Terminal Revenue (5Y) ($M)</t>
        </is>
      </c>
      <c r="B5" s="6" t="inlineStr">
        <is>
          <t>$3,970</t>
        </is>
      </c>
      <c r="C5" s="7" t="inlineStr">
        <is>
          <t>$4,811</t>
        </is>
      </c>
      <c r="D5" s="8" t="inlineStr">
        <is>
          <t>$5,792</t>
        </is>
      </c>
    </row>
    <row r="6">
      <c r="A6" s="4" t="inlineStr">
        <is>
          <t>Adjusted FCF Margin</t>
        </is>
      </c>
      <c r="B6" s="6" t="inlineStr">
        <is>
          <t>5.0%</t>
        </is>
      </c>
      <c r="C6" s="7" t="inlineStr">
        <is>
          <t>8.0%</t>
        </is>
      </c>
      <c r="D6" s="8" t="inlineStr">
        <is>
          <t>12.0%</t>
        </is>
      </c>
    </row>
    <row r="7">
      <c r="A7" s="4" t="inlineStr">
        <is>
          <t>Terminal FCF ($M)</t>
        </is>
      </c>
      <c r="B7" s="6" t="inlineStr">
        <is>
          <t>$199</t>
        </is>
      </c>
      <c r="C7" s="7" t="inlineStr">
        <is>
          <t>$385</t>
        </is>
      </c>
      <c r="D7" s="8" t="inlineStr">
        <is>
          <t>$695</t>
        </is>
      </c>
    </row>
    <row r="8">
      <c r="A8" s="4" t="inlineStr">
        <is>
          <t>Exit FCF Multiple</t>
        </is>
      </c>
      <c r="B8" s="6" t="inlineStr">
        <is>
          <t>10x</t>
        </is>
      </c>
      <c r="C8" s="7" t="inlineStr">
        <is>
          <t>14x</t>
        </is>
      </c>
      <c r="D8" s="8" t="inlineStr">
        <is>
          <t>18x</t>
        </is>
      </c>
    </row>
    <row r="9">
      <c r="A9" s="4" t="inlineStr">
        <is>
          <t>Implied EV ($M)</t>
        </is>
      </c>
      <c r="B9" s="6" t="inlineStr">
        <is>
          <t>$1,990</t>
        </is>
      </c>
      <c r="C9" s="7" t="inlineStr">
        <is>
          <t>$5,387</t>
        </is>
      </c>
      <c r="D9" s="8" t="inlineStr">
        <is>
          <t>$12,510</t>
        </is>
      </c>
    </row>
    <row r="10">
      <c r="A10" s="4" t="inlineStr">
        <is>
          <t>Less Net Debt Adj ($M)</t>
        </is>
      </c>
      <c r="B10" s="6" t="inlineStr">
        <is>
          <t>-$900</t>
        </is>
      </c>
      <c r="C10" s="7" t="inlineStr">
        <is>
          <t>-$700</t>
        </is>
      </c>
      <c r="D10" s="8" t="inlineStr">
        <is>
          <t>-$300</t>
        </is>
      </c>
    </row>
    <row r="11">
      <c r="A11" s="4" t="inlineStr">
        <is>
          <t>Equity Value ($M)</t>
        </is>
      </c>
      <c r="B11" s="4" t="inlineStr">
        <is>
          <t>$1,090</t>
        </is>
      </c>
      <c r="C11" s="4" t="inlineStr">
        <is>
          <t>$4,687</t>
        </is>
      </c>
      <c r="D11" s="4" t="inlineStr">
        <is>
          <t>$12,210</t>
        </is>
      </c>
    </row>
    <row r="12">
      <c r="A12" s="4" t="inlineStr">
        <is>
          <t>Shares Outstanding (M)</t>
        </is>
      </c>
      <c r="B12" s="4" t="inlineStr">
        <is>
          <t>56.75</t>
        </is>
      </c>
      <c r="C12" s="4" t="inlineStr">
        <is>
          <t>56.75</t>
        </is>
      </c>
      <c r="D12" s="4" t="inlineStr">
        <is>
          <t>56.75</t>
        </is>
      </c>
    </row>
    <row r="13">
      <c r="A13" s="4" t="inlineStr">
        <is>
          <t>Target Price</t>
        </is>
      </c>
      <c r="B13" s="4" t="inlineStr">
        <is>
          <t>$19.20</t>
        </is>
      </c>
      <c r="C13" s="4" t="inlineStr">
        <is>
          <t>$82.60</t>
        </is>
      </c>
      <c r="D13" s="4" t="inlineStr">
        <is>
          <t>$215.10</t>
        </is>
      </c>
    </row>
    <row r="14">
      <c r="A14" s="4" t="inlineStr">
        <is>
          <t>Upside from $92.90</t>
        </is>
      </c>
      <c r="B14" s="4" t="inlineStr">
        <is>
          <t>-79.2%</t>
        </is>
      </c>
      <c r="C14" s="4" t="inlineStr">
        <is>
          <t>-11.0%</t>
        </is>
      </c>
      <c r="D14" s="4" t="inlineStr">
        <is>
          <t>+131.8%</t>
        </is>
      </c>
    </row>
    <row r="15">
      <c r="A15" s="4" t="inlineStr">
        <is>
          <t>Weight</t>
        </is>
      </c>
      <c r="B15" s="4" t="inlineStr">
        <is>
          <t>20%</t>
        </is>
      </c>
      <c r="C15" s="4" t="inlineStr">
        <is>
          <t>50%</t>
        </is>
      </c>
      <c r="D15" s="4" t="inlineStr">
        <is>
          <t>30%</t>
        </is>
      </c>
    </row>
    <row r="16">
      <c r="A16" s="4" t="inlineStr">
        <is>
          <t>Weighted Value/Share</t>
        </is>
      </c>
      <c r="B16" s="4" t="inlineStr">
        <is>
          <t>$3.84</t>
        </is>
      </c>
      <c r="C16" s="4" t="inlineStr">
        <is>
          <t>$41.30</t>
        </is>
      </c>
      <c r="D16" s="4" t="inlineStr">
        <is>
          <t>$64.53</t>
        </is>
      </c>
    </row>
    <row r="18">
      <c r="A18" s="2" t="inlineStr">
        <is>
          <t>Total Probability-Weighted FV</t>
        </is>
      </c>
      <c r="D18" s="2" t="inlineStr">
        <is>
          <t>$109.67</t>
        </is>
      </c>
    </row>
    <row r="19">
      <c r="A19" s="2" t="inlineStr">
        <is>
          <t>Upside from Current ($92.90)</t>
        </is>
      </c>
      <c r="D19" s="2" t="inlineStr">
        <is>
          <t>18.1%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5" customWidth="1" min="3" max="3"/>
    <col width="18" customWidth="1" min="4" max="4"/>
    <col width="50" customWidth="1" min="5" max="5"/>
  </cols>
  <sheetData>
    <row r="1">
      <c r="A1" s="5" t="inlineStr">
        <is>
          <t>Actuals Source Audit</t>
        </is>
      </c>
    </row>
    <row r="2">
      <c r="A2" s="3" t="inlineStr">
        <is>
          <t>Data Point</t>
        </is>
      </c>
      <c r="B2" s="3" t="inlineStr">
        <is>
          <t>Value</t>
        </is>
      </c>
      <c r="C2" s="3" t="inlineStr">
        <is>
          <t>Source</t>
        </is>
      </c>
      <c r="D2" s="3" t="inlineStr">
        <is>
          <t>Date</t>
        </is>
      </c>
      <c r="E2" s="3" t="inlineStr">
        <is>
          <t>Notes</t>
        </is>
      </c>
    </row>
    <row r="3">
      <c r="A3" s="4" t="inlineStr">
        <is>
          <t>Stock Price</t>
        </is>
      </c>
      <c r="B3" s="4" t="inlineStr">
        <is>
          <t>$92.90</t>
        </is>
      </c>
      <c r="C3" s="4" t="inlineStr">
        <is>
          <t>Yahoo Finance</t>
        </is>
      </c>
      <c r="D3" s="4" t="inlineStr">
        <is>
          <t>2026-06-25</t>
        </is>
      </c>
      <c r="E3" s="4" t="inlineStr">
        <is>
          <t>Close price; after hours $93.50</t>
        </is>
      </c>
    </row>
    <row r="4">
      <c r="A4" s="4" t="inlineStr">
        <is>
          <t>Market Cap</t>
        </is>
      </c>
      <c r="B4" s="4" t="inlineStr">
        <is>
          <t>$5.15B</t>
        </is>
      </c>
      <c r="C4" s="4" t="inlineStr">
        <is>
          <t>Yahoo Finance Statistics</t>
        </is>
      </c>
      <c r="D4" s="4" t="inlineStr">
        <is>
          <t>2026-06-25</t>
        </is>
      </c>
      <c r="E4" s="4" t="inlineStr">
        <is>
          <t>Quarterly view, Current tab</t>
        </is>
      </c>
    </row>
    <row r="5">
      <c r="A5" s="4" t="inlineStr">
        <is>
          <t>Enterprise Value</t>
        </is>
      </c>
      <c r="B5" s="4" t="inlineStr">
        <is>
          <t>$6.62B</t>
        </is>
      </c>
      <c r="C5" s="4" t="inlineStr">
        <is>
          <t>Yahoo Finance Statistics</t>
        </is>
      </c>
      <c r="D5" s="4" t="inlineStr">
        <is>
          <t>2026-06-25</t>
        </is>
      </c>
      <c r="E5" s="4" t="inlineStr">
        <is>
          <t>MC - Cash + Debt; includes acq debt</t>
        </is>
      </c>
    </row>
    <row r="6">
      <c r="A6" s="4" t="inlineStr">
        <is>
          <t>Total Debt (MRQ)</t>
        </is>
      </c>
      <c r="B6" s="4" t="inlineStr">
        <is>
          <t>$1.48B</t>
        </is>
      </c>
      <c r="C6" s="4" t="inlineStr">
        <is>
          <t>Yahoo Finance Statistics</t>
        </is>
      </c>
      <c r="D6" s="4" t="inlineStr">
        <is>
          <t>2026-03-31 MRQ</t>
        </is>
      </c>
      <c r="E6" s="4" t="inlineStr">
        <is>
          <t>Up from $0.727B in FY2024 - acq driven</t>
        </is>
      </c>
    </row>
    <row r="7">
      <c r="A7" s="4" t="inlineStr">
        <is>
          <t>Cash (MRQ)</t>
        </is>
      </c>
      <c r="B7" s="4" t="inlineStr">
        <is>
          <t>$13.35M</t>
        </is>
      </c>
      <c r="C7" s="4" t="inlineStr">
        <is>
          <t>Yahoo Finance Statistics</t>
        </is>
      </c>
      <c r="D7" s="4" t="inlineStr">
        <is>
          <t>2026-03-31 MRQ</t>
        </is>
      </c>
      <c r="E7" s="4" t="inlineStr">
        <is>
          <t>Down from $176M FY25; likely acq payoff</t>
        </is>
      </c>
    </row>
    <row r="8">
      <c r="A8" s="4" t="inlineStr">
        <is>
          <t>Shares Outstanding</t>
        </is>
      </c>
      <c r="B8" s="4" t="inlineStr">
        <is>
          <t>56.75M</t>
        </is>
      </c>
      <c r="C8" s="4" t="inlineStr">
        <is>
          <t>Yahoo Finance Statistics</t>
        </is>
      </c>
      <c r="D8" s="4" t="inlineStr">
        <is>
          <t>2026-06-25</t>
        </is>
      </c>
      <c r="E8" s="4" t="inlineStr">
        <is>
          <t>Stable; +0.09M vs. FY2025</t>
        </is>
      </c>
    </row>
    <row r="9">
      <c r="A9" s="4" t="inlineStr">
        <is>
          <t>Beta</t>
        </is>
      </c>
      <c r="B9" s="4" t="inlineStr">
        <is>
          <t>0.53</t>
        </is>
      </c>
      <c r="C9" s="4" t="inlineStr">
        <is>
          <t>Yahoo Finance Statistics</t>
        </is>
      </c>
      <c r="D9" s="4" t="inlineStr">
        <is>
          <t>5Y Monthly</t>
        </is>
      </c>
      <c r="E9" s="4" t="inlineStr">
        <is>
          <t>Low beta; aggregates sector typical</t>
        </is>
      </c>
    </row>
    <row r="10">
      <c r="A10" s="4" t="inlineStr">
        <is>
          <t>TTM Revenue</t>
        </is>
      </c>
      <c r="B10" s="4" t="inlineStr">
        <is>
          <t>$3.203B</t>
        </is>
      </c>
      <c r="C10" s="4" t="inlineStr">
        <is>
          <t>Yahoo Finance Income Statement</t>
        </is>
      </c>
      <c r="D10" s="4" t="inlineStr">
        <is>
          <t>TTM as of 2026-06-25</t>
        </is>
      </c>
      <c r="E10" s="4" t="inlineStr">
        <is>
          <t>+1.8% vs FY2025 $3.146B</t>
        </is>
      </c>
    </row>
    <row r="11">
      <c r="A11" s="4" t="inlineStr">
        <is>
          <t>TTM Gross Profit</t>
        </is>
      </c>
      <c r="B11" s="4" t="inlineStr">
        <is>
          <t>$584.2M</t>
        </is>
      </c>
      <c r="C11" s="4" t="inlineStr">
        <is>
          <t>Yahoo Finance Income Statement</t>
        </is>
      </c>
      <c r="D11" s="4" t="inlineStr">
        <is>
          <t>TTM</t>
        </is>
      </c>
      <c r="E11" s="4" t="inlineStr">
        <is>
          <t>GP margin 18.2%</t>
        </is>
      </c>
    </row>
    <row r="12">
      <c r="A12" s="4" t="inlineStr">
        <is>
          <t>TTM Operating Income</t>
        </is>
      </c>
      <c r="B12" s="4" t="inlineStr">
        <is>
          <t>$282.3M</t>
        </is>
      </c>
      <c r="C12" s="4" t="inlineStr">
        <is>
          <t>Yahoo Finance Income Statement</t>
        </is>
      </c>
      <c r="D12" s="4" t="inlineStr">
        <is>
          <t>TTM</t>
        </is>
      </c>
      <c r="E12" s="4" t="inlineStr">
        <is>
          <t>Op margin 8.8%</t>
        </is>
      </c>
    </row>
    <row r="13">
      <c r="A13" s="4" t="inlineStr">
        <is>
          <t>TTM Net Income</t>
        </is>
      </c>
      <c r="B13" s="4" t="inlineStr">
        <is>
          <t>$146.6M</t>
        </is>
      </c>
      <c r="C13" s="4" t="inlineStr">
        <is>
          <t>Yahoo Finance Income Statement</t>
        </is>
      </c>
      <c r="D13" s="4" t="inlineStr">
        <is>
          <t>TTM</t>
        </is>
      </c>
      <c r="E13" s="4" t="inlineStr">
        <is>
          <t>Net margin 4.6%</t>
        </is>
      </c>
    </row>
    <row r="14">
      <c r="A14" s="4" t="inlineStr">
        <is>
          <t>TTM Diluted EPS</t>
        </is>
      </c>
      <c r="B14" s="4" t="inlineStr">
        <is>
          <t>$2.57</t>
        </is>
      </c>
      <c r="C14" s="4" t="inlineStr">
        <is>
          <t>Yahoo Finance Income Statement</t>
        </is>
      </c>
      <c r="D14" s="4" t="inlineStr">
        <is>
          <t>TTM</t>
        </is>
      </c>
      <c r="E14" s="4" t="inlineStr">
        <is>
          <t>56.92M diluted shares</t>
        </is>
      </c>
    </row>
    <row r="15">
      <c r="A15" s="4" t="inlineStr">
        <is>
          <t>TTM EBITDA</t>
        </is>
      </c>
      <c r="B15" s="4" t="inlineStr">
        <is>
          <t>$493.5M</t>
        </is>
      </c>
      <c r="C15" s="4" t="inlineStr">
        <is>
          <t>Yahoo Finance Income Statement</t>
        </is>
      </c>
      <c r="D15" s="4" t="inlineStr">
        <is>
          <t>TTM</t>
        </is>
      </c>
      <c r="E15" s="4" t="inlineStr">
        <is>
          <t>Derived from OI + D&amp;A</t>
        </is>
      </c>
    </row>
    <row r="16">
      <c r="A16" s="4" t="inlineStr">
        <is>
          <t>TTM Operating Cash Flow</t>
        </is>
      </c>
      <c r="B16" s="4" t="inlineStr">
        <is>
          <t>$345.2M</t>
        </is>
      </c>
      <c r="C16" s="4" t="inlineStr">
        <is>
          <t>Yahoo Finance Cash Flow</t>
        </is>
      </c>
      <c r="D16" s="4" t="inlineStr">
        <is>
          <t>TTM</t>
        </is>
      </c>
      <c r="E16" s="4" t="inlineStr">
        <is>
          <t>Strong conversion 235% of NI</t>
        </is>
      </c>
    </row>
    <row r="17">
      <c r="A17" s="4" t="inlineStr">
        <is>
          <t>TTM Capex</t>
        </is>
      </c>
      <c r="B17" s="4" t="inlineStr">
        <is>
          <t>$350.4M</t>
        </is>
      </c>
      <c r="C17" s="4" t="inlineStr">
        <is>
          <t>Yahoo Finance Cash Flow</t>
        </is>
      </c>
      <c r="D17" s="4" t="inlineStr">
        <is>
          <t>TTM</t>
        </is>
      </c>
      <c r="E17" s="4" t="inlineStr">
        <is>
          <t>2x FY2024 level - capex cycle</t>
        </is>
      </c>
    </row>
    <row r="18">
      <c r="A18" s="4" t="inlineStr">
        <is>
          <t>TTM Free Cash Flow</t>
        </is>
      </c>
      <c r="B18" s="4" t="inlineStr">
        <is>
          <t>-$5.2M</t>
        </is>
      </c>
      <c r="C18" s="4" t="inlineStr">
        <is>
          <t>Yahoo Finance Cash Flow</t>
        </is>
      </c>
      <c r="D18" s="4" t="inlineStr">
        <is>
          <t>TTM</t>
        </is>
      </c>
      <c r="E18" s="4" t="inlineStr">
        <is>
          <t>Negative - capex &gt; OCF cycle</t>
        </is>
      </c>
    </row>
    <row r="19">
      <c r="A19" s="4" t="inlineStr">
        <is>
          <t>FY2026 Rev Est (Avg)</t>
        </is>
      </c>
      <c r="B19" s="4" t="inlineStr">
        <is>
          <t>$3.44B</t>
        </is>
      </c>
      <c r="C19" s="4" t="inlineStr">
        <is>
          <t>Yahoo Finance Analysis</t>
        </is>
      </c>
      <c r="D19" s="4" t="inlineStr">
        <is>
          <t>9 analysts</t>
        </is>
      </c>
      <c r="E19" s="4" t="inlineStr">
        <is>
          <t>Range $3.37B-$3.50B</t>
        </is>
      </c>
    </row>
    <row r="20">
      <c r="A20" s="4" t="inlineStr">
        <is>
          <t>FY2027 Rev Est (Avg)</t>
        </is>
      </c>
      <c r="B20" s="4" t="inlineStr">
        <is>
          <t>$3.63B</t>
        </is>
      </c>
      <c r="C20" s="4" t="inlineStr">
        <is>
          <t>Yahoo Finance Analysis</t>
        </is>
      </c>
      <c r="D20" s="4" t="inlineStr">
        <is>
          <t>9 analysts</t>
        </is>
      </c>
      <c r="E20" s="4" t="inlineStr">
        <is>
          <t>Range $3.51B-$3.80B</t>
        </is>
      </c>
    </row>
    <row r="21">
      <c r="A21" s="4" t="inlineStr">
        <is>
          <t>FY2026 EPS Est (Avg)</t>
        </is>
      </c>
      <c r="B21" s="4" t="inlineStr">
        <is>
          <t>$3.38</t>
        </is>
      </c>
      <c r="C21" s="4" t="inlineStr">
        <is>
          <t>Yahoo Finance Analysis</t>
        </is>
      </c>
      <c r="D21" s="4" t="inlineStr">
        <is>
          <t>4 analysts</t>
        </is>
      </c>
      <c r="E21" s="4" t="inlineStr">
        <is>
          <t>+27% vs FY25 $2.66 basic</t>
        </is>
      </c>
    </row>
    <row r="22">
      <c r="A22" s="4" t="inlineStr">
        <is>
          <t>FY2027 EPS Est (Avg)</t>
        </is>
      </c>
      <c r="B22" s="4" t="inlineStr">
        <is>
          <t>$4.10</t>
        </is>
      </c>
      <c r="C22" s="4" t="inlineStr">
        <is>
          <t>Yahoo Finance Analysis</t>
        </is>
      </c>
      <c r="D22" s="4" t="inlineStr">
        <is>
          <t>1 analyst</t>
        </is>
      </c>
      <c r="E22" s="4" t="inlineStr">
        <is>
          <t>Limited coverage</t>
        </is>
      </c>
    </row>
    <row r="23">
      <c r="A23" s="4" t="inlineStr">
        <is>
          <t>TTM Tax Rate (effective)</t>
        </is>
      </c>
      <c r="B23" s="4" t="inlineStr">
        <is>
          <t>26.3%</t>
        </is>
      </c>
      <c r="C23" s="4" t="inlineStr">
        <is>
          <t>Yahoo Finance Income Statement</t>
        </is>
      </c>
      <c r="D23" s="4" t="inlineStr">
        <is>
          <t>TTM</t>
        </is>
      </c>
      <c r="E23" s="4" t="inlineStr">
        <is>
          <t>TTM tax prov $52.3M / pretax $199.0M</t>
        </is>
      </c>
    </row>
    <row r="24">
      <c r="A24" s="4" t="inlineStr">
        <is>
          <t>FRED/Risk-Free 10Y</t>
        </is>
      </c>
      <c r="B24" s="4" t="inlineStr">
        <is>
          <t>4.394%</t>
        </is>
      </c>
      <c r="C24" s="4" t="inlineStr">
        <is>
          <t>CNBC US10Y</t>
        </is>
      </c>
      <c r="D24" s="4" t="inlineStr">
        <is>
          <t>2026-06-25</t>
        </is>
      </c>
      <c r="E24" s="4" t="inlineStr">
        <is>
          <t>Yield 4.394% at quote time</t>
        </is>
      </c>
    </row>
    <row r="25">
      <c r="A25" s="4" t="inlineStr">
        <is>
          <t>52W Range</t>
        </is>
      </c>
      <c r="B25" s="4" t="inlineStr">
        <is>
          <t>$58.72 - $96.28</t>
        </is>
      </c>
      <c r="C25" s="4" t="inlineStr">
        <is>
          <t>Yahoo Finance</t>
        </is>
      </c>
      <c r="D25" s="4" t="inlineStr">
        <is>
          <t>2026-06-25</t>
        </is>
      </c>
      <c r="E25" s="4" t="inlineStr">
        <is>
          <t>Near 52W high</t>
        </is>
      </c>
    </row>
    <row r="26">
      <c r="A26" s="4" t="inlineStr">
        <is>
          <t>Short Interest</t>
        </is>
      </c>
      <c r="B26" s="4" t="inlineStr">
        <is>
          <t>3.2M (7.32% float)</t>
        </is>
      </c>
      <c r="C26" s="4" t="inlineStr">
        <is>
          <t>Yahoo Finance Statistics</t>
        </is>
      </c>
      <c r="D26" s="4" t="inlineStr">
        <is>
          <t>2026-05-29</t>
        </is>
      </c>
      <c r="E26" s="4" t="inlineStr">
        <is>
          <t>Short ratio 5.66</t>
        </is>
      </c>
    </row>
    <row r="27">
      <c r="A27" s="4" t="inlineStr">
        <is>
          <t>Q1 FY26 EPS Actual</t>
        </is>
      </c>
      <c r="B27" s="4" t="inlineStr">
        <is>
          <t>-$1.39</t>
        </is>
      </c>
      <c r="C27" s="4" t="inlineStr">
        <is>
          <t>Yahoo Finance Analysis</t>
        </is>
      </c>
      <c r="D27" s="4" t="inlineStr">
        <is>
          <t>2026-03-31</t>
        </is>
      </c>
      <c r="E27" s="4" t="inlineStr">
        <is>
          <t>vs est -1.32, -4.93% miss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5" t="inlineStr">
        <is>
          <t>Open Questions</t>
        </is>
      </c>
    </row>
    <row r="2">
      <c r="A2" s="2" t="inlineStr">
        <is>
          <t>1</t>
        </is>
      </c>
      <c r="B2" t="inlineStr">
        <is>
          <t>Acquisition-driven debt increase: Total debt jumped from $727M (FY24) to $1.22B (FY25) and $1.48B (MRQ). What acquisition(s) drove this? The balance sheet total assets rose from $2.85B to $3.65B between FY24-FY25. The identity and terms of any acquisition need explicit SEC filing review.</t>
        </is>
      </c>
    </row>
    <row r="3">
      <c r="A3" s="2" t="inlineStr">
        <is>
          <t>2</t>
        </is>
      </c>
      <c r="B3" t="inlineStr">
        <is>
          <t>Capex cycle trough: Capex doubled from $172M (FY24) to $348M (FY25) and $350M TTM. Is this cyclical (facility commissioning wave that will end in 1-2 years) or structural (new scale requiring permanent higher maintenance capex)? This determines whether negative TTM FCF is transitory.</t>
        </is>
      </c>
    </row>
    <row r="4">
      <c r="A4" s="2" t="inlineStr">
        <is>
          <t>3</t>
        </is>
      </c>
      <c r="B4" t="inlineStr">
        <is>
          <t>Cash burn: Cash dropped from $281M (FY24) to $176M (FY25) to $75M (end cash TTM) to $13M (MRQ). Combined with debt issuance of $500M in FY25, this suggests a large acquisition payment. Need to confirm acquisition details.</t>
        </is>
      </c>
    </row>
    <row r="5">
      <c r="A5" s="2" t="inlineStr">
        <is>
          <t>4</t>
        </is>
      </c>
      <c r="B5" t="inlineStr">
        <is>
          <t>Q1 FY26 EPS miss of -1.39 vs -1.32 estimate: First quarter of FY26 shows a loss per share, but Q2 estimate is a strong $1.15 EPS. What explains this seasonality? Q3 is historically the strong quarter ($2.92 est).</t>
        </is>
      </c>
    </row>
    <row r="6">
      <c r="A6" s="2" t="inlineStr">
        <is>
          <t>5</t>
        </is>
      </c>
      <c r="B6" t="inlineStr">
        <is>
          <t>No dividend: Unlike peer VMC (pays ~1.5% dividend), KNF has no dividend. Is this a growth-reinvestment story or capital allocation issue?</t>
        </is>
      </c>
    </row>
    <row r="7">
      <c r="A7" s="2" t="inlineStr">
        <is>
          <t>6</t>
        </is>
      </c>
      <c r="B7" t="inlineStr">
        <is>
          <t>Analyst coverage is sparse: Only 4 analysts for FY2026 EPS and just 1 for FY2027. Is this typical for materials coverage or does it reflect post-acquisition uncertainty?</t>
        </is>
      </c>
    </row>
    <row r="8">
      <c r="A8" s="2" t="inlineStr">
        <is>
          <t>7</t>
        </is>
      </c>
      <c r="B8" t="inlineStr">
        <is>
          <t>Institutional ownership at 103.06%: Implies short selling activity exceeds net long ownership. Combined with 7.3% short interest, this suggests meaningful bear case positioning.</t>
        </is>
      </c>
    </row>
    <row r="9">
      <c r="A9" s="2" t="inlineStr">
        <is>
          <t>8</t>
        </is>
      </c>
      <c r="B9" t="inlineStr">
        <is>
          <t>Revenue growth projection of 9.25% for FY2026 vs 5.6% for FY2027: What drives the deceleration? Acquired integration ramp complete by FY2027?</t>
        </is>
      </c>
    </row>
    <row r="10">
      <c r="A10" s="2" t="inlineStr">
        <is>
          <t>9</t>
        </is>
      </c>
      <c r="B10" t="inlineStr">
        <is>
          <t>Competitive differentiation from MLM/VMC: Knife River focuses on regional aggregates distribution. What is the geographic concentration risk? How does it compare to broader plays like Martin Marietta or Vulcan Materials?</t>
        </is>
      </c>
    </row>
    <row r="11">
      <c r="A11" s="2" t="inlineStr">
        <is>
          <t>10</t>
        </is>
      </c>
      <c r="B11" t="inlineStr">
        <is>
          <t>Next earnings date: Need to identify the next scheduled earnings report and whether it will contain integrated acquisition results.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5" customWidth="1" min="3" max="3"/>
  </cols>
  <sheetData>
    <row r="1">
      <c r="A1" s="5" t="inlineStr">
        <is>
          <t>Sources</t>
        </is>
      </c>
    </row>
    <row r="2">
      <c r="A2" t="inlineStr">
        <is>
          <t>1</t>
        </is>
      </c>
      <c r="B2" t="inlineStr">
        <is>
          <t>Yahoo Finance - KNF Quote &amp; Statistics</t>
        </is>
      </c>
      <c r="C2" t="inlineStr">
        <is>
          <t>https://finance.yahoo.com/quote/KNF/</t>
        </is>
      </c>
    </row>
    <row r="3">
      <c r="A3" t="inlineStr">
        <is>
          <t>2</t>
        </is>
      </c>
      <c r="B3" t="inlineStr">
        <is>
          <t>Yahoo Finance - KNF Income Statement</t>
        </is>
      </c>
      <c r="C3" t="inlineStr">
        <is>
          <t>https://finance.yahoo.com/quote/KNF/financials/</t>
        </is>
      </c>
    </row>
    <row r="4">
      <c r="A4" t="inlineStr">
        <is>
          <t>3</t>
        </is>
      </c>
      <c r="B4" t="inlineStr">
        <is>
          <t>Yahoo Finance - KNF Balance Sheet</t>
        </is>
      </c>
      <c r="C4" t="inlineStr">
        <is>
          <t>https://finance.yahoo.com/quote/KNF/balance-sheet/</t>
        </is>
      </c>
    </row>
    <row r="5">
      <c r="A5" t="inlineStr">
        <is>
          <t>4</t>
        </is>
      </c>
      <c r="B5" t="inlineStr">
        <is>
          <t>Yahoo Finance - KNF Cash Flow</t>
        </is>
      </c>
      <c r="C5" t="inlineStr">
        <is>
          <t>https://finance.yahoo.com/quote/KNF/cash-flow/</t>
        </is>
      </c>
    </row>
    <row r="6">
      <c r="A6" t="inlineStr">
        <is>
          <t>5</t>
        </is>
      </c>
      <c r="B6" t="inlineStr">
        <is>
          <t>Yahoo Finance - KNF Analyst Estimates</t>
        </is>
      </c>
      <c r="C6" t="inlineStr">
        <is>
          <t>https://finance.yahoo.com/quote/KNF/analysis/</t>
        </is>
      </c>
    </row>
    <row r="7">
      <c r="A7" t="inlineStr">
        <is>
          <t>6</t>
        </is>
      </c>
      <c r="B7" t="inlineStr">
        <is>
          <t>Yahoo Finance - KNF Key Statistics</t>
        </is>
      </c>
      <c r="C7" t="inlineStr">
        <is>
          <t>https://finance.yahoo.com/quote/KNF/key-statistics/</t>
        </is>
      </c>
    </row>
    <row r="8">
      <c r="A8" t="inlineStr">
        <is>
          <t>7</t>
        </is>
      </c>
      <c r="B8" t="inlineStr">
        <is>
          <t>CNBC - US 10 Year Treasury</t>
        </is>
      </c>
      <c r="C8" t="inlineStr">
        <is>
          <t>https://www.cnbc.com/quotes/US10Y</t>
        </is>
      </c>
    </row>
    <row r="9">
      <c r="A9" t="inlineStr">
        <is>
          <t>8</t>
        </is>
      </c>
      <c r="B9" t="inlineStr">
        <is>
          <t>StockAnalysis.com - KNF (404 - unavailable)</t>
        </is>
      </c>
      <c r="C9" t="inlineStr">
        <is>
          <t>https://stockanalysis.com/quote/KNF/</t>
        </is>
      </c>
    </row>
    <row r="10">
      <c r="A10" t="inlineStr">
        <is>
          <t>9</t>
        </is>
      </c>
      <c r="B10" t="inlineStr">
        <is>
          <t>Yahoo Finance - KNF related tickers (MLM, VMC, EXP, CRH)</t>
        </is>
      </c>
      <c r="C10" t="inlineStr">
        <is>
          <t>https://finance.yahoo.com/quote/KNF/key-statistics/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2026-06-26T02:54:31Z</dcterms:created>
  <dcterms:modified xsi:type="dcterms:W3CDTF">2026-06-26T02:54:31Z</dcterms:modified>
</cp:coreProperties>
</file>