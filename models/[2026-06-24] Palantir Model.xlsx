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&quot;B&quot;"/>
    <numFmt numFmtId="166" formatCode="0.0000"/>
    <numFmt numFmtId="167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2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2" fillId="0" borderId="1" pivotButton="0" quotePrefix="0" xfId="0"/>
    <xf numFmtId="167" fontId="2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PLTR — 2026-06-24 Valuation Model</t>
        </is>
      </c>
    </row>
    <row r="2">
      <c r="A2" s="2" t="inlineStr">
        <is>
          <t>Company</t>
        </is>
      </c>
      <c r="B2" s="3" t="inlineStr">
        <is>
          <t>Palantir Technologies Inc.</t>
        </is>
      </c>
    </row>
    <row r="3">
      <c r="A3" s="2" t="inlineStr">
        <is>
          <t>Ticker</t>
        </is>
      </c>
      <c r="B3" s="3" t="inlineStr">
        <is>
          <t>NASDAQ: PLTR</t>
        </is>
      </c>
    </row>
    <row r="4">
      <c r="A4" s="2" t="inlineStr">
        <is>
          <t>Date</t>
        </is>
      </c>
      <c r="B4" s="3" t="inlineStr">
        <is>
          <t>2026-06-24</t>
        </is>
      </c>
    </row>
    <row r="5">
      <c r="A5" s="2" t="inlineStr">
        <is>
          <t>Price</t>
        </is>
      </c>
      <c r="B5" s="3" t="n">
        <v>113.5</v>
      </c>
    </row>
    <row r="6">
      <c r="A6" s="2" t="inlineStr">
        <is>
          <t>Shares Outstanding (M)</t>
        </is>
      </c>
      <c r="B6" s="3" t="n">
        <v>2465</v>
      </c>
    </row>
    <row r="7">
      <c r="A7" s="2" t="inlineStr">
        <is>
          <t>Market Cap ($B)</t>
        </is>
      </c>
      <c r="B7" s="3" t="n">
        <v>279.77</v>
      </c>
    </row>
    <row r="8">
      <c r="A8" s="2" t="inlineStr">
        <is>
          <t>Enterprise Value ($B)</t>
        </is>
      </c>
      <c r="B8" s="3" t="n">
        <v>271.95</v>
      </c>
    </row>
    <row r="9">
      <c r="A9" s="2" t="inlineStr">
        <is>
          <t>Cash ($B)</t>
        </is>
      </c>
      <c r="B9" s="3" t="n">
        <v>8.029999999999999</v>
      </c>
    </row>
    <row r="10">
      <c r="A10" s="4" t="inlineStr">
        <is>
          <t>Key Valuation Metrics</t>
        </is>
      </c>
      <c r="B10" s="3" t="n">
        <v>0.229</v>
      </c>
    </row>
    <row r="11">
      <c r="A11" s="2" t="inlineStr">
        <is>
          <t>P/E (TTM)</t>
        </is>
      </c>
      <c r="B11" s="5" t="n">
        <v>131.12</v>
      </c>
      <c r="C11" s="3" t="inlineStr">
        <is>
          <t>TTM; reflects $0.89 diluted EPS on $5.22B revenue</t>
        </is>
      </c>
      <c r="D11" s="6" t="n"/>
      <c r="E11" s="6" t="n"/>
      <c r="F11" s="7" t="n"/>
    </row>
    <row r="12">
      <c r="A12" s="2" t="inlineStr">
        <is>
          <t>Forward P/E</t>
        </is>
      </c>
      <c r="B12" s="5" t="n">
        <v>79.37</v>
      </c>
      <c r="C12" s="3" t="inlineStr">
        <is>
          <t>FY26E EPS $1.47; ~55x on FY27E</t>
        </is>
      </c>
      <c r="D12" s="6" t="n"/>
      <c r="E12" s="6" t="n"/>
      <c r="F12" s="7" t="n"/>
    </row>
    <row r="13">
      <c r="A13" s="2" t="inlineStr">
        <is>
          <t>P/S (TTM)</t>
        </is>
      </c>
      <c r="B13" s="5" t="n">
        <v>57.4</v>
      </c>
      <c r="C13" s="3" t="inlineStr">
        <is>
          <t>57x; only defensible if AI premium sustains</t>
        </is>
      </c>
      <c r="D13" s="6" t="n"/>
      <c r="E13" s="6" t="n"/>
      <c r="F13" s="7" t="n"/>
    </row>
    <row r="14">
      <c r="A14" s="2" t="inlineStr">
        <is>
          <t>P/FCF (TTM)</t>
        </is>
      </c>
      <c r="B14" s="5" t="n">
        <v>104.1</v>
      </c>
      <c r="C14" s="3" t="inlineStr">
        <is>
          <t>FCF ~$2.69B; ~104x; extreme for software</t>
        </is>
      </c>
      <c r="D14" s="6" t="n"/>
      <c r="E14" s="6" t="n"/>
      <c r="F14" s="7" t="n"/>
    </row>
    <row r="15">
      <c r="A15" s="2" t="inlineStr">
        <is>
          <t>EV/FCF</t>
        </is>
      </c>
      <c r="B15" s="5" t="n">
        <v>101.2</v>
      </c>
      <c r="C15" s="3" t="inlineStr">
        <is>
          <t>Enterprise lens; ~101x on TTM FCF</t>
        </is>
      </c>
      <c r="D15" s="6" t="n"/>
      <c r="E15" s="6" t="n"/>
      <c r="F15" s="7" t="n"/>
    </row>
    <row r="16">
      <c r="A16" s="2" t="inlineStr">
        <is>
          <t>EV/Revenue</t>
        </is>
      </c>
      <c r="B16" s="5" t="n">
        <v>52.06</v>
      </c>
      <c r="C16" s="3" t="inlineStr">
        <is>
          <t>EV at 52x revenue</t>
        </is>
      </c>
      <c r="D16" s="6" t="n"/>
      <c r="E16" s="6" t="n"/>
      <c r="F16" s="7" t="n"/>
    </row>
    <row r="17">
      <c r="A17" s="2" t="inlineStr">
        <is>
          <t>EV/EBITDA</t>
        </is>
      </c>
      <c r="B17" s="5" t="n">
        <v>134.75</v>
      </c>
      <c r="C17" s="3" t="inlineStr">
        <is>
          <t>135x; needs 4x compression to normalize</t>
        </is>
      </c>
      <c r="D17" s="6" t="n"/>
      <c r="E17" s="6" t="n"/>
      <c r="F17" s="7" t="n"/>
    </row>
  </sheetData>
  <mergeCells count="8">
    <mergeCell ref="C13:F13"/>
    <mergeCell ref="C17:F17"/>
    <mergeCell ref="A1:F1"/>
    <mergeCell ref="C12:F12"/>
    <mergeCell ref="C16:F16"/>
    <mergeCell ref="C15:F15"/>
    <mergeCell ref="C11:F11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Calculation — CAPM</t>
        </is>
      </c>
    </row>
    <row r="2">
      <c r="A2" s="2" t="inlineStr">
        <is>
          <t>Risk-Free Rate (10Y US)</t>
        </is>
      </c>
      <c r="B2" s="8" t="n">
        <v>0.04402</v>
      </c>
      <c r="C2" s="3" t="inlineStr">
        <is>
          <t>CNBC 6/24/26: 4.402%</t>
        </is>
      </c>
      <c r="D2" s="6" t="n"/>
      <c r="E2" s="7" t="n"/>
    </row>
    <row r="3">
      <c r="A3" s="2" t="inlineStr">
        <is>
          <t>Equity Risk Premium</t>
        </is>
      </c>
      <c r="B3" s="9" t="n">
        <v>0.05</v>
      </c>
      <c r="C3" s="3" t="inlineStr">
        <is>
          <t>Standard 5%</t>
        </is>
      </c>
      <c r="D3" s="6" t="n"/>
      <c r="E3" s="7" t="n"/>
    </row>
    <row r="4">
      <c r="A4" s="2" t="inlineStr">
        <is>
          <t>Beta (5Y Monthly)</t>
        </is>
      </c>
      <c r="B4" s="5" t="n">
        <v>1.51</v>
      </c>
      <c r="C4" s="3" t="inlineStr">
        <is>
          <t>Levered beta</t>
        </is>
      </c>
      <c r="D4" s="6" t="n"/>
      <c r="E4" s="7" t="n"/>
    </row>
    <row r="5">
      <c r="A5" s="2" t="inlineStr">
        <is>
          <t>Cost of Equity</t>
        </is>
      </c>
      <c r="B5" s="8" t="n">
        <v>0.11952</v>
      </c>
      <c r="C5" s="3" t="inlineStr">
        <is>
          <t>4.40% + 1.51 x 5.00%</t>
        </is>
      </c>
      <c r="D5" s="6" t="n"/>
      <c r="E5" s="7" t="n"/>
    </row>
    <row r="6">
      <c r="A6" s="2" t="inlineStr">
        <is>
          <t>Cost of Debt</t>
        </is>
      </c>
      <c r="B6" s="9" t="n">
        <v>0.04</v>
      </c>
      <c r="C6" s="3" t="inlineStr">
        <is>
          <t>~4.0%</t>
        </is>
      </c>
      <c r="D6" s="6" t="n"/>
      <c r="E6" s="7" t="n"/>
    </row>
    <row r="7">
      <c r="A7" s="2" t="inlineStr">
        <is>
          <t>Tax Rate</t>
        </is>
      </c>
      <c r="B7" s="9" t="n">
        <v>0.15</v>
      </c>
      <c r="C7" s="3" t="inlineStr">
        <is>
          <t>Forward est 15%</t>
        </is>
      </c>
      <c r="D7" s="6" t="n"/>
      <c r="E7" s="7" t="n"/>
    </row>
    <row r="8">
      <c r="A8" s="3" t="inlineStr"/>
      <c r="B8" s="3" t="n"/>
      <c r="C8" s="3" t="inlineStr"/>
    </row>
    <row r="9">
      <c r="A9" s="2" t="inlineStr">
        <is>
          <t>Market Cap ($B)</t>
        </is>
      </c>
      <c r="B9" s="10" t="n">
        <v>279.77</v>
      </c>
      <c r="C9" s="3" t="inlineStr">
        <is>
          <t>Intraday 6/24/26</t>
        </is>
      </c>
      <c r="D9" s="6" t="n"/>
      <c r="E9" s="7" t="n"/>
    </row>
    <row r="10">
      <c r="A10" s="2" t="inlineStr">
        <is>
          <t>Total Debt ($B)</t>
        </is>
      </c>
      <c r="B10" s="10" t="n">
        <v>0.229</v>
      </c>
      <c r="C10" s="3" t="inlineStr">
        <is>
          <t>Capital leases only</t>
        </is>
      </c>
      <c r="D10" s="6" t="n"/>
      <c r="E10" s="7" t="n"/>
    </row>
    <row r="11">
      <c r="A11" s="2" t="inlineStr">
        <is>
          <t>Equity Weight</t>
        </is>
      </c>
      <c r="B11" s="11" t="n">
        <v>0.9992</v>
      </c>
      <c r="C11" s="3" t="inlineStr">
        <is>
          <t>99.92%</t>
        </is>
      </c>
      <c r="D11" s="6" t="n"/>
      <c r="E11" s="7" t="n"/>
    </row>
    <row r="12">
      <c r="A12" s="2" t="inlineStr">
        <is>
          <t>Debt Weight</t>
        </is>
      </c>
      <c r="B12" s="11" t="n">
        <v>0.0008</v>
      </c>
      <c r="C12" s="3" t="inlineStr">
        <is>
          <t>0.08%</t>
        </is>
      </c>
      <c r="D12" s="6" t="n"/>
      <c r="E12" s="7" t="n"/>
    </row>
    <row r="13">
      <c r="A13" s="3" t="inlineStr"/>
      <c r="B13" s="3" t="n"/>
      <c r="C13" s="3" t="inlineStr"/>
    </row>
    <row r="14">
      <c r="A14" s="2" t="inlineStr">
        <is>
          <t>WACC</t>
        </is>
      </c>
      <c r="B14" s="8" t="n">
        <v>0.1195</v>
      </c>
      <c r="C14" s="3">
        <f> 0.9992 x 11.95% + small debt adj</f>
        <v/>
      </c>
      <c r="D14" s="6" t="n"/>
      <c r="E14" s="7" t="n"/>
    </row>
  </sheetData>
  <mergeCells count="12">
    <mergeCell ref="C2:E2"/>
    <mergeCell ref="C11:E11"/>
    <mergeCell ref="C14:E14"/>
    <mergeCell ref="C5:E5"/>
    <mergeCell ref="A1:F1"/>
    <mergeCell ref="C9:E9"/>
    <mergeCell ref="C4:E4"/>
    <mergeCell ref="C3:E3"/>
    <mergeCell ref="C7:E7"/>
    <mergeCell ref="C12:E12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 / Base / Bull Scenario Analysis</t>
        </is>
      </c>
    </row>
    <row r="3">
      <c r="A3" s="4" t="inlineStr">
        <is>
          <t>Scenario</t>
        </is>
      </c>
      <c r="B3" s="4" t="inlineStr">
        <is>
          <t>Rev CAGR 5Y</t>
        </is>
      </c>
      <c r="C3" s="4" t="inlineStr">
        <is>
          <t>Term Rev ($B)</t>
        </is>
      </c>
      <c r="D3" s="4" t="inlineStr">
        <is>
          <t>FCF Margin</t>
        </is>
      </c>
      <c r="E3" s="4" t="inlineStr">
        <is>
          <t>Term FCF ($B)</t>
        </is>
      </c>
      <c r="F3" s="4" t="inlineStr">
        <is>
          <t>Exit Mult</t>
        </is>
      </c>
      <c r="G3" s="4" t="inlineStr">
        <is>
          <t>Implied EV ($B)</t>
        </is>
      </c>
      <c r="H3" s="4" t="inlineStr">
        <is>
          <t>Less Net Debt ($B)</t>
        </is>
      </c>
      <c r="I3" s="4" t="inlineStr">
        <is>
          <t>Shares (M)</t>
        </is>
      </c>
      <c r="J3" s="4" t="inlineStr">
        <is>
          <t>Target Price</t>
        </is>
      </c>
      <c r="K3" s="4" t="inlineStr">
        <is>
          <t>Upside %</t>
        </is>
      </c>
      <c r="L3" s="4" t="inlineStr">
        <is>
          <t>Weight</t>
        </is>
      </c>
      <c r="M3" s="4" t="inlineStr">
        <is>
          <t>Wtd Value/Share</t>
        </is>
      </c>
    </row>
    <row r="4">
      <c r="A4" s="3" t="inlineStr">
        <is>
          <t>Bear</t>
        </is>
      </c>
      <c r="B4" s="9" t="n">
        <v>0.35</v>
      </c>
      <c r="C4" s="3" t="n">
        <v>23425.5</v>
      </c>
      <c r="D4" s="9" t="n">
        <v>0.4</v>
      </c>
      <c r="E4" s="3" t="n">
        <v>9370.200000000001</v>
      </c>
      <c r="F4" s="3" t="n">
        <v>45</v>
      </c>
      <c r="G4" s="3" t="n">
        <v>421658.8</v>
      </c>
      <c r="H4" s="3" t="n">
        <v>-7.800999999999999</v>
      </c>
      <c r="I4" s="3" t="n">
        <v>2465</v>
      </c>
      <c r="J4" s="3" t="n">
        <v>174.22</v>
      </c>
      <c r="K4" s="9" t="n">
        <v>0.535</v>
      </c>
      <c r="L4" s="9" t="n">
        <v>0.25</v>
      </c>
      <c r="M4" s="3" t="n">
        <v>43.55</v>
      </c>
    </row>
    <row r="5">
      <c r="A5" s="3" t="inlineStr">
        <is>
          <t>Base</t>
        </is>
      </c>
      <c r="B5" s="9" t="n">
        <v>0.43</v>
      </c>
      <c r="C5" s="3" t="n">
        <v>31239.2</v>
      </c>
      <c r="D5" s="9" t="n">
        <v>0.5</v>
      </c>
      <c r="E5" s="3" t="n">
        <v>15619.6</v>
      </c>
      <c r="F5" s="3" t="n">
        <v>55</v>
      </c>
      <c r="G5" s="3" t="n">
        <v>859078.2</v>
      </c>
      <c r="H5" s="3" t="n">
        <v>-7.800999999999999</v>
      </c>
      <c r="I5" s="3" t="n">
        <v>2465</v>
      </c>
      <c r="J5" s="3" t="n">
        <v>351.68</v>
      </c>
      <c r="K5" s="9" t="n">
        <v>2.099</v>
      </c>
      <c r="L5" s="9" t="n">
        <v>0.5</v>
      </c>
      <c r="M5" s="3" t="n">
        <v>175.84</v>
      </c>
    </row>
    <row r="6">
      <c r="A6" s="3" t="inlineStr">
        <is>
          <t>Bull</t>
        </is>
      </c>
      <c r="B6" s="9" t="n">
        <v>0.52</v>
      </c>
      <c r="C6" s="3" t="n">
        <v>42387.5</v>
      </c>
      <c r="D6" s="9" t="n">
        <v>0.55</v>
      </c>
      <c r="E6" s="3" t="n">
        <v>23313.1</v>
      </c>
      <c r="F6" s="3" t="n">
        <v>65</v>
      </c>
      <c r="G6" s="3" t="n">
        <v>1515352.9</v>
      </c>
      <c r="H6" s="3" t="n">
        <v>-7.800999999999999</v>
      </c>
      <c r="I6" s="3" t="n">
        <v>2465</v>
      </c>
      <c r="J6" s="3" t="n">
        <v>617.91</v>
      </c>
      <c r="K6" s="9" t="n">
        <v>4.444</v>
      </c>
      <c r="L6" s="9" t="n">
        <v>0.25</v>
      </c>
      <c r="M6" s="3" t="n">
        <v>154.48</v>
      </c>
    </row>
    <row r="7">
      <c r="A7" s="2" t="inlineStr">
        <is>
          <t>TOTAL</t>
        </is>
      </c>
      <c r="L7" s="12" t="n">
        <v>1</v>
      </c>
      <c r="M7" s="13" t="n">
        <v>373.87</v>
      </c>
    </row>
    <row r="8">
      <c r="L8" s="2" t="inlineStr">
        <is>
          <t>Prob-Weighted FV ($)</t>
        </is>
      </c>
      <c r="M8" s="13" t="n">
        <v>373.87</v>
      </c>
    </row>
    <row r="9">
      <c r="A9" s="14" t="inlineStr">
        <is>
          <t>Upside from $113.5</t>
        </is>
      </c>
      <c r="B9" s="15" t="n">
        <v>2.294</v>
      </c>
    </row>
    <row r="10">
      <c r="A10" t="inlineStr">
        <is>
          <t>Notes:</t>
        </is>
      </c>
    </row>
    <row r="11">
      <c r="A11" t="inlineStr">
        <is>
          <t>1. Bear: 35% CAGR, 45x exit. Terminal ~2031 (5Y fwd).</t>
        </is>
      </c>
    </row>
    <row r="12">
      <c r="A12" t="inlineStr">
        <is>
          <t>2. Base: 43% CAGR, 55x exit. Consensus-aligned.</t>
        </is>
      </c>
    </row>
    <row r="13">
      <c r="A13" t="inlineStr">
        <is>
          <t>3. Bull: 52% CAGR, 65x exit. AI premium sustained.</t>
        </is>
      </c>
    </row>
    <row r="14">
      <c r="A14" t="inlineStr">
        <is>
          <t>4. Net cash adj = $7.80B. Shares = 2465M (MC/price recon).</t>
        </is>
      </c>
    </row>
  </sheetData>
  <mergeCells count="6">
    <mergeCell ref="A13:M13"/>
    <mergeCell ref="A14:M14"/>
    <mergeCell ref="A1:F1"/>
    <mergeCell ref="A12:M12"/>
    <mergeCell ref="A11:M11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Point Source Audit</t>
        </is>
      </c>
    </row>
    <row r="2">
      <c r="A2" s="4" t="inlineStr">
        <is>
          <t>Data Point</t>
        </is>
      </c>
      <c r="B2" s="4" t="inlineStr">
        <is>
          <t>Value</t>
        </is>
      </c>
      <c r="C2" s="4" t="inlineStr">
        <is>
          <t>Source</t>
        </is>
      </c>
      <c r="D2" s="4" t="inlineStr">
        <is>
          <t>Date</t>
        </is>
      </c>
      <c r="E2" s="4" t="inlineStr">
        <is>
          <t>Notes</t>
        </is>
      </c>
    </row>
    <row r="3">
      <c r="A3" s="3" t="inlineStr">
        <is>
          <t>Price</t>
        </is>
      </c>
      <c r="B3" s="3" t="inlineStr">
        <is>
          <t>$113.5</t>
        </is>
      </c>
      <c r="C3" s="3" t="inlineStr">
        <is>
          <t>yahoo.com/quote/PLTR</t>
        </is>
      </c>
      <c r="D3" s="3" t="inlineStr">
        <is>
          <t>2026-06-24</t>
        </is>
      </c>
      <c r="E3" s="3" t="inlineStr">
        <is>
          <t>Close</t>
        </is>
      </c>
    </row>
    <row r="4">
      <c r="A4" s="3" t="inlineStr">
        <is>
          <t>Market Cap</t>
        </is>
      </c>
      <c r="B4" s="3" t="inlineStr">
        <is>
          <t>$279.77B</t>
        </is>
      </c>
      <c r="C4" s="3" t="inlineStr">
        <is>
          <t>yahoo.com/key-statistics</t>
        </is>
      </c>
      <c r="D4" s="3" t="inlineStr">
        <is>
          <t>2026-06-24</t>
        </is>
      </c>
      <c r="E4" s="3" t="inlineStr"/>
    </row>
    <row r="5">
      <c r="A5" s="3" t="inlineStr">
        <is>
          <t>Enterprise Value</t>
        </is>
      </c>
      <c r="B5" s="3" t="inlineStr">
        <is>
          <t>$271.95B</t>
        </is>
      </c>
      <c r="C5" s="3" t="inlineStr">
        <is>
          <t>yahoo.com/key-statistics</t>
        </is>
      </c>
      <c r="D5" s="3" t="inlineStr">
        <is>
          <t>2026-06-24</t>
        </is>
      </c>
      <c r="E5" s="3" t="inlineStr"/>
    </row>
    <row r="6">
      <c r="A6" s="3" t="inlineStr">
        <is>
          <t>Shares (M)</t>
        </is>
      </c>
      <c r="B6" s="3" t="n">
        <v>2465</v>
      </c>
      <c r="C6" s="3" t="inlineStr">
        <is>
          <t>MC/price recon</t>
        </is>
      </c>
      <c r="D6" s="3" t="inlineStr">
        <is>
          <t>2026-06-24</t>
        </is>
      </c>
      <c r="E6" s="3" t="inlineStr">
        <is>
          <t>Basic ~2391M; ~2464M implied</t>
        </is>
      </c>
    </row>
    <row r="7">
      <c r="A7" s="3" t="inlineStr">
        <is>
          <t>Rev TTM</t>
        </is>
      </c>
      <c r="B7" s="3" t="inlineStr">
        <is>
          <t>$5224.2M</t>
        </is>
      </c>
      <c r="C7" s="3" t="inlineStr">
        <is>
          <t>yahoo.com/financials</t>
        </is>
      </c>
      <c r="D7" s="3" t="inlineStr">
        <is>
          <t>2026-06-24</t>
        </is>
      </c>
      <c r="E7" s="3" t="inlineStr"/>
    </row>
    <row r="8">
      <c r="A8" s="3" t="inlineStr">
        <is>
          <t>Rev FY25</t>
        </is>
      </c>
      <c r="B8" s="3" t="inlineStr">
        <is>
          <t>$4475.4M</t>
        </is>
      </c>
      <c r="C8" s="3" t="inlineStr">
        <is>
          <t>yahoo.com/financials</t>
        </is>
      </c>
      <c r="D8" s="3" t="inlineStr">
        <is>
          <t>2026-06-24</t>
        </is>
      </c>
      <c r="E8" s="3" t="inlineStr"/>
    </row>
    <row r="9">
      <c r="A9" s="3" t="inlineStr">
        <is>
          <t>Rev FY24</t>
        </is>
      </c>
      <c r="B9" s="3" t="inlineStr">
        <is>
          <t>$2865.5M</t>
        </is>
      </c>
      <c r="C9" s="3" t="inlineStr">
        <is>
          <t>yahoo.com/financials</t>
        </is>
      </c>
      <c r="D9" s="3" t="inlineStr">
        <is>
          <t>2026-06-24</t>
        </is>
      </c>
      <c r="E9" s="3" t="inlineStr"/>
    </row>
    <row r="10">
      <c r="A10" s="3" t="inlineStr">
        <is>
          <t>GP TTM</t>
        </is>
      </c>
      <c r="B10" s="3" t="inlineStr">
        <is>
          <t>$4392.2M</t>
        </is>
      </c>
      <c r="C10" s="3" t="inlineStr">
        <is>
          <t>yahoo.com/financials</t>
        </is>
      </c>
      <c r="D10" s="3" t="inlineStr">
        <is>
          <t>2026-06-24</t>
        </is>
      </c>
      <c r="E10" s="3" t="inlineStr"/>
    </row>
    <row r="11">
      <c r="A11" s="3" t="inlineStr">
        <is>
          <t>OP TTM</t>
        </is>
      </c>
      <c r="B11" s="3" t="inlineStr">
        <is>
          <t>$1992.0M</t>
        </is>
      </c>
      <c r="C11" s="3" t="inlineStr">
        <is>
          <t>yahoo.com/financials</t>
        </is>
      </c>
      <c r="D11" s="3" t="inlineStr">
        <is>
          <t>2026-06-24</t>
        </is>
      </c>
      <c r="E11" s="3" t="inlineStr"/>
    </row>
    <row r="12">
      <c r="A12" s="3" t="inlineStr">
        <is>
          <t>NI TTM</t>
        </is>
      </c>
      <c r="B12" s="3" t="inlineStr">
        <is>
          <t>$2281.5M</t>
        </is>
      </c>
      <c r="C12" s="3" t="inlineStr">
        <is>
          <t>yahoo.com/financials</t>
        </is>
      </c>
      <c r="D12" s="3" t="inlineStr">
        <is>
          <t>2026-06-24</t>
        </is>
      </c>
      <c r="E12" s="3" t="inlineStr"/>
    </row>
    <row r="13">
      <c r="A13" s="3" t="inlineStr">
        <is>
          <t>Diluted EPS TTM</t>
        </is>
      </c>
      <c r="B13" s="3" t="inlineStr">
        <is>
          <t>$0.89</t>
        </is>
      </c>
      <c r="C13" s="3" t="inlineStr">
        <is>
          <t>yahoo.com/financials</t>
        </is>
      </c>
      <c r="D13" s="3" t="inlineStr">
        <is>
          <t>2026-06-24</t>
        </is>
      </c>
      <c r="E13" s="3" t="inlineStr"/>
    </row>
    <row r="14">
      <c r="A14" s="3" t="inlineStr">
        <is>
          <t>OCF TTM</t>
        </is>
      </c>
      <c r="B14" s="3" t="inlineStr">
        <is>
          <t>$2723.4M</t>
        </is>
      </c>
      <c r="C14" s="3" t="inlineStr">
        <is>
          <t>yahoo.com/cash-flow</t>
        </is>
      </c>
      <c r="D14" s="3" t="inlineStr">
        <is>
          <t>2026-06-24</t>
        </is>
      </c>
      <c r="E14" s="3" t="inlineStr"/>
    </row>
    <row r="15">
      <c r="A15" s="3" t="inlineStr">
        <is>
          <t>Capex TTM</t>
        </is>
      </c>
      <c r="B15" s="3" t="inlineStr">
        <is>
          <t>$35.1M</t>
        </is>
      </c>
      <c r="C15" s="3" t="inlineStr">
        <is>
          <t>yahoo.com/cash-flow</t>
        </is>
      </c>
      <c r="D15" s="3" t="inlineStr">
        <is>
          <t>2026-06-24</t>
        </is>
      </c>
      <c r="E15" s="3" t="inlineStr"/>
    </row>
    <row r="16">
      <c r="A16" s="3" t="inlineStr">
        <is>
          <t>FCF TTM</t>
        </is>
      </c>
      <c r="B16" s="3" t="inlineStr">
        <is>
          <t>$2688.3M</t>
        </is>
      </c>
      <c r="C16" s="3" t="inlineStr">
        <is>
          <t>yahoo.com/cash-flow</t>
        </is>
      </c>
      <c r="D16" s="3" t="inlineStr">
        <is>
          <t>2026-06-24</t>
        </is>
      </c>
      <c r="E16" s="3" t="inlineStr"/>
    </row>
    <row r="17">
      <c r="A17" s="3" t="inlineStr">
        <is>
          <t>EBITDA TTM</t>
        </is>
      </c>
      <c r="B17" s="3" t="inlineStr">
        <is>
          <t>$2018.3M</t>
        </is>
      </c>
      <c r="C17" s="3" t="inlineStr">
        <is>
          <t>yahoo.com/financials</t>
        </is>
      </c>
      <c r="D17" s="3" t="inlineStr">
        <is>
          <t>2026-06-24</t>
        </is>
      </c>
      <c r="E17" s="3" t="inlineStr"/>
    </row>
    <row r="18">
      <c r="A18" s="3" t="inlineStr">
        <is>
          <t>Cash MRQ</t>
        </is>
      </c>
      <c r="B18" s="3" t="inlineStr">
        <is>
          <t>$8.03B</t>
        </is>
      </c>
      <c r="C18" s="3" t="inlineStr">
        <is>
          <t>yahoo.com/key-statistics</t>
        </is>
      </c>
      <c r="D18" s="3" t="inlineStr">
        <is>
          <t>2026-06-24</t>
        </is>
      </c>
      <c r="E18" s="3" t="inlineStr">
        <is>
          <t>Q1 FY26</t>
        </is>
      </c>
    </row>
    <row r="19">
      <c r="A19" s="3" t="inlineStr">
        <is>
          <t>Debt MRQ</t>
        </is>
      </c>
      <c r="B19" s="3" t="inlineStr">
        <is>
          <t>$0.229B</t>
        </is>
      </c>
      <c r="C19" s="3" t="inlineStr">
        <is>
          <t>yahoo.com/balance-sheet</t>
        </is>
      </c>
      <c r="D19" s="3" t="inlineStr">
        <is>
          <t>2026-06-24</t>
        </is>
      </c>
      <c r="E19" s="3" t="inlineStr">
        <is>
          <t>Leases</t>
        </is>
      </c>
    </row>
    <row r="20">
      <c r="A20" s="3" t="inlineStr">
        <is>
          <t>Beta</t>
        </is>
      </c>
      <c r="B20" s="3" t="inlineStr">
        <is>
          <t>1.51</t>
        </is>
      </c>
      <c r="C20" s="3" t="inlineStr">
        <is>
          <t>yahoo.com/key-statistics</t>
        </is>
      </c>
      <c r="D20" s="3" t="inlineStr">
        <is>
          <t>2026-06-24</t>
        </is>
      </c>
      <c r="E20" s="3" t="inlineStr"/>
    </row>
    <row r="21">
      <c r="A21" s="3" t="inlineStr">
        <is>
          <t>P/E TTM</t>
        </is>
      </c>
      <c r="B21" s="3" t="inlineStr">
        <is>
          <t>131.12</t>
        </is>
      </c>
      <c r="C21" s="3" t="inlineStr">
        <is>
          <t>yahoo.com/key-statistics</t>
        </is>
      </c>
      <c r="D21" s="3" t="inlineStr">
        <is>
          <t>2026-06-24</t>
        </is>
      </c>
      <c r="E21" s="3" t="inlineStr"/>
    </row>
    <row r="22">
      <c r="A22" s="3" t="inlineStr">
        <is>
          <t>Fwd P/E</t>
        </is>
      </c>
      <c r="B22" s="3" t="inlineStr">
        <is>
          <t>79.37</t>
        </is>
      </c>
      <c r="C22" s="3" t="inlineStr">
        <is>
          <t>yahoo.com/key-statistics</t>
        </is>
      </c>
      <c r="D22" s="3" t="inlineStr">
        <is>
          <t>2026-06-24</t>
        </is>
      </c>
      <c r="E22" s="3" t="inlineStr"/>
    </row>
    <row r="23">
      <c r="A23" s="3" t="inlineStr">
        <is>
          <t>10Y Treasury</t>
        </is>
      </c>
      <c r="B23" s="3" t="inlineStr">
        <is>
          <t>4.402%</t>
        </is>
      </c>
      <c r="C23" s="3" t="inlineStr">
        <is>
          <t>cnbc.com/quotes/US10Y</t>
        </is>
      </c>
      <c r="D23" s="3" t="inlineStr">
        <is>
          <t>2026-06-24</t>
        </is>
      </c>
      <c r="E23" s="3" t="inlineStr"/>
    </row>
    <row r="24">
      <c r="A24" s="3" t="inlineStr">
        <is>
          <t>Analyst Est.</t>
        </is>
      </c>
      <c r="B24" s="3" t="inlineStr">
        <is>
          <t>See analysis</t>
        </is>
      </c>
      <c r="C24" s="3" t="inlineStr">
        <is>
          <t>yahoo.com/analysis</t>
        </is>
      </c>
      <c r="D24" s="3" t="inlineStr">
        <is>
          <t>2026-06-24</t>
        </is>
      </c>
      <c r="E24" s="3" t="inlineStr">
        <is>
          <t>30 analysts</t>
        </is>
      </c>
    </row>
    <row r="25">
      <c r="A25" s="3" t="inlineStr">
        <is>
          <t>Earn Date</t>
        </is>
      </c>
      <c r="B25" s="3" t="inlineStr">
        <is>
          <t>Aug 3, 2026</t>
        </is>
      </c>
      <c r="C25" s="3" t="inlineStr">
        <is>
          <t>yahoo.com/quote/PLTR</t>
        </is>
      </c>
      <c r="D25" s="3" t="inlineStr">
        <is>
          <t>2026-06-24</t>
        </is>
      </c>
      <c r="E25" s="3" t="inlineStr">
        <is>
          <t>Q2 FY26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0" customWidth="1" min="3" max="3"/>
  </cols>
  <sheetData>
    <row r="1">
      <c r="A1" s="1" t="inlineStr">
        <is>
          <t>Open Questions</t>
        </is>
      </c>
    </row>
    <row r="2">
      <c r="A2" s="4" t="inlineStr">
        <is>
          <t>#</t>
        </is>
      </c>
      <c r="B2" s="4" t="inlineStr">
        <is>
          <t>Question</t>
        </is>
      </c>
      <c r="C2" s="4" t="inlineStr">
        <is>
          <t>Detail</t>
        </is>
      </c>
    </row>
    <row r="3">
      <c r="A3" s="3" t="inlineStr">
        <is>
          <t>1</t>
        </is>
      </c>
      <c r="B3" s="2" t="inlineStr">
        <is>
          <t>SBC Dilution</t>
        </is>
      </c>
      <c r="C3" s="16" t="inlineStr">
        <is>
          <t>Diluted shares ~2570M vs basic ~2391M. Annual SBC ~$800M+. Per-share drag is structural.</t>
        </is>
      </c>
    </row>
    <row r="4">
      <c r="A4" s="3" t="inlineStr">
        <is>
          <t>2</t>
        </is>
      </c>
      <c r="B4" s="2" t="inlineStr">
        <is>
          <t>International Revenue</t>
        </is>
      </c>
      <c r="C4" s="16" t="inlineStr">
        <is>
          <t>U.S. +104% Q1'26 vs intl lag. What % non-U.S.? Regulatory risk (UK, Germany, etc.)?</t>
        </is>
      </c>
    </row>
    <row r="5">
      <c r="A5" s="3" t="inlineStr">
        <is>
          <t>3</t>
        </is>
      </c>
      <c r="B5" s="2" t="inlineStr">
        <is>
          <t>Gov vs Commercial Mix</t>
        </is>
      </c>
      <c r="C5" s="16" t="inlineStr">
        <is>
          <t>Gotham orig product. What % government? Termination risk? AIP diversification?</t>
        </is>
      </c>
    </row>
    <row r="6">
      <c r="A6" s="3" t="inlineStr">
        <is>
          <t>4</t>
        </is>
      </c>
      <c r="B6" s="2" t="inlineStr">
        <is>
          <t>Valuation Sustainability</t>
        </is>
      </c>
      <c r="C6" s="16" t="inlineStr">
        <is>
          <t>131x P/E, 57x P/S. What 5Y growth sustains this? Multiple compression risk.</t>
        </is>
      </c>
    </row>
    <row r="7">
      <c r="A7" s="3" t="inlineStr">
        <is>
          <t>5</t>
        </is>
      </c>
      <c r="B7" s="2" t="inlineStr">
        <is>
          <t>Interest Income Dep</t>
        </is>
      </c>
      <c r="C7" s="16" t="inlineStr">
        <is>
          <t>~$245M/yr interest income = 10-15% of pre-tax NI. Rate-cut sensitive.</t>
        </is>
      </c>
    </row>
    <row r="8">
      <c r="A8" s="3" t="inlineStr">
        <is>
          <t>6</t>
        </is>
      </c>
      <c r="B8" s="2" t="inlineStr">
        <is>
          <t>AIP Land-and-Expand</t>
        </is>
      </c>
      <c r="C8" s="16" t="inlineStr">
        <is>
          <t>U.S. commercial +133% Q1'26. One-time migration or sustainable platform?</t>
        </is>
      </c>
    </row>
    <row r="9">
      <c r="A9" s="3" t="inlineStr">
        <is>
          <t>7</t>
        </is>
      </c>
      <c r="B9" s="2" t="inlineStr">
        <is>
          <t>Tax Rate Norm</t>
        </is>
      </c>
      <c r="C9" s="16" t="inlineStr">
        <is>
          <t>TTM eff rate ~1.3%. Normalization to 15-21% could compress NI materially.</t>
        </is>
      </c>
    </row>
    <row r="10">
      <c r="A10" s="3" t="inlineStr">
        <is>
          <t>8</t>
        </is>
      </c>
      <c r="B10" s="2" t="inlineStr">
        <is>
          <t>Drawdown from 52W High</t>
        </is>
      </c>
      <c r="C10" s="16" t="inlineStr">
        <is>
          <t>$207.52 → $112.25 = 46% drop. Multiple compression or growth concern?</t>
        </is>
      </c>
    </row>
    <row r="11">
      <c r="A11" s="3" t="inlineStr">
        <is>
          <t>9</t>
        </is>
      </c>
      <c r="B11" s="2" t="inlineStr">
        <is>
          <t>Competitive AI Landscape</t>
        </is>
      </c>
      <c r="C11" s="16" t="inlineStr">
        <is>
          <t>MSFT, Databricks, Snowflake compete. Genuine edge or table-stakes?</t>
        </is>
      </c>
    </row>
    <row r="12">
      <c r="A12" s="3" t="inlineStr">
        <is>
          <t>10</t>
        </is>
      </c>
      <c r="B12" s="2" t="inlineStr">
        <is>
          <t>Next Earnings Aug 3</t>
        </is>
      </c>
      <c r="C12" s="16" t="inlineStr">
        <is>
          <t>Q2 consensus: rev ~$1.81B (+80%), EPS ~$0.35. Guidance critical.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2" max="2"/>
    <col width="50" customWidth="1" min="3" max="3"/>
  </cols>
  <sheetData>
    <row r="1">
      <c r="A1" s="1" t="inlineStr">
        <is>
          <t>Data Sources</t>
        </is>
      </c>
    </row>
    <row r="2">
      <c r="A2" s="4" t="inlineStr">
        <is>
          <t>#</t>
        </is>
      </c>
      <c r="B2" s="4" t="inlineStr">
        <is>
          <t>Source</t>
        </is>
      </c>
      <c r="C2" s="4" t="inlineStr">
        <is>
          <t>URL</t>
        </is>
      </c>
    </row>
    <row r="3">
      <c r="A3" s="3" t="inlineStr">
        <is>
          <t>1</t>
        </is>
      </c>
      <c r="B3" s="3" t="inlineStr">
        <is>
          <t>Yahoo Finance — Quote</t>
        </is>
      </c>
      <c r="C3" s="3" t="inlineStr">
        <is>
          <t>finance.yahoo.com/quote/PLTR</t>
        </is>
      </c>
    </row>
    <row r="4">
      <c r="A4" s="3" t="inlineStr">
        <is>
          <t>2</t>
        </is>
      </c>
      <c r="B4" s="3" t="inlineStr">
        <is>
          <t>Yahoo Finance — Income Stmt</t>
        </is>
      </c>
      <c r="C4" s="3" t="inlineStr">
        <is>
          <t>finance.yahoo.com/quote/PLTR/financials</t>
        </is>
      </c>
    </row>
    <row r="5">
      <c r="A5" s="3" t="inlineStr">
        <is>
          <t>3</t>
        </is>
      </c>
      <c r="B5" s="3" t="inlineStr">
        <is>
          <t>Yahoo Finance — Balance Sheet</t>
        </is>
      </c>
      <c r="C5" s="3" t="inlineStr">
        <is>
          <t>finance.yahoo.com/quote/PLTR/balance-sheet</t>
        </is>
      </c>
    </row>
    <row r="6">
      <c r="A6" s="3" t="inlineStr">
        <is>
          <t>4</t>
        </is>
      </c>
      <c r="B6" s="3" t="inlineStr">
        <is>
          <t>Yahoo Finance — Cash Flow</t>
        </is>
      </c>
      <c r="C6" s="3" t="inlineStr">
        <is>
          <t>finance.yahoo.com/quote/PLTR/cash-flow</t>
        </is>
      </c>
    </row>
    <row r="7">
      <c r="A7" s="3" t="inlineStr">
        <is>
          <t>5</t>
        </is>
      </c>
      <c r="B7" s="3" t="inlineStr">
        <is>
          <t>Yahoo Finance — Statistics</t>
        </is>
      </c>
      <c r="C7" s="3" t="inlineStr">
        <is>
          <t>finance.yahoo.com/quote/PLTR/key-statistics</t>
        </is>
      </c>
    </row>
    <row r="8">
      <c r="A8" s="3" t="inlineStr">
        <is>
          <t>6</t>
        </is>
      </c>
      <c r="B8" s="3" t="inlineStr">
        <is>
          <t>Yahoo Finance — Analyst Estimates</t>
        </is>
      </c>
      <c r="C8" s="3" t="inlineStr">
        <is>
          <t>finance.yahoo.com/quote/PLTR/analysis</t>
        </is>
      </c>
    </row>
    <row r="9">
      <c r="A9" s="3" t="inlineStr">
        <is>
          <t>7</t>
        </is>
      </c>
      <c r="B9" s="3" t="inlineStr">
        <is>
          <t>CNBC — 10Y Treasury</t>
        </is>
      </c>
      <c r="C9" s="3" t="inlineStr">
        <is>
          <t>cnbc.com/quotes/US10Y</t>
        </is>
      </c>
    </row>
    <row r="10">
      <c r="A10" s="3" t="inlineStr">
        <is>
          <t>8</t>
        </is>
      </c>
      <c r="B10" s="3" t="inlineStr">
        <is>
          <t>StockAnalysis (404)</t>
        </is>
      </c>
      <c r="C10" s="3" t="inlineStr">
        <is>
          <t>stockanalysis.com/quote/PLTR</t>
        </is>
      </c>
    </row>
    <row r="11">
      <c r="A11" s="3" t="inlineStr">
        <is>
          <t>9</t>
        </is>
      </c>
      <c r="B11" s="3" t="inlineStr">
        <is>
          <t>Prior PLTR research (internal)</t>
        </is>
      </c>
      <c r="C11" s="3" t="inlineStr">
        <is>
          <t>~/dev/capital/models/_build_pltr_tab.py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2026-06-25T03:21:37Z</dcterms:created>
  <dcterms:modified xsi:type="dcterms:W3CDTF">2026-06-25T03:21:37Z</dcterms:modified>
</cp:coreProperties>
</file>