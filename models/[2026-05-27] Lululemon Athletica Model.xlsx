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ation" sheetId="1" r:id="rId1"/>
    <sheet name="WACC" sheetId="2" r:id="rId2"/>
    <sheet name="Scenarios" sheetId="3" r:id="rId3"/>
    <sheet name="Actuals Source Audit" sheetId="4" r:id="rId4"/>
    <sheet name="Questions" sheetId="5" r:id="rId5"/>
    <sheet name="Sources" sheetId="6" r:id="rId6"/>
  </sheets>
  <calcPr calcId="124519" fullCalcOnLoad="1"/>
</workbook>
</file>

<file path=xl/sharedStrings.xml><?xml version="1.0" encoding="utf-8"?>
<sst xmlns="http://schemas.openxmlformats.org/spreadsheetml/2006/main" count="1007" uniqueCount="269">
  <si>
    <t>lululemon athletica inc. (NASDAQ: LULU)</t>
  </si>
  <si>
    <t>Lululemon</t>
  </si>
  <si>
    <t>Fiscal years ending nearest Jan. 31 / early Feb.; USD millions except per-share data</t>
  </si>
  <si>
    <t>Model date</t>
  </si>
  <si>
    <t>2026-05-27</t>
  </si>
  <si>
    <t>Price</t>
  </si>
  <si>
    <t>Quote date</t>
  </si>
  <si>
    <t>2026-05-27 9:35 AM EDT - market open</t>
  </si>
  <si>
    <t>Current shares, mm</t>
  </si>
  <si>
    <t>Market cap, $m</t>
  </si>
  <si>
    <t>Cash + restricted cash, $m</t>
  </si>
  <si>
    <t>Financial debt, $m</t>
  </si>
  <si>
    <t>Operating lease liabilities, $m</t>
  </si>
  <si>
    <t>Enterprise value incl. leases, $m</t>
  </si>
  <si>
    <t>StockAnalysis market cap, $m</t>
  </si>
  <si>
    <t>SEC common shares outstanding, mm</t>
  </si>
  <si>
    <t>Diluted avg shares FY2025, mm</t>
  </si>
  <si>
    <t>Market data note</t>
  </si>
  <si>
    <t>StockAnalysis current quote/shares; SEC common-share count excludes dilution and differs from market-data share basis.</t>
  </si>
  <si>
    <t>FY2021</t>
  </si>
  <si>
    <t>FY2022</t>
  </si>
  <si>
    <t>FY2023</t>
  </si>
  <si>
    <t>FY2024</t>
  </si>
  <si>
    <t>FY2025</t>
  </si>
  <si>
    <t>FY2026</t>
  </si>
  <si>
    <t>FY2027</t>
  </si>
  <si>
    <t>FY2028</t>
  </si>
  <si>
    <t>FY2029</t>
  </si>
  <si>
    <t>FY2030</t>
  </si>
  <si>
    <t>FY2031</t>
  </si>
  <si>
    <t>FY2032</t>
  </si>
  <si>
    <t>FY2033</t>
  </si>
  <si>
    <t>FY2034</t>
  </si>
  <si>
    <t>FY2035</t>
  </si>
  <si>
    <t>Forecast</t>
  </si>
  <si>
    <t>Revenue</t>
  </si>
  <si>
    <t>Revenue Growth</t>
  </si>
  <si>
    <t>Cost of Revenue</t>
  </si>
  <si>
    <t>Gross Margin</t>
  </si>
  <si>
    <t>Gross Profit</t>
  </si>
  <si>
    <t>SG&amp;A</t>
  </si>
  <si>
    <t>Operating Margin</t>
  </si>
  <si>
    <t>Operating Income</t>
  </si>
  <si>
    <t>Pretax Income</t>
  </si>
  <si>
    <t>Tax Rate</t>
  </si>
  <si>
    <t>Income Tax Expense</t>
  </si>
  <si>
    <t>Net Margin</t>
  </si>
  <si>
    <t>Net Income</t>
  </si>
  <si>
    <t>Diluted EPS</t>
  </si>
  <si>
    <t>Diluted Shares</t>
  </si>
  <si>
    <t>Cash + Restricted Cash</t>
  </si>
  <si>
    <t>Inventory</t>
  </si>
  <si>
    <t>Financial Debt</t>
  </si>
  <si>
    <t>Operating Lease Liability</t>
  </si>
  <si>
    <t>Stockholders Equity</t>
  </si>
  <si>
    <t>Operating Cash Flow</t>
  </si>
  <si>
    <t>Capex</t>
  </si>
  <si>
    <t>FCF Margin</t>
  </si>
  <si>
    <t>Free Cash Flow</t>
  </si>
  <si>
    <t>SBC</t>
  </si>
  <si>
    <t>D&amp;A</t>
  </si>
  <si>
    <t>Valuation Outputs</t>
  </si>
  <si>
    <t>EV / Revenue FY2025</t>
  </si>
  <si>
    <t>EV / EBIT FY2025</t>
  </si>
  <si>
    <t>EV / FCF FY2025</t>
  </si>
  <si>
    <t>P / E FY2025</t>
  </si>
  <si>
    <t>Base DCF implied price</t>
  </si>
  <si>
    <t>Base DCF 10Y price CAGR</t>
  </si>
  <si>
    <t>Margin of safety / (premium)</t>
  </si>
  <si>
    <t>Reverse check</t>
  </si>
  <si>
    <t>Current quote requires roughly base-case recovery in FCF margins, not just FY2026 guide stabilization.</t>
  </si>
  <si>
    <t>Forecast framing</t>
  </si>
  <si>
    <t>FY2026 revenue starts at the midpoint of management guide: $11.35B-$11.50B.</t>
  </si>
  <si>
    <t>Base case assumes Americas stabilizes, international remains the growth engine, gross margin recovers gradually after tariff/de minimis pressure, and FCF margin normalizes to 14.0% by FY2035.</t>
  </si>
  <si>
    <t>Operating leases are included as debt-like obligations in EV and DCF bridge because stores are central to the operating model.</t>
  </si>
  <si>
    <t>WACC / Required Return Inputs</t>
  </si>
  <si>
    <t>Risk-free rate</t>
  </si>
  <si>
    <t>FRED DGS10 / public U.S. 10-year Treasury cross-check near model date; using 4.56% rounded official close input.</t>
  </si>
  <si>
    <t>Equity risk premium</t>
  </si>
  <si>
    <t>Rounded U.S. ERP assumption; consistent with common Damodaran/Kroll-style public ERP framing for 2026.</t>
  </si>
  <si>
    <t>Beta</t>
  </si>
  <si>
    <t>StockAnalysis current beta snapshot.</t>
  </si>
  <si>
    <t>Company-specific risk premium</t>
  </si>
  <si>
    <t>Judgmental premium for Americas product reset, tariff/de minimis uncertainty, and category fragmentation.</t>
  </si>
  <si>
    <t>Cost of equity</t>
  </si>
  <si>
    <t>CAPM plus company-specific premium.</t>
  </si>
  <si>
    <t>Pre-tax debt/lease cost</t>
  </si>
  <si>
    <t>No financial debt; cost assigned to operating lease liability / debt-like store obligations.</t>
  </si>
  <si>
    <t>Tax rate</t>
  </si>
  <si>
    <t>Normalized near FY2025 effective tax rate; management guided FY2026 Q1 tax pressure higher, but base model normalizes.</t>
  </si>
  <si>
    <t>After-tax debt/lease cost</t>
  </si>
  <si>
    <t>Formula.</t>
  </si>
  <si>
    <t>Market cap</t>
  </si>
  <si>
    <t>Price x current shares from StockAnalysis current snapshot.</t>
  </si>
  <si>
    <t>Debt + leases</t>
  </si>
  <si>
    <t>Financial debt plus operating lease liabilities.</t>
  </si>
  <si>
    <t>Equity weight</t>
  </si>
  <si>
    <t>Debt/lease weight</t>
  </si>
  <si>
    <t>WACC / required return</t>
  </si>
  <si>
    <t>Used as cross-check; scenarios round discount rates around this output.</t>
  </si>
  <si>
    <t>Base scenario discount rate</t>
  </si>
  <si>
    <t>Rounded required return used in base DCF.</t>
  </si>
  <si>
    <t>Bull / Base / Bear Scenario DCFs</t>
  </si>
  <si>
    <t>Scenario</t>
  </si>
  <si>
    <t>Implied Price</t>
  </si>
  <si>
    <t>10Y Price CAGR</t>
  </si>
  <si>
    <t>FY2026 Rev Growth</t>
  </si>
  <si>
    <t>10Y Rev CAGR</t>
  </si>
  <si>
    <t>Terminal FCF Margin</t>
  </si>
  <si>
    <t>Discount Rate</t>
  </si>
  <si>
    <t>Terminal Growth</t>
  </si>
  <si>
    <t>Notes</t>
  </si>
  <si>
    <t>Bear</t>
  </si>
  <si>
    <t>Americas stays weak, tariffs/dupes pressure gross margin, inventory cash drag persists.</t>
  </si>
  <si>
    <t>Base</t>
  </si>
  <si>
    <t>FY2026 starts at management guide midpoint; Americas stabilizes and margins partially recover.</t>
  </si>
  <si>
    <t>Bull</t>
  </si>
  <si>
    <t>Product cadence improves, international remains strong, and normalized FCF margin returns to pre-reset levels.</t>
  </si>
  <si>
    <t>Bear Scenario</t>
  </si>
  <si>
    <t>Metric</t>
  </si>
  <si>
    <t>Discount Factor</t>
  </si>
  <si>
    <t>PV of FCF</t>
  </si>
  <si>
    <t>DCF Assumptions</t>
  </si>
  <si>
    <t>PV of Explicit FCF</t>
  </si>
  <si>
    <t>Terminal Value</t>
  </si>
  <si>
    <t>PV of Terminal Value</t>
  </si>
  <si>
    <t>Enterprise Value</t>
  </si>
  <si>
    <t>Equity Value</t>
  </si>
  <si>
    <t>Source / setup note</t>
  </si>
  <si>
    <t>Base Scenario</t>
  </si>
  <si>
    <t>Bull Scenario</t>
  </si>
  <si>
    <t>Base DCF Sensitivity: Discount Rate vs Terminal Growth</t>
  </si>
  <si>
    <t>Line item</t>
  </si>
  <si>
    <t>Fiscal period</t>
  </si>
  <si>
    <t>Model value</t>
  </si>
  <si>
    <t>Unit / currency</t>
  </si>
  <si>
    <t>Primary source value</t>
  </si>
  <si>
    <t>Primary source</t>
  </si>
  <si>
    <t>Filing/ref</t>
  </si>
  <si>
    <t>Secondary source 1 value</t>
  </si>
  <si>
    <t>Secondary source 1</t>
  </si>
  <si>
    <t>Secondary source 2 value</t>
  </si>
  <si>
    <t>Secondary source 2</t>
  </si>
  <si>
    <t>Resolution note</t>
  </si>
  <si>
    <t>Model row/cell</t>
  </si>
  <si>
    <t>USD mm</t>
  </si>
  <si>
    <t>SEC companyfacts / 10-K XBRL</t>
  </si>
  <si>
    <t>SEC 2025 Form 10-K, accession 0001397187-25-000013, filed 2025-03-27, FY ended 2025-02-02</t>
  </si>
  <si>
    <t>StockAnalysis annual financials / balance sheet / cash flow pages</t>
  </si>
  <si>
    <t>Macrotrends annual company metric page</t>
  </si>
  <si>
    <t>No material discrepancy; secondary figures are rounded to nearest $m.</t>
  </si>
  <si>
    <t>Valuation!F4:J4</t>
  </si>
  <si>
    <t>SEC 2026 Form 10-K, accession 0001397187-26-000020, filed 2026-03-17, FY ended 2026-02-01</t>
  </si>
  <si>
    <t>Valuation!F8:J8</t>
  </si>
  <si>
    <t>Valuation!F11:J11</t>
  </si>
  <si>
    <t>Valuation!F16:J16</t>
  </si>
  <si>
    <t>USD/sh</t>
  </si>
  <si>
    <t>n/a</t>
  </si>
  <si>
    <t>Not applicable / not published in same table</t>
  </si>
  <si>
    <t>Valuation!F17:J17</t>
  </si>
  <si>
    <t>shares mm</t>
  </si>
  <si>
    <t>Valuation!F18:J18</t>
  </si>
  <si>
    <t>Valuation!F19:J19</t>
  </si>
  <si>
    <t>Treated as debt-like in EV bridge; no financial debt reported in source facts.</t>
  </si>
  <si>
    <t>Valuation!F22:J22</t>
  </si>
  <si>
    <t>Valuation!F24:J24</t>
  </si>
  <si>
    <t>Valuation!F25:J25</t>
  </si>
  <si>
    <t>SEC OCF less capex; secondary values match after rounding.</t>
  </si>
  <si>
    <t>Valuation!F27:J27</t>
  </si>
  <si>
    <t>blank for FY2025</t>
  </si>
  <si>
    <t>Macrotrends FCF page lagged latest FY; SEC-derived FCF used</t>
  </si>
  <si>
    <t>SEC OCF less capex; StockAnalysis matches after rounding. Macrotrends FY2025 FCF was blank at collection time.</t>
  </si>
  <si>
    <t>Valuation!F28:J28</t>
  </si>
  <si>
    <t>Valuation!F29:J29</t>
  </si>
  <si>
    <t>Quote price</t>
  </si>
  <si>
    <t>USD/share</t>
  </si>
  <si>
    <t>StockAnalysis overview</t>
  </si>
  <si>
    <t>See Sources sheet</t>
  </si>
  <si>
    <t>checked</t>
  </si>
  <si>
    <t>StockAnalysis / SEC / public market-data cross-check</t>
  </si>
  <si>
    <t>Current price block at 9:35 AM EDT market open; intraday value can drift.</t>
  </si>
  <si>
    <t>Valuation / WACC</t>
  </si>
  <si>
    <t>Current shares out</t>
  </si>
  <si>
    <t>Used for market cap and per-share DCF; cross-checked against SEC cover-page common shares and FY2025 diluted average.</t>
  </si>
  <si>
    <t>SEC common shares outstanding</t>
  </si>
  <si>
    <t>2026-03-11</t>
  </si>
  <si>
    <t>Common shares outstanding from SEC cover page; not the same as diluted valuation share basis.</t>
  </si>
  <si>
    <t>Market cap source value</t>
  </si>
  <si>
    <t>Rounded source market cap; Valuation sheet uses price x current shares formula.</t>
  </si>
  <si>
    <t>2026-05-22 / near model date</t>
  </si>
  <si>
    <t>rate</t>
  </si>
  <si>
    <t>FRED DGS10 / public Treasury pages</t>
  </si>
  <si>
    <t>Rounded official close input; workbook scenarios use rounded discount rates around WACC.</t>
  </si>
  <si>
    <t>ID</t>
  </si>
  <si>
    <t>Question</t>
  </si>
  <si>
    <t>Why it matters / evidence to watch</t>
  </si>
  <si>
    <t>Q1</t>
  </si>
  <si>
    <t>Is the Americas slowdown product-cycle specific or structural?</t>
  </si>
  <si>
    <t>Base case assumes stabilization; bear case is right if comps remain negative despite newness and marketing reset.</t>
  </si>
  <si>
    <t>Q2</t>
  </si>
  <si>
    <t>Can international growth stay above corporate average without over-storing or margin drag?</t>
  </si>
  <si>
    <t>International is the main visible growth offset to North America; watch region comps and store economics.</t>
  </si>
  <si>
    <t>Q3</t>
  </si>
  <si>
    <t>How much of FY2025-FY2026 margin pressure is tariff/de minimis timing versus enduring price/value pressure?</t>
  </si>
  <si>
    <t>A temporary tariff hit supports recovery; enduring consumer value pressure caps gross margin.</t>
  </si>
  <si>
    <t>Q4</t>
  </si>
  <si>
    <t>Does inventory growth normalize relative to sales?</t>
  </si>
  <si>
    <t>FY2025 FCF was weak because working capital/inventory absorbed cash; DCF recovery depends on cash conversion.</t>
  </si>
  <si>
    <t>Q5</t>
  </si>
  <si>
    <t>Are buybacks creating value or only masking EPS pressure?</t>
  </si>
  <si>
    <t>Share count is falling quickly; repurchases are attractive only if brand earnings power is intact.</t>
  </si>
  <si>
    <t>Q6</t>
  </si>
  <si>
    <t>How much operating lease leverage should be capitalized in valuation?</t>
  </si>
  <si>
    <t>This model includes operating leases as debt-like obligations; excluding them materially increases EV/DCF equity value.</t>
  </si>
  <si>
    <t>Q7</t>
  </si>
  <si>
    <t>Can gross margin return toward prior 58%+ levels while pricing remains competitive?</t>
  </si>
  <si>
    <t>Bull case requires product desirability and mix to offset tariffs and promotions.</t>
  </si>
  <si>
    <t>Q8</t>
  </si>
  <si>
    <t>What level of steady-state FCF margin is realistic for a mature global apparel retailer?</t>
  </si>
  <si>
    <t>Base case fades to 14%; bear is 10%; bull is 16%. This is the main valuation lever.</t>
  </si>
  <si>
    <t>Q9</t>
  </si>
  <si>
    <t>What would invalidate the base DCF?</t>
  </si>
  <si>
    <t>FY2026 revenue below guide midpoint, further Americas comp deterioration, or no FCF conversion improvement by FY2027.</t>
  </si>
  <si>
    <t>Q10</t>
  </si>
  <si>
    <t>What would upgrade the case?</t>
  </si>
  <si>
    <t>Clean inventory, accelerating international comps, gross margin recapture, and sustained high-return buybacks.</t>
  </si>
  <si>
    <t>Source type</t>
  </si>
  <si>
    <t>Source / URL</t>
  </si>
  <si>
    <t>Usage</t>
  </si>
  <si>
    <t>Date checked</t>
  </si>
  <si>
    <t>Primary filing</t>
  </si>
  <si>
    <t>https://www.sec.gov/Archives/edgar/data/1397187/000139718726000020/lulu-20260201.htm</t>
  </si>
  <si>
    <t>FY2025 Form 10-K; latest annual actuals, balance sheet, cash flow, lease liabilities, share count.</t>
  </si>
  <si>
    <t>https://www.sec.gov/Archives/edgar/data/1397187/000139718725000013/lulu-20250202.htm</t>
  </si>
  <si>
    <t>Prior Form 10-K / comparative data for historical actuals.</t>
  </si>
  <si>
    <t>SEC XBRL</t>
  </si>
  <si>
    <t>https://data.sec.gov/api/xbrl/companyfacts/CIK0001397187.json</t>
  </si>
  <si>
    <t>Programmatic companyfacts extraction for all hardcoded historical actuals.</t>
  </si>
  <si>
    <t>Company release</t>
  </si>
  <si>
    <t>https://corporate.lululemon.com/media/press-releases/2026/03-17-2026-200620717</t>
  </si>
  <si>
    <t>Q4/FY2025 results and FY2026 guidance framing.</t>
  </si>
  <si>
    <t>Market / secondary</t>
  </si>
  <si>
    <t>https://stockanalysis.com/stocks/lulu/</t>
  </si>
  <si>
    <t>Current quote, market cap, shares out, beta, analyst snapshot.</t>
  </si>
  <si>
    <t>Secondary financials</t>
  </si>
  <si>
    <t>https://stockanalysis.com/stocks/lulu/financials/</t>
  </si>
  <si>
    <t>Income statement cross-check for revenue, gross profit, operating income, EPS, shares.</t>
  </si>
  <si>
    <t>https://stockanalysis.com/stocks/lulu/financials/balance-sheet/</t>
  </si>
  <si>
    <t>Cash, leases/debt and balance-sheet cross-check.</t>
  </si>
  <si>
    <t>https://stockanalysis.com/stocks/lulu/financials/cash-flow-statement/</t>
  </si>
  <si>
    <t>Operating cash flow, capex, FCF, SBC and D&amp;A cross-check.</t>
  </si>
  <si>
    <t>https://www.macrotrends.net/stocks/charts/LULU/lululemon-athletica-inc/revenue</t>
  </si>
  <si>
    <t>Annual revenue cross-check.</t>
  </si>
  <si>
    <t>https://www.macrotrends.net/stocks/charts/LULU/lululemon-athletica-inc/gross-profit</t>
  </si>
  <si>
    <t>Annual gross profit cross-check.</t>
  </si>
  <si>
    <t>https://www.macrotrends.net/stocks/charts/LULU/lululemon-athletica-inc/operating-income</t>
  </si>
  <si>
    <t>Annual operating income cross-check.</t>
  </si>
  <si>
    <t>https://www.macrotrends.net/stocks/charts/LULU/lululemon-athletica-inc/net-income</t>
  </si>
  <si>
    <t>Annual net income cross-check.</t>
  </si>
  <si>
    <t>Rates</t>
  </si>
  <si>
    <t>https://fred.stlouisfed.org/series/DGS10</t>
  </si>
  <si>
    <t>Risk-free rate reference for WACC.</t>
  </si>
  <si>
    <t>Guidance / news cross-check</t>
  </si>
  <si>
    <t>https://www.cnbc.com/2026/03/17/lululemon-lulu-earnings-q4-2025.html</t>
  </si>
  <si>
    <t>Public cross-check of weak FY2026 outlook and tariff / Americas discussion.</t>
  </si>
  <si>
    <t>Model limitation</t>
  </si>
  <si>
    <t>The quote is intraday and will drift. Macrotrends FCF was blank for FY2025 at collection time; model uses SEC OCF less capex and StockAnalysis as the latest FCF cross-check.</t>
  </si>
  <si>
    <t>Disclaimer</t>
  </si>
  <si>
    <t>Research support only; not personalized financial advice.</t>
  </si>
</sst>
</file>

<file path=xl/styles.xml><?xml version="1.0" encoding="utf-8"?>
<styleSheet xmlns="http://schemas.openxmlformats.org/spreadsheetml/2006/main">
  <numFmts count="5">
    <numFmt numFmtId="164" formatCode="$0.00"/>
    <numFmt numFmtId="165" formatCode="#,##0.0"/>
    <numFmt numFmtId="166" formatCode="0.0%"/>
    <numFmt numFmtId="167" formatCode="$#,##0.0"/>
    <numFmt numFmtId="168" formatCode="0.0x"/>
  </numFmts>
  <fonts count="6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334E68"/>
      <name val="Calibri"/>
      <family val="2"/>
      <scheme val="minor"/>
    </font>
    <font>
      <u/>
      <sz val="11"/>
      <color rgb="FF0B5CAD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  <fill>
      <patternFill patternType="solid">
        <fgColor rgb="FF52616B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D9E2EC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FDE2E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0" fillId="0" borderId="1" xfId="0" applyBorder="1" applyAlignment="1">
      <alignment wrapText="1"/>
    </xf>
    <xf numFmtId="0" fontId="3" fillId="5" borderId="1" xfId="0" applyFont="1" applyFill="1" applyBorder="1" applyAlignment="1">
      <alignment horizontal="center"/>
    </xf>
    <xf numFmtId="164" fontId="0" fillId="0" borderId="1" xfId="0" applyNumberFormat="1" applyBorder="1"/>
    <xf numFmtId="165" fontId="0" fillId="0" borderId="1" xfId="0" applyNumberFormat="1" applyBorder="1"/>
    <xf numFmtId="165" fontId="0" fillId="6" borderId="1" xfId="0" applyNumberFormat="1" applyFill="1" applyBorder="1"/>
    <xf numFmtId="166" fontId="0" fillId="0" borderId="1" xfId="0" applyNumberFormat="1" applyBorder="1"/>
    <xf numFmtId="166" fontId="0" fillId="7" borderId="1" xfId="0" applyNumberFormat="1" applyFill="1" applyBorder="1"/>
    <xf numFmtId="165" fontId="0" fillId="7" borderId="1" xfId="0" applyNumberFormat="1" applyFill="1" applyBorder="1"/>
    <xf numFmtId="167" fontId="0" fillId="0" borderId="1" xfId="0" applyNumberFormat="1" applyBorder="1"/>
    <xf numFmtId="0" fontId="0" fillId="8" borderId="1" xfId="0" applyFill="1" applyBorder="1" applyAlignment="1">
      <alignment wrapText="1"/>
    </xf>
    <xf numFmtId="166" fontId="0" fillId="6" borderId="1" xfId="0" applyNumberFormat="1" applyFill="1" applyBorder="1"/>
    <xf numFmtId="164" fontId="0" fillId="6" borderId="1" xfId="0" applyNumberFormat="1" applyFill="1" applyBorder="1"/>
    <xf numFmtId="168" fontId="0" fillId="0" borderId="1" xfId="0" applyNumberFormat="1" applyBorder="1"/>
    <xf numFmtId="0" fontId="4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c.gov/Archives/edgar/data/1397187/000139718726000020/lulu-20260201.htm" TargetMode="External"/><Relationship Id="rId2" Type="http://schemas.openxmlformats.org/officeDocument/2006/relationships/hyperlink" Target="https://www.sec.gov/Archives/edgar/data/1397187/000139718725000013/lulu-20250202.htm" TargetMode="External"/><Relationship Id="rId3" Type="http://schemas.openxmlformats.org/officeDocument/2006/relationships/hyperlink" Target="https://data.sec.gov/api/xbrl/companyfacts/CIK0001397187.json" TargetMode="External"/><Relationship Id="rId4" Type="http://schemas.openxmlformats.org/officeDocument/2006/relationships/hyperlink" Target="https://corporate.lululemon.com/media/press-releases/2026/03-17-2026-200620717" TargetMode="External"/><Relationship Id="rId5" Type="http://schemas.openxmlformats.org/officeDocument/2006/relationships/hyperlink" Target="https://stockanalysis.com/stocks/lulu/" TargetMode="External"/><Relationship Id="rId6" Type="http://schemas.openxmlformats.org/officeDocument/2006/relationships/hyperlink" Target="https://stockanalysis.com/stocks/lulu/financials/" TargetMode="External"/><Relationship Id="rId7" Type="http://schemas.openxmlformats.org/officeDocument/2006/relationships/hyperlink" Target="https://stockanalysis.com/stocks/lulu/financials/balance-sheet/" TargetMode="External"/><Relationship Id="rId8" Type="http://schemas.openxmlformats.org/officeDocument/2006/relationships/hyperlink" Target="https://stockanalysis.com/stocks/lulu/financials/cash-flow-statement/" TargetMode="External"/><Relationship Id="rId9" Type="http://schemas.openxmlformats.org/officeDocument/2006/relationships/hyperlink" Target="https://www.macrotrends.net/stocks/charts/LULU/lululemon-athletica-inc/revenue" TargetMode="External"/><Relationship Id="rId10" Type="http://schemas.openxmlformats.org/officeDocument/2006/relationships/hyperlink" Target="https://www.macrotrends.net/stocks/charts/LULU/lululemon-athletica-inc/gross-profit" TargetMode="External"/><Relationship Id="rId11" Type="http://schemas.openxmlformats.org/officeDocument/2006/relationships/hyperlink" Target="https://www.macrotrends.net/stocks/charts/LULU/lululemon-athletica-inc/operating-income" TargetMode="External"/><Relationship Id="rId12" Type="http://schemas.openxmlformats.org/officeDocument/2006/relationships/hyperlink" Target="https://www.macrotrends.net/stocks/charts/LULU/lululemon-athletica-inc/net-income" TargetMode="External"/><Relationship Id="rId13" Type="http://schemas.openxmlformats.org/officeDocument/2006/relationships/hyperlink" Target="https://fred.stlouisfed.org/series/DGS10" TargetMode="External"/><Relationship Id="rId14" Type="http://schemas.openxmlformats.org/officeDocument/2006/relationships/hyperlink" Target="https://www.cnbc.com/2026/03/17/lululemon-lulu-earnings-q4-202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Y45"/>
  <sheetViews>
    <sheetView showGridLines="0" tabSelected="1"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RowHeight="15"/>
  <cols>
    <col min="1" max="1" width="2.7109375" customWidth="1"/>
    <col min="2" max="2" width="31.7109375" customWidth="1"/>
    <col min="3" max="3" width="18.7109375" customWidth="1"/>
    <col min="4" max="4" width="3.7109375" customWidth="1"/>
    <col min="5" max="5" width="28.7109375" customWidth="1"/>
    <col min="6" max="25" width="13.7109375" customWidth="1"/>
  </cols>
  <sheetData>
    <row r="2" spans="2:25">
      <c r="B2" s="1" t="s">
        <v>0</v>
      </c>
      <c r="C2" s="1"/>
      <c r="E2" s="1" t="s">
        <v>1</v>
      </c>
      <c r="F2" s="1" t="s">
        <v>2</v>
      </c>
      <c r="G2" s="1"/>
      <c r="H2" s="1"/>
      <c r="I2" s="1"/>
      <c r="J2" s="1"/>
      <c r="K2" s="2" t="s">
        <v>34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2:25">
      <c r="B3" s="3" t="s">
        <v>3</v>
      </c>
      <c r="C3" s="4" t="s">
        <v>4</v>
      </c>
      <c r="F3" s="5" t="s">
        <v>19</v>
      </c>
      <c r="G3" s="5" t="s">
        <v>20</v>
      </c>
      <c r="H3" s="5" t="s">
        <v>21</v>
      </c>
      <c r="I3" s="5" t="s">
        <v>22</v>
      </c>
      <c r="J3" s="5" t="s">
        <v>23</v>
      </c>
      <c r="K3" s="5" t="s">
        <v>24</v>
      </c>
      <c r="L3" s="5" t="s">
        <v>25</v>
      </c>
      <c r="M3" s="5" t="s">
        <v>26</v>
      </c>
      <c r="N3" s="5" t="s">
        <v>27</v>
      </c>
      <c r="O3" s="5" t="s">
        <v>28</v>
      </c>
      <c r="P3" s="5" t="s">
        <v>29</v>
      </c>
      <c r="Q3" s="5" t="s">
        <v>30</v>
      </c>
      <c r="R3" s="5" t="s">
        <v>31</v>
      </c>
      <c r="S3" s="5" t="s">
        <v>32</v>
      </c>
      <c r="T3" s="5" t="s">
        <v>33</v>
      </c>
    </row>
    <row r="4" spans="2:25">
      <c r="B4" s="3" t="s">
        <v>5</v>
      </c>
      <c r="C4" s="6">
        <v>131.88</v>
      </c>
      <c r="E4" s="3" t="s">
        <v>35</v>
      </c>
      <c r="F4" s="7">
        <v>6256.617</v>
      </c>
      <c r="G4" s="7">
        <v>8110.518</v>
      </c>
      <c r="H4" s="7">
        <v>9619.278</v>
      </c>
      <c r="I4" s="7">
        <v>10588.126</v>
      </c>
      <c r="J4" s="7">
        <v>11102.6</v>
      </c>
      <c r="K4" s="8">
        <f>J4*(1+K5)</f>
        <v>0</v>
      </c>
      <c r="L4" s="8">
        <f>K4*(1+L5)</f>
        <v>0</v>
      </c>
      <c r="M4" s="8">
        <f>L4*(1+M5)</f>
        <v>0</v>
      </c>
      <c r="N4" s="8">
        <f>M4*(1+N5)</f>
        <v>0</v>
      </c>
      <c r="O4" s="8">
        <f>N4*(1+O5)</f>
        <v>0</v>
      </c>
      <c r="P4" s="8">
        <f>O4*(1+P5)</f>
        <v>0</v>
      </c>
      <c r="Q4" s="8">
        <f>P4*(1+Q5)</f>
        <v>0</v>
      </c>
      <c r="R4" s="8">
        <f>Q4*(1+R5)</f>
        <v>0</v>
      </c>
      <c r="S4" s="8">
        <f>R4*(1+S5)</f>
        <v>0</v>
      </c>
      <c r="T4" s="8">
        <f>S4*(1+T5)</f>
        <v>0</v>
      </c>
    </row>
    <row r="5" spans="2:25">
      <c r="B5" s="3" t="s">
        <v>6</v>
      </c>
      <c r="C5" s="4" t="s">
        <v>7</v>
      </c>
      <c r="E5" s="3" t="s">
        <v>36</v>
      </c>
      <c r="F5" s="9"/>
      <c r="G5" s="9">
        <f>G4/F4-1</f>
        <v>0</v>
      </c>
      <c r="H5" s="9">
        <f>H4/G4-1</f>
        <v>0</v>
      </c>
      <c r="I5" s="9">
        <f>I4/H4-1</f>
        <v>0</v>
      </c>
      <c r="J5" s="9">
        <f>J4/I4-1</f>
        <v>0</v>
      </c>
      <c r="K5" s="10">
        <v>0.029</v>
      </c>
      <c r="L5" s="10">
        <v>0.04</v>
      </c>
      <c r="M5" s="10">
        <v>0.05</v>
      </c>
      <c r="N5" s="10">
        <v>0.05</v>
      </c>
      <c r="O5" s="10">
        <v>0.045</v>
      </c>
      <c r="P5" s="10">
        <v>0.04</v>
      </c>
      <c r="Q5" s="10">
        <v>0.035</v>
      </c>
      <c r="R5" s="10">
        <v>0.03</v>
      </c>
      <c r="S5" s="10">
        <v>0.028</v>
      </c>
      <c r="T5" s="10">
        <v>0.025</v>
      </c>
    </row>
    <row r="6" spans="2:25">
      <c r="B6" s="3" t="s">
        <v>8</v>
      </c>
      <c r="C6" s="11">
        <v>114.43</v>
      </c>
      <c r="E6" s="3" t="s">
        <v>37</v>
      </c>
      <c r="F6" s="7">
        <v>2648.052</v>
      </c>
      <c r="G6" s="7">
        <v>3618.178</v>
      </c>
      <c r="H6" s="7">
        <v>4009.873</v>
      </c>
      <c r="I6" s="7">
        <v>4317.315</v>
      </c>
      <c r="J6" s="7">
        <v>4818.468</v>
      </c>
      <c r="K6" s="8">
        <f>K4-K8</f>
        <v>0</v>
      </c>
      <c r="L6" s="8">
        <f>L4-L8</f>
        <v>0</v>
      </c>
      <c r="M6" s="8">
        <f>M4-M8</f>
        <v>0</v>
      </c>
      <c r="N6" s="8">
        <f>N4-N8</f>
        <v>0</v>
      </c>
      <c r="O6" s="8">
        <f>O4-O8</f>
        <v>0</v>
      </c>
      <c r="P6" s="8">
        <f>P4-P8</f>
        <v>0</v>
      </c>
      <c r="Q6" s="8">
        <f>Q4-Q8</f>
        <v>0</v>
      </c>
      <c r="R6" s="8">
        <f>R4-R8</f>
        <v>0</v>
      </c>
      <c r="S6" s="8">
        <f>S4-S8</f>
        <v>0</v>
      </c>
      <c r="T6" s="8">
        <f>T4-T8</f>
        <v>0</v>
      </c>
    </row>
    <row r="7" spans="2:25">
      <c r="B7" s="3" t="s">
        <v>9</v>
      </c>
      <c r="C7" s="12">
        <f>C4*C6</f>
        <v>0</v>
      </c>
      <c r="E7" s="3" t="s">
        <v>38</v>
      </c>
      <c r="F7" s="9">
        <f>F8/F4</f>
        <v>0</v>
      </c>
      <c r="G7" s="9">
        <f>G8/G4</f>
        <v>0</v>
      </c>
      <c r="H7" s="9">
        <f>H8/H4</f>
        <v>0</v>
      </c>
      <c r="I7" s="9">
        <f>I8/I4</f>
        <v>0</v>
      </c>
      <c r="J7" s="9">
        <f>J8/J4</f>
        <v>0</v>
      </c>
      <c r="K7" s="10">
        <v>0.55</v>
      </c>
      <c r="L7" s="10">
        <v>0.555</v>
      </c>
      <c r="M7" s="10">
        <v>0.5600000000000001</v>
      </c>
      <c r="N7" s="10">
        <v>0.5649999999999999</v>
      </c>
      <c r="O7" s="10">
        <v>0.57</v>
      </c>
      <c r="P7" s="10">
        <v>0.573</v>
      </c>
      <c r="Q7" s="10">
        <v>0.575</v>
      </c>
      <c r="R7" s="10">
        <v>0.576</v>
      </c>
      <c r="S7" s="10">
        <v>0.577</v>
      </c>
      <c r="T7" s="10">
        <v>0.578</v>
      </c>
    </row>
    <row r="8" spans="2:25">
      <c r="B8" s="3" t="s">
        <v>10</v>
      </c>
      <c r="C8" s="11">
        <v>1807.202</v>
      </c>
      <c r="E8" s="3" t="s">
        <v>39</v>
      </c>
      <c r="F8" s="7">
        <v>3608.565</v>
      </c>
      <c r="G8" s="7">
        <v>4492.34</v>
      </c>
      <c r="H8" s="7">
        <v>5609.405</v>
      </c>
      <c r="I8" s="7">
        <v>6270.811</v>
      </c>
      <c r="J8" s="7">
        <v>6284.132</v>
      </c>
      <c r="K8" s="8">
        <f>K4*K7</f>
        <v>0</v>
      </c>
      <c r="L8" s="8">
        <f>L4*L7</f>
        <v>0</v>
      </c>
      <c r="M8" s="8">
        <f>M4*M7</f>
        <v>0</v>
      </c>
      <c r="N8" s="8">
        <f>N4*N7</f>
        <v>0</v>
      </c>
      <c r="O8" s="8">
        <f>O4*O7</f>
        <v>0</v>
      </c>
      <c r="P8" s="8">
        <f>P4*P7</f>
        <v>0</v>
      </c>
      <c r="Q8" s="8">
        <f>Q4*Q7</f>
        <v>0</v>
      </c>
      <c r="R8" s="8">
        <f>R4*R7</f>
        <v>0</v>
      </c>
      <c r="S8" s="8">
        <f>S4*S7</f>
        <v>0</v>
      </c>
      <c r="T8" s="8">
        <f>T4*T7</f>
        <v>0</v>
      </c>
    </row>
    <row r="9" spans="2:25">
      <c r="B9" s="3" t="s">
        <v>11</v>
      </c>
      <c r="C9" s="11">
        <v>0</v>
      </c>
      <c r="E9" s="3" t="s">
        <v>40</v>
      </c>
      <c r="F9" s="7">
        <v>2225.034</v>
      </c>
      <c r="G9" s="7">
        <v>2757.447</v>
      </c>
      <c r="H9" s="7">
        <v>3397.218</v>
      </c>
      <c r="I9" s="7">
        <v>3762.379</v>
      </c>
      <c r="J9" s="7">
        <v>4066.556</v>
      </c>
      <c r="K9" s="8">
        <f>K8-K11</f>
        <v>0</v>
      </c>
      <c r="L9" s="8">
        <f>L8-L11</f>
        <v>0</v>
      </c>
      <c r="M9" s="8">
        <f>M8-M11</f>
        <v>0</v>
      </c>
      <c r="N9" s="8">
        <f>N8-N11</f>
        <v>0</v>
      </c>
      <c r="O9" s="8">
        <f>O8-O11</f>
        <v>0</v>
      </c>
      <c r="P9" s="8">
        <f>P8-P11</f>
        <v>0</v>
      </c>
      <c r="Q9" s="8">
        <f>Q8-Q11</f>
        <v>0</v>
      </c>
      <c r="R9" s="8">
        <f>R8-R11</f>
        <v>0</v>
      </c>
      <c r="S9" s="8">
        <f>S8-S11</f>
        <v>0</v>
      </c>
      <c r="T9" s="8">
        <f>T8-T11</f>
        <v>0</v>
      </c>
    </row>
    <row r="10" spans="2:25">
      <c r="B10" s="3" t="s">
        <v>12</v>
      </c>
      <c r="C10" s="11">
        <v>1798.441</v>
      </c>
      <c r="E10" s="3" t="s">
        <v>41</v>
      </c>
      <c r="F10" s="9">
        <f>F11/F4</f>
        <v>0</v>
      </c>
      <c r="G10" s="9">
        <f>G11/G4</f>
        <v>0</v>
      </c>
      <c r="H10" s="9">
        <f>H11/H4</f>
        <v>0</v>
      </c>
      <c r="I10" s="9">
        <f>I11/I4</f>
        <v>0</v>
      </c>
      <c r="J10" s="9">
        <f>J11/J4</f>
        <v>0</v>
      </c>
      <c r="K10" s="10">
        <v>0.18</v>
      </c>
      <c r="L10" s="10">
        <v>0.188</v>
      </c>
      <c r="M10" s="10">
        <v>0.195</v>
      </c>
      <c r="N10" s="10">
        <v>0.202</v>
      </c>
      <c r="O10" s="10">
        <v>0.207</v>
      </c>
      <c r="P10" s="10">
        <v>0.211</v>
      </c>
      <c r="Q10" s="10">
        <v>0.213</v>
      </c>
      <c r="R10" s="10">
        <v>0.214</v>
      </c>
      <c r="S10" s="10">
        <v>0.215</v>
      </c>
      <c r="T10" s="10">
        <v>0.215</v>
      </c>
    </row>
    <row r="11" spans="2:25">
      <c r="B11" s="3" t="s">
        <v>13</v>
      </c>
      <c r="C11" s="12">
        <f>C7+C9+C10-C8</f>
        <v>0</v>
      </c>
      <c r="E11" s="3" t="s">
        <v>42</v>
      </c>
      <c r="F11" s="7">
        <v>1333.355</v>
      </c>
      <c r="G11" s="7">
        <v>1328.408</v>
      </c>
      <c r="H11" s="7">
        <v>2132.676</v>
      </c>
      <c r="I11" s="7">
        <v>2505.697</v>
      </c>
      <c r="J11" s="7">
        <v>2210.615</v>
      </c>
      <c r="K11" s="8">
        <f>K4*K10</f>
        <v>0</v>
      </c>
      <c r="L11" s="8">
        <f>L4*L10</f>
        <v>0</v>
      </c>
      <c r="M11" s="8">
        <f>M4*M10</f>
        <v>0</v>
      </c>
      <c r="N11" s="8">
        <f>N4*N10</f>
        <v>0</v>
      </c>
      <c r="O11" s="8">
        <f>O4*O10</f>
        <v>0</v>
      </c>
      <c r="P11" s="8">
        <f>P4*P10</f>
        <v>0</v>
      </c>
      <c r="Q11" s="8">
        <f>Q4*Q10</f>
        <v>0</v>
      </c>
      <c r="R11" s="8">
        <f>R4*R10</f>
        <v>0</v>
      </c>
      <c r="S11" s="8">
        <f>S4*S10</f>
        <v>0</v>
      </c>
      <c r="T11" s="8">
        <f>T4*T10</f>
        <v>0</v>
      </c>
    </row>
    <row r="12" spans="2:25">
      <c r="B12" s="3" t="s">
        <v>14</v>
      </c>
      <c r="C12" s="11">
        <v>15140</v>
      </c>
      <c r="E12" s="3" t="s">
        <v>43</v>
      </c>
      <c r="F12" s="7">
        <v>1333.869</v>
      </c>
      <c r="G12" s="7">
        <v>1332.571</v>
      </c>
      <c r="H12" s="7">
        <v>2175.735</v>
      </c>
      <c r="I12" s="7">
        <v>2576.077</v>
      </c>
      <c r="J12" s="7">
        <v>2238.967</v>
      </c>
      <c r="K12" s="8">
        <f>K11</f>
        <v>0</v>
      </c>
      <c r="L12" s="8">
        <f>L11</f>
        <v>0</v>
      </c>
      <c r="M12" s="8">
        <f>M11</f>
        <v>0</v>
      </c>
      <c r="N12" s="8">
        <f>N11</f>
        <v>0</v>
      </c>
      <c r="O12" s="8">
        <f>O11</f>
        <v>0</v>
      </c>
      <c r="P12" s="8">
        <f>P11</f>
        <v>0</v>
      </c>
      <c r="Q12" s="8">
        <f>Q11</f>
        <v>0</v>
      </c>
      <c r="R12" s="8">
        <f>R11</f>
        <v>0</v>
      </c>
      <c r="S12" s="8">
        <f>S11</f>
        <v>0</v>
      </c>
      <c r="T12" s="8">
        <f>T11</f>
        <v>0</v>
      </c>
    </row>
    <row r="13" spans="2:25">
      <c r="B13" s="3" t="s">
        <v>15</v>
      </c>
      <c r="C13" s="11">
        <v>110.483</v>
      </c>
      <c r="E13" s="3" t="s">
        <v>44</v>
      </c>
      <c r="F13" s="9">
        <f>F14/F12</f>
        <v>0</v>
      </c>
      <c r="G13" s="9">
        <f>G14/G12</f>
        <v>0</v>
      </c>
      <c r="H13" s="9">
        <f>H14/H12</f>
        <v>0</v>
      </c>
      <c r="I13" s="9">
        <f>I14/I12</f>
        <v>0</v>
      </c>
      <c r="J13" s="9">
        <f>J14/J12</f>
        <v>0</v>
      </c>
      <c r="K13" s="10">
        <v>0.295</v>
      </c>
      <c r="L13" s="10">
        <v>0.295</v>
      </c>
      <c r="M13" s="10">
        <v>0.295</v>
      </c>
      <c r="N13" s="10">
        <v>0.295</v>
      </c>
      <c r="O13" s="10">
        <v>0.295</v>
      </c>
      <c r="P13" s="10">
        <v>0.295</v>
      </c>
      <c r="Q13" s="10">
        <v>0.295</v>
      </c>
      <c r="R13" s="10">
        <v>0.295</v>
      </c>
      <c r="S13" s="10">
        <v>0.295</v>
      </c>
      <c r="T13" s="10">
        <v>0.295</v>
      </c>
    </row>
    <row r="14" spans="2:25">
      <c r="B14" s="3" t="s">
        <v>16</v>
      </c>
      <c r="C14" s="11">
        <v>119.068</v>
      </c>
      <c r="E14" s="3" t="s">
        <v>45</v>
      </c>
      <c r="F14" s="7">
        <v>358.547</v>
      </c>
      <c r="G14" s="7">
        <v>477.771</v>
      </c>
      <c r="H14" s="7">
        <v>625.545</v>
      </c>
      <c r="I14" s="7">
        <v>761.461</v>
      </c>
      <c r="J14" s="7">
        <v>659.784</v>
      </c>
      <c r="K14" s="8">
        <f>K12*K13</f>
        <v>0</v>
      </c>
      <c r="L14" s="8">
        <f>L12*L13</f>
        <v>0</v>
      </c>
      <c r="M14" s="8">
        <f>M12*M13</f>
        <v>0</v>
      </c>
      <c r="N14" s="8">
        <f>N12*N13</f>
        <v>0</v>
      </c>
      <c r="O14" s="8">
        <f>O12*O13</f>
        <v>0</v>
      </c>
      <c r="P14" s="8">
        <f>P12*P13</f>
        <v>0</v>
      </c>
      <c r="Q14" s="8">
        <f>Q12*Q13</f>
        <v>0</v>
      </c>
      <c r="R14" s="8">
        <f>R12*R13</f>
        <v>0</v>
      </c>
      <c r="S14" s="8">
        <f>S12*S13</f>
        <v>0</v>
      </c>
      <c r="T14" s="8">
        <f>T12*T13</f>
        <v>0</v>
      </c>
    </row>
    <row r="15" spans="2:25">
      <c r="B15" s="3" t="s">
        <v>17</v>
      </c>
      <c r="C15" s="13" t="s">
        <v>18</v>
      </c>
      <c r="E15" s="3" t="s">
        <v>46</v>
      </c>
      <c r="F15" s="9">
        <f>F16/F4</f>
        <v>0</v>
      </c>
      <c r="G15" s="9">
        <f>G16/G4</f>
        <v>0</v>
      </c>
      <c r="H15" s="9">
        <f>H16/H4</f>
        <v>0</v>
      </c>
      <c r="I15" s="9">
        <f>I16/I4</f>
        <v>0</v>
      </c>
      <c r="J15" s="9">
        <f>J16/J4</f>
        <v>0</v>
      </c>
      <c r="K15" s="14">
        <f>K16/K4</f>
        <v>0</v>
      </c>
      <c r="L15" s="14">
        <f>L16/L4</f>
        <v>0</v>
      </c>
      <c r="M15" s="14">
        <f>M16/M4</f>
        <v>0</v>
      </c>
      <c r="N15" s="14">
        <f>N16/N4</f>
        <v>0</v>
      </c>
      <c r="O15" s="14">
        <f>O16/O4</f>
        <v>0</v>
      </c>
      <c r="P15" s="14">
        <f>P16/P4</f>
        <v>0</v>
      </c>
      <c r="Q15" s="14">
        <f>Q16/Q4</f>
        <v>0</v>
      </c>
      <c r="R15" s="14">
        <f>R16/R4</f>
        <v>0</v>
      </c>
      <c r="S15" s="14">
        <f>S16/S4</f>
        <v>0</v>
      </c>
      <c r="T15" s="14">
        <f>T16/T4</f>
        <v>0</v>
      </c>
    </row>
    <row r="16" spans="2:25">
      <c r="E16" s="3" t="s">
        <v>47</v>
      </c>
      <c r="F16" s="7">
        <v>975.322</v>
      </c>
      <c r="G16" s="7">
        <v>854.8</v>
      </c>
      <c r="H16" s="7">
        <v>1550.19</v>
      </c>
      <c r="I16" s="7">
        <v>1814.616</v>
      </c>
      <c r="J16" s="7">
        <v>1579.183</v>
      </c>
      <c r="K16" s="8">
        <f>K12-K14</f>
        <v>0</v>
      </c>
      <c r="L16" s="8">
        <f>L12-L14</f>
        <v>0</v>
      </c>
      <c r="M16" s="8">
        <f>M12-M14</f>
        <v>0</v>
      </c>
      <c r="N16" s="8">
        <f>N12-N14</f>
        <v>0</v>
      </c>
      <c r="O16" s="8">
        <f>O12-O14</f>
        <v>0</v>
      </c>
      <c r="P16" s="8">
        <f>P12-P14</f>
        <v>0</v>
      </c>
      <c r="Q16" s="8">
        <f>Q12-Q14</f>
        <v>0</v>
      </c>
      <c r="R16" s="8">
        <f>R12-R14</f>
        <v>0</v>
      </c>
      <c r="S16" s="8">
        <f>S12-S14</f>
        <v>0</v>
      </c>
      <c r="T16" s="8">
        <f>T12-T14</f>
        <v>0</v>
      </c>
    </row>
    <row r="17" spans="5:20">
      <c r="E17" s="3" t="s">
        <v>48</v>
      </c>
      <c r="F17" s="6">
        <v>7.49</v>
      </c>
      <c r="G17" s="6">
        <v>6.68</v>
      </c>
      <c r="H17" s="6">
        <v>12.2</v>
      </c>
      <c r="I17" s="6">
        <v>14.64</v>
      </c>
      <c r="J17" s="6">
        <v>13.26</v>
      </c>
      <c r="K17" s="15">
        <f>K16/K18</f>
        <v>0</v>
      </c>
      <c r="L17" s="15">
        <f>L16/L18</f>
        <v>0</v>
      </c>
      <c r="M17" s="15">
        <f>M16/M18</f>
        <v>0</v>
      </c>
      <c r="N17" s="15">
        <f>N16/N18</f>
        <v>0</v>
      </c>
      <c r="O17" s="15">
        <f>O16/O18</f>
        <v>0</v>
      </c>
      <c r="P17" s="15">
        <f>P16/P18</f>
        <v>0</v>
      </c>
      <c r="Q17" s="15">
        <f>Q16/Q18</f>
        <v>0</v>
      </c>
      <c r="R17" s="15">
        <f>R16/R18</f>
        <v>0</v>
      </c>
      <c r="S17" s="15">
        <f>S16/S18</f>
        <v>0</v>
      </c>
      <c r="T17" s="15">
        <f>T16/T18</f>
        <v>0</v>
      </c>
    </row>
    <row r="18" spans="5:20">
      <c r="E18" s="3" t="s">
        <v>49</v>
      </c>
      <c r="F18" s="7">
        <v>130.295</v>
      </c>
      <c r="G18" s="7">
        <v>128.017</v>
      </c>
      <c r="H18" s="7">
        <v>127.06</v>
      </c>
      <c r="I18" s="7">
        <v>123.935</v>
      </c>
      <c r="J18" s="7">
        <v>119.068</v>
      </c>
      <c r="K18" s="8">
        <f>J18*0.985</f>
        <v>0</v>
      </c>
      <c r="L18" s="8">
        <f>K18*0.985</f>
        <v>0</v>
      </c>
      <c r="M18" s="8">
        <f>L18*0.985</f>
        <v>0</v>
      </c>
      <c r="N18" s="8">
        <f>M18*0.985</f>
        <v>0</v>
      </c>
      <c r="O18" s="8">
        <f>N18*0.985</f>
        <v>0</v>
      </c>
      <c r="P18" s="8">
        <f>O18*0.985</f>
        <v>0</v>
      </c>
      <c r="Q18" s="8">
        <f>P18*0.985</f>
        <v>0</v>
      </c>
      <c r="R18" s="8">
        <f>Q18*0.985</f>
        <v>0</v>
      </c>
      <c r="S18" s="8">
        <f>R18*0.985</f>
        <v>0</v>
      </c>
      <c r="T18" s="8">
        <f>S18*0.985</f>
        <v>0</v>
      </c>
    </row>
    <row r="19" spans="5:20">
      <c r="E19" s="3" t="s">
        <v>50</v>
      </c>
      <c r="F19" s="7">
        <v>1259.871</v>
      </c>
      <c r="G19" s="7">
        <v>1154.867</v>
      </c>
      <c r="H19" s="7">
        <v>2243.971</v>
      </c>
      <c r="I19" s="7">
        <v>1984.336</v>
      </c>
      <c r="J19" s="7">
        <v>1807.202</v>
      </c>
      <c r="K19" s="8">
        <f>J19</f>
        <v>0</v>
      </c>
      <c r="L19" s="8">
        <f>J19</f>
        <v>0</v>
      </c>
      <c r="M19" s="8">
        <f>J19</f>
        <v>0</v>
      </c>
      <c r="N19" s="8">
        <f>J19</f>
        <v>0</v>
      </c>
      <c r="O19" s="8">
        <f>J19</f>
        <v>0</v>
      </c>
      <c r="P19" s="8">
        <f>J19</f>
        <v>0</v>
      </c>
      <c r="Q19" s="8">
        <f>J19</f>
        <v>0</v>
      </c>
      <c r="R19" s="8">
        <f>J19</f>
        <v>0</v>
      </c>
      <c r="S19" s="8">
        <f>J19</f>
        <v>0</v>
      </c>
      <c r="T19" s="8">
        <f>J19</f>
        <v>0</v>
      </c>
    </row>
    <row r="20" spans="5:20">
      <c r="E20" s="3" t="s">
        <v>51</v>
      </c>
      <c r="F20" s="7">
        <v>966.481</v>
      </c>
      <c r="G20" s="7">
        <v>1447.367</v>
      </c>
      <c r="H20" s="7">
        <v>1323.602</v>
      </c>
      <c r="I20" s="7">
        <v>1442.081</v>
      </c>
      <c r="J20" s="7">
        <v>1700.753</v>
      </c>
      <c r="K20" s="8">
        <f>K4*0.145</f>
        <v>0</v>
      </c>
      <c r="L20" s="8">
        <f>L4*0.145</f>
        <v>0</v>
      </c>
      <c r="M20" s="8">
        <f>M4*0.145</f>
        <v>0</v>
      </c>
      <c r="N20" s="8">
        <f>N4*0.145</f>
        <v>0</v>
      </c>
      <c r="O20" s="8">
        <f>O4*0.145</f>
        <v>0</v>
      </c>
      <c r="P20" s="8">
        <f>P4*0.145</f>
        <v>0</v>
      </c>
      <c r="Q20" s="8">
        <f>Q4*0.145</f>
        <v>0</v>
      </c>
      <c r="R20" s="8">
        <f>R4*0.145</f>
        <v>0</v>
      </c>
      <c r="S20" s="8">
        <f>S4*0.145</f>
        <v>0</v>
      </c>
      <c r="T20" s="8">
        <f>T4*0.145</f>
        <v>0</v>
      </c>
    </row>
    <row r="21" spans="5:20">
      <c r="E21" s="3" t="s">
        <v>52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8">
        <f>C9</f>
        <v>0</v>
      </c>
      <c r="L21" s="8">
        <f>C9</f>
        <v>0</v>
      </c>
      <c r="M21" s="8">
        <f>C9</f>
        <v>0</v>
      </c>
      <c r="N21" s="8">
        <f>C9</f>
        <v>0</v>
      </c>
      <c r="O21" s="8">
        <f>C9</f>
        <v>0</v>
      </c>
      <c r="P21" s="8">
        <f>C9</f>
        <v>0</v>
      </c>
      <c r="Q21" s="8">
        <f>C9</f>
        <v>0</v>
      </c>
      <c r="R21" s="8">
        <f>C9</f>
        <v>0</v>
      </c>
      <c r="S21" s="8">
        <f>C9</f>
        <v>0</v>
      </c>
      <c r="T21" s="8">
        <f>C9</f>
        <v>0</v>
      </c>
    </row>
    <row r="22" spans="5:20">
      <c r="E22" s="3" t="s">
        <v>53</v>
      </c>
      <c r="F22" s="7">
        <v>881.052</v>
      </c>
      <c r="G22" s="7">
        <v>1070.334</v>
      </c>
      <c r="H22" s="7">
        <v>1403.282</v>
      </c>
      <c r="I22" s="7">
        <v>1575.791</v>
      </c>
      <c r="J22" s="7">
        <v>1798.441</v>
      </c>
      <c r="K22" s="8">
        <f>C10</f>
        <v>0</v>
      </c>
      <c r="L22" s="8">
        <f>C10</f>
        <v>0</v>
      </c>
      <c r="M22" s="8">
        <f>C10</f>
        <v>0</v>
      </c>
      <c r="N22" s="8">
        <f>C10</f>
        <v>0</v>
      </c>
      <c r="O22" s="8">
        <f>C10</f>
        <v>0</v>
      </c>
      <c r="P22" s="8">
        <f>C10</f>
        <v>0</v>
      </c>
      <c r="Q22" s="8">
        <f>C10</f>
        <v>0</v>
      </c>
      <c r="R22" s="8">
        <f>C10</f>
        <v>0</v>
      </c>
      <c r="S22" s="8">
        <f>C10</f>
        <v>0</v>
      </c>
      <c r="T22" s="8">
        <f>C10</f>
        <v>0</v>
      </c>
    </row>
    <row r="23" spans="5:20">
      <c r="E23" s="3" t="s">
        <v>54</v>
      </c>
      <c r="F23" s="7">
        <v>2740.046</v>
      </c>
      <c r="G23" s="7">
        <v>3148.799</v>
      </c>
      <c r="H23" s="7">
        <v>4232.081</v>
      </c>
      <c r="I23" s="7">
        <v>4324.047</v>
      </c>
      <c r="J23" s="7">
        <v>4961.84</v>
      </c>
      <c r="K23" s="8">
        <f>J23</f>
        <v>0</v>
      </c>
      <c r="L23" s="8">
        <f>J23</f>
        <v>0</v>
      </c>
      <c r="M23" s="8">
        <f>J23</f>
        <v>0</v>
      </c>
      <c r="N23" s="8">
        <f>J23</f>
        <v>0</v>
      </c>
      <c r="O23" s="8">
        <f>J23</f>
        <v>0</v>
      </c>
      <c r="P23" s="8">
        <f>J23</f>
        <v>0</v>
      </c>
      <c r="Q23" s="8">
        <f>J23</f>
        <v>0</v>
      </c>
      <c r="R23" s="8">
        <f>J23</f>
        <v>0</v>
      </c>
      <c r="S23" s="8">
        <f>J23</f>
        <v>0</v>
      </c>
      <c r="T23" s="8">
        <f>J23</f>
        <v>0</v>
      </c>
    </row>
    <row r="24" spans="5:20">
      <c r="E24" s="3" t="s">
        <v>55</v>
      </c>
      <c r="F24" s="7">
        <v>1389.108</v>
      </c>
      <c r="G24" s="7">
        <v>966.463</v>
      </c>
      <c r="H24" s="7">
        <v>2296.164</v>
      </c>
      <c r="I24" s="7">
        <v>2272.713</v>
      </c>
      <c r="J24" s="7">
        <v>1602.477</v>
      </c>
      <c r="K24" s="8">
        <f>K27+K25</f>
        <v>0</v>
      </c>
      <c r="L24" s="8">
        <f>L27+L25</f>
        <v>0</v>
      </c>
      <c r="M24" s="8">
        <f>M27+M25</f>
        <v>0</v>
      </c>
      <c r="N24" s="8">
        <f>N27+N25</f>
        <v>0</v>
      </c>
      <c r="O24" s="8">
        <f>O27+O25</f>
        <v>0</v>
      </c>
      <c r="P24" s="8">
        <f>P27+P25</f>
        <v>0</v>
      </c>
      <c r="Q24" s="8">
        <f>Q27+Q25</f>
        <v>0</v>
      </c>
      <c r="R24" s="8">
        <f>R27+R25</f>
        <v>0</v>
      </c>
      <c r="S24" s="8">
        <f>S27+S25</f>
        <v>0</v>
      </c>
      <c r="T24" s="8">
        <f>T27+T25</f>
        <v>0</v>
      </c>
    </row>
    <row r="25" spans="5:20">
      <c r="E25" s="3" t="s">
        <v>56</v>
      </c>
      <c r="F25" s="7">
        <v>394.502</v>
      </c>
      <c r="G25" s="7">
        <v>638.657</v>
      </c>
      <c r="H25" s="7">
        <v>651.865</v>
      </c>
      <c r="I25" s="7">
        <v>689.232</v>
      </c>
      <c r="J25" s="7">
        <v>680.802</v>
      </c>
      <c r="K25" s="8">
        <f>K4*0.060</f>
        <v>0</v>
      </c>
      <c r="L25" s="8">
        <f>L4*0.060</f>
        <v>0</v>
      </c>
      <c r="M25" s="8">
        <f>M4*0.060</f>
        <v>0</v>
      </c>
      <c r="N25" s="8">
        <f>N4*0.060</f>
        <v>0</v>
      </c>
      <c r="O25" s="8">
        <f>O4*0.060</f>
        <v>0</v>
      </c>
      <c r="P25" s="8">
        <f>P4*0.060</f>
        <v>0</v>
      </c>
      <c r="Q25" s="8">
        <f>Q4*0.060</f>
        <v>0</v>
      </c>
      <c r="R25" s="8">
        <f>R4*0.060</f>
        <v>0</v>
      </c>
      <c r="S25" s="8">
        <f>S4*0.060</f>
        <v>0</v>
      </c>
      <c r="T25" s="8">
        <f>T4*0.060</f>
        <v>0</v>
      </c>
    </row>
    <row r="26" spans="5:20">
      <c r="E26" s="3" t="s">
        <v>57</v>
      </c>
      <c r="F26" s="9">
        <f>F27/F4</f>
        <v>0</v>
      </c>
      <c r="G26" s="9">
        <f>G27/G4</f>
        <v>0</v>
      </c>
      <c r="H26" s="9">
        <f>H27/H4</f>
        <v>0</v>
      </c>
      <c r="I26" s="9">
        <f>I27/I4</f>
        <v>0</v>
      </c>
      <c r="J26" s="9">
        <f>J27/J4</f>
        <v>0</v>
      </c>
      <c r="K26" s="10">
        <v>0.095</v>
      </c>
      <c r="L26" s="10">
        <v>0.105</v>
      </c>
      <c r="M26" s="10">
        <v>0.115</v>
      </c>
      <c r="N26" s="10">
        <v>0.125</v>
      </c>
      <c r="O26" s="10">
        <v>0.13</v>
      </c>
      <c r="P26" s="10">
        <v>0.133</v>
      </c>
      <c r="Q26" s="10">
        <v>0.135</v>
      </c>
      <c r="R26" s="10">
        <v>0.137</v>
      </c>
      <c r="S26" s="10">
        <v>0.138</v>
      </c>
      <c r="T26" s="10">
        <v>0.14</v>
      </c>
    </row>
    <row r="27" spans="5:20">
      <c r="E27" s="3" t="s">
        <v>58</v>
      </c>
      <c r="F27" s="7">
        <v>994.606</v>
      </c>
      <c r="G27" s="7">
        <v>327.806</v>
      </c>
      <c r="H27" s="7">
        <v>1644.299</v>
      </c>
      <c r="I27" s="7">
        <v>1583.481</v>
      </c>
      <c r="J27" s="7">
        <v>921.675</v>
      </c>
      <c r="K27" s="8">
        <f>K4*K26</f>
        <v>0</v>
      </c>
      <c r="L27" s="8">
        <f>L4*L26</f>
        <v>0</v>
      </c>
      <c r="M27" s="8">
        <f>M4*M26</f>
        <v>0</v>
      </c>
      <c r="N27" s="8">
        <f>N4*N26</f>
        <v>0</v>
      </c>
      <c r="O27" s="8">
        <f>O4*O26</f>
        <v>0</v>
      </c>
      <c r="P27" s="8">
        <f>P4*P26</f>
        <v>0</v>
      </c>
      <c r="Q27" s="8">
        <f>Q4*Q26</f>
        <v>0</v>
      </c>
      <c r="R27" s="8">
        <f>R4*R26</f>
        <v>0</v>
      </c>
      <c r="S27" s="8">
        <f>S4*S26</f>
        <v>0</v>
      </c>
      <c r="T27" s="8">
        <f>T4*T26</f>
        <v>0</v>
      </c>
    </row>
    <row r="28" spans="5:20">
      <c r="E28" s="3" t="s">
        <v>59</v>
      </c>
      <c r="F28" s="7">
        <v>69.137</v>
      </c>
      <c r="G28" s="7">
        <v>78.075</v>
      </c>
      <c r="H28" s="7">
        <v>93.56</v>
      </c>
      <c r="I28" s="7">
        <v>90.011</v>
      </c>
      <c r="J28" s="7">
        <v>62.203</v>
      </c>
      <c r="K28" s="8">
        <f>K4*0.006</f>
        <v>0</v>
      </c>
      <c r="L28" s="8">
        <f>L4*0.006</f>
        <v>0</v>
      </c>
      <c r="M28" s="8">
        <f>M4*0.006</f>
        <v>0</v>
      </c>
      <c r="N28" s="8">
        <f>N4*0.006</f>
        <v>0</v>
      </c>
      <c r="O28" s="8">
        <f>O4*0.006</f>
        <v>0</v>
      </c>
      <c r="P28" s="8">
        <f>P4*0.006</f>
        <v>0</v>
      </c>
      <c r="Q28" s="8">
        <f>Q4*0.006</f>
        <v>0</v>
      </c>
      <c r="R28" s="8">
        <f>R4*0.006</f>
        <v>0</v>
      </c>
      <c r="S28" s="8">
        <f>S4*0.006</f>
        <v>0</v>
      </c>
      <c r="T28" s="8">
        <f>T4*0.006</f>
        <v>0</v>
      </c>
    </row>
    <row r="29" spans="5:20">
      <c r="E29" s="3" t="s">
        <v>60</v>
      </c>
      <c r="F29" s="7">
        <v>224.206</v>
      </c>
      <c r="G29" s="7">
        <v>291.791</v>
      </c>
      <c r="H29" s="7">
        <v>379.384</v>
      </c>
      <c r="I29" s="7">
        <v>446.524</v>
      </c>
      <c r="J29" s="7">
        <v>496.228</v>
      </c>
      <c r="K29" s="8">
        <f>K4*0.045</f>
        <v>0</v>
      </c>
      <c r="L29" s="8">
        <f>L4*0.045</f>
        <v>0</v>
      </c>
      <c r="M29" s="8">
        <f>M4*0.045</f>
        <v>0</v>
      </c>
      <c r="N29" s="8">
        <f>N4*0.045</f>
        <v>0</v>
      </c>
      <c r="O29" s="8">
        <f>O4*0.045</f>
        <v>0</v>
      </c>
      <c r="P29" s="8">
        <f>P4*0.045</f>
        <v>0</v>
      </c>
      <c r="Q29" s="8">
        <f>Q4*0.045</f>
        <v>0</v>
      </c>
      <c r="R29" s="8">
        <f>R4*0.045</f>
        <v>0</v>
      </c>
      <c r="S29" s="8">
        <f>S4*0.045</f>
        <v>0</v>
      </c>
      <c r="T29" s="8">
        <f>T4*0.045</f>
        <v>0</v>
      </c>
    </row>
    <row r="32" spans="5:20">
      <c r="E32" s="2" t="s">
        <v>61</v>
      </c>
    </row>
    <row r="33" spans="5:6">
      <c r="E33" s="3" t="s">
        <v>62</v>
      </c>
      <c r="F33" s="16">
        <f>C11/J4</f>
        <v>0</v>
      </c>
    </row>
    <row r="34" spans="5:6">
      <c r="E34" s="3" t="s">
        <v>63</v>
      </c>
      <c r="F34" s="16">
        <f>C11/J11</f>
        <v>0</v>
      </c>
    </row>
    <row r="35" spans="5:6">
      <c r="E35" s="3" t="s">
        <v>64</v>
      </c>
      <c r="F35" s="16">
        <f>C11/J27</f>
        <v>0</v>
      </c>
    </row>
    <row r="36" spans="5:6">
      <c r="E36" s="3" t="s">
        <v>65</v>
      </c>
      <c r="F36" s="16">
        <f>C4/J17</f>
        <v>0</v>
      </c>
    </row>
    <row r="37" spans="5:6">
      <c r="E37" s="3" t="s">
        <v>66</v>
      </c>
      <c r="F37" s="6">
        <f>'Scenarios'!C5</f>
        <v>0</v>
      </c>
    </row>
    <row r="38" spans="5:6">
      <c r="E38" s="3" t="s">
        <v>67</v>
      </c>
      <c r="F38" s="9">
        <f>'Scenarios'!D5</f>
        <v>0</v>
      </c>
    </row>
    <row r="39" spans="5:6">
      <c r="E39" s="3" t="s">
        <v>68</v>
      </c>
      <c r="F39" s="9">
        <f>'Scenarios'!C5/C4-1</f>
        <v>0</v>
      </c>
    </row>
    <row r="40" spans="5:6">
      <c r="E40" s="3" t="s">
        <v>69</v>
      </c>
      <c r="F40" s="13" t="s">
        <v>70</v>
      </c>
    </row>
    <row r="42" spans="5:6">
      <c r="E42" s="2" t="s">
        <v>71</v>
      </c>
    </row>
    <row r="43" spans="5:6">
      <c r="E43" s="17" t="s">
        <v>72</v>
      </c>
    </row>
    <row r="44" spans="5:6">
      <c r="E44" s="17" t="s">
        <v>73</v>
      </c>
    </row>
    <row r="45" spans="5:6">
      <c r="E45" s="17" t="s">
        <v>74</v>
      </c>
    </row>
  </sheetData>
  <mergeCells count="2">
    <mergeCell ref="B2:C2"/>
    <mergeCell ref="F2:Y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showGridLines="0" workbookViewId="0"/>
  </sheetViews>
  <sheetFormatPr defaultRowHeight="15"/>
  <cols>
    <col min="1" max="1" width="31.7109375" customWidth="1"/>
    <col min="2" max="2" width="18.7109375" customWidth="1"/>
    <col min="3" max="3" width="92.7109375" customWidth="1"/>
  </cols>
  <sheetData>
    <row r="1" spans="1:3">
      <c r="A1" s="1" t="s">
        <v>75</v>
      </c>
    </row>
    <row r="2" spans="1:3">
      <c r="A2" s="3" t="s">
        <v>76</v>
      </c>
      <c r="B2" s="10">
        <v>0.0456</v>
      </c>
      <c r="C2" s="4" t="s">
        <v>77</v>
      </c>
    </row>
    <row r="3" spans="1:3">
      <c r="A3" s="3" t="s">
        <v>78</v>
      </c>
      <c r="B3" s="10">
        <v>0.05</v>
      </c>
      <c r="C3" s="4" t="s">
        <v>79</v>
      </c>
    </row>
    <row r="4" spans="1:3">
      <c r="A4" s="3" t="s">
        <v>80</v>
      </c>
      <c r="B4" s="10">
        <v>0.9</v>
      </c>
      <c r="C4" s="4" t="s">
        <v>81</v>
      </c>
    </row>
    <row r="5" spans="1:3">
      <c r="A5" s="3" t="s">
        <v>82</v>
      </c>
      <c r="B5" s="10">
        <v>0.01</v>
      </c>
      <c r="C5" s="4" t="s">
        <v>83</v>
      </c>
    </row>
    <row r="6" spans="1:3">
      <c r="A6" s="3" t="s">
        <v>84</v>
      </c>
      <c r="B6" s="9">
        <f>B2+B3*B4+B5</f>
        <v>0</v>
      </c>
      <c r="C6" s="4" t="s">
        <v>85</v>
      </c>
    </row>
    <row r="7" spans="1:3">
      <c r="A7" s="3" t="s">
        <v>86</v>
      </c>
      <c r="B7" s="10">
        <v>0.0525</v>
      </c>
      <c r="C7" s="4" t="s">
        <v>87</v>
      </c>
    </row>
    <row r="8" spans="1:3">
      <c r="A8" s="3" t="s">
        <v>88</v>
      </c>
      <c r="B8" s="10">
        <v>0.295</v>
      </c>
      <c r="C8" s="4" t="s">
        <v>89</v>
      </c>
    </row>
    <row r="9" spans="1:3">
      <c r="A9" s="3" t="s">
        <v>90</v>
      </c>
      <c r="B9" s="9">
        <f>B7*(1-B8)</f>
        <v>0</v>
      </c>
      <c r="C9" s="4" t="s">
        <v>91</v>
      </c>
    </row>
    <row r="10" spans="1:3">
      <c r="A10" s="3" t="s">
        <v>92</v>
      </c>
      <c r="B10" s="12">
        <f>Valuation!C7</f>
        <v>0</v>
      </c>
      <c r="C10" s="4" t="s">
        <v>93</v>
      </c>
    </row>
    <row r="11" spans="1:3">
      <c r="A11" s="3" t="s">
        <v>94</v>
      </c>
      <c r="B11" s="12">
        <f>Valuation!C9+Valuation!C10</f>
        <v>0</v>
      </c>
      <c r="C11" s="4" t="s">
        <v>95</v>
      </c>
    </row>
    <row r="12" spans="1:3">
      <c r="A12" s="3" t="s">
        <v>96</v>
      </c>
      <c r="B12" s="9">
        <f>B10/(B10+B11)</f>
        <v>0</v>
      </c>
      <c r="C12" s="4" t="s">
        <v>91</v>
      </c>
    </row>
    <row r="13" spans="1:3">
      <c r="A13" s="3" t="s">
        <v>97</v>
      </c>
      <c r="B13" s="9">
        <f>B11/(B10+B11)</f>
        <v>0</v>
      </c>
      <c r="C13" s="4" t="s">
        <v>91</v>
      </c>
    </row>
    <row r="14" spans="1:3">
      <c r="A14" s="3" t="s">
        <v>98</v>
      </c>
      <c r="B14" s="9">
        <f>B12*B6+B13*B9</f>
        <v>0</v>
      </c>
      <c r="C14" s="4" t="s">
        <v>99</v>
      </c>
    </row>
    <row r="15" spans="1:3">
      <c r="A15" s="3" t="s">
        <v>100</v>
      </c>
      <c r="B15" s="10">
        <v>0.1</v>
      </c>
      <c r="C15" s="4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M82"/>
  <sheetViews>
    <sheetView showGridLines="0" workbookViewId="0">
      <pane xSplit="4" ySplit="3" topLeftCell="E4" activePane="bottomRight" state="frozen"/>
      <selection pane="topRight" activeCell="E1" sqref="E1"/>
      <selection pane="bottomLeft" activeCell="A4" sqref="A4"/>
      <selection pane="bottomRight"/>
    </sheetView>
  </sheetViews>
  <sheetFormatPr defaultRowHeight="15"/>
  <cols>
    <col min="1" max="1" width="2.7109375" customWidth="1"/>
    <col min="2" max="2" width="25.7109375" customWidth="1"/>
    <col min="3" max="18" width="14.7109375" customWidth="1"/>
  </cols>
  <sheetData>
    <row r="2" spans="2:13">
      <c r="B2" s="1" t="s">
        <v>102</v>
      </c>
    </row>
    <row r="3" spans="2:13">
      <c r="B3" s="5" t="s">
        <v>103</v>
      </c>
      <c r="C3" s="5" t="s">
        <v>104</v>
      </c>
      <c r="D3" s="5" t="s">
        <v>105</v>
      </c>
      <c r="E3" s="5" t="s">
        <v>106</v>
      </c>
      <c r="F3" s="5" t="s">
        <v>107</v>
      </c>
      <c r="G3" s="5" t="s">
        <v>108</v>
      </c>
      <c r="H3" s="5" t="s">
        <v>109</v>
      </c>
      <c r="I3" s="5" t="s">
        <v>110</v>
      </c>
      <c r="J3" s="5" t="s">
        <v>111</v>
      </c>
    </row>
    <row r="4" spans="2:13">
      <c r="B4" s="3" t="s">
        <v>112</v>
      </c>
      <c r="C4" s="6">
        <f>C28</f>
        <v>0</v>
      </c>
      <c r="D4" s="9">
        <f>C29</f>
        <v>0</v>
      </c>
      <c r="E4" s="9">
        <f>D11</f>
        <v>0</v>
      </c>
      <c r="F4" s="9">
        <f>(M12/D12)^(1/9)-1</f>
        <v>0</v>
      </c>
      <c r="G4" s="9">
        <f>M16</f>
        <v>0</v>
      </c>
      <c r="H4" s="9">
        <f>C21</f>
        <v>0</v>
      </c>
      <c r="I4" s="9">
        <f>C22</f>
        <v>0</v>
      </c>
      <c r="J4" s="4" t="s">
        <v>113</v>
      </c>
    </row>
    <row r="5" spans="2:13">
      <c r="B5" s="3" t="s">
        <v>114</v>
      </c>
      <c r="C5" s="6">
        <f>C50</f>
        <v>0</v>
      </c>
      <c r="D5" s="9">
        <f>C51</f>
        <v>0</v>
      </c>
      <c r="E5" s="9">
        <f>D33</f>
        <v>0</v>
      </c>
      <c r="F5" s="9">
        <f>(M34/D34)^(1/9)-1</f>
        <v>0</v>
      </c>
      <c r="G5" s="9">
        <f>M38</f>
        <v>0</v>
      </c>
      <c r="H5" s="9">
        <f>C43</f>
        <v>0</v>
      </c>
      <c r="I5" s="9">
        <f>C44</f>
        <v>0</v>
      </c>
      <c r="J5" s="4" t="s">
        <v>115</v>
      </c>
    </row>
    <row r="6" spans="2:13">
      <c r="B6" s="3" t="s">
        <v>116</v>
      </c>
      <c r="C6" s="6">
        <f>C72</f>
        <v>0</v>
      </c>
      <c r="D6" s="9">
        <f>C73</f>
        <v>0</v>
      </c>
      <c r="E6" s="9">
        <f>D55</f>
        <v>0</v>
      </c>
      <c r="F6" s="9">
        <f>(M56/D56)^(1/9)-1</f>
        <v>0</v>
      </c>
      <c r="G6" s="9">
        <f>M60</f>
        <v>0</v>
      </c>
      <c r="H6" s="9">
        <f>C65</f>
        <v>0</v>
      </c>
      <c r="I6" s="9">
        <f>C66</f>
        <v>0</v>
      </c>
      <c r="J6" s="4" t="s">
        <v>117</v>
      </c>
    </row>
    <row r="9" spans="2:13">
      <c r="B9" s="2" t="s">
        <v>118</v>
      </c>
    </row>
    <row r="10" spans="2:13">
      <c r="B10" s="5" t="s">
        <v>119</v>
      </c>
      <c r="D10" s="5" t="s">
        <v>24</v>
      </c>
      <c r="E10" s="5" t="s">
        <v>25</v>
      </c>
      <c r="F10" s="5" t="s">
        <v>26</v>
      </c>
      <c r="G10" s="5" t="s">
        <v>27</v>
      </c>
      <c r="H10" s="5" t="s">
        <v>28</v>
      </c>
      <c r="I10" s="5" t="s">
        <v>29</v>
      </c>
      <c r="J10" s="5" t="s">
        <v>30</v>
      </c>
      <c r="K10" s="5" t="s">
        <v>31</v>
      </c>
      <c r="L10" s="5" t="s">
        <v>32</v>
      </c>
      <c r="M10" s="5" t="s">
        <v>33</v>
      </c>
    </row>
    <row r="11" spans="2:13">
      <c r="B11" s="3" t="s">
        <v>36</v>
      </c>
      <c r="D11" s="10">
        <v>0.01</v>
      </c>
      <c r="E11" s="10">
        <v>0.015</v>
      </c>
      <c r="F11" s="10">
        <v>0.025</v>
      </c>
      <c r="G11" s="10">
        <v>0.03</v>
      </c>
      <c r="H11" s="10">
        <v>0.03</v>
      </c>
      <c r="I11" s="10">
        <v>0.03</v>
      </c>
      <c r="J11" s="10">
        <v>0.025</v>
      </c>
      <c r="K11" s="10">
        <v>0.022</v>
      </c>
      <c r="L11" s="10">
        <v>0.02</v>
      </c>
      <c r="M11" s="10">
        <v>0.02</v>
      </c>
    </row>
    <row r="12" spans="2:13">
      <c r="B12" s="3" t="s">
        <v>35</v>
      </c>
      <c r="D12" s="8">
        <f>Valuation!J4*(1+D11)</f>
        <v>0</v>
      </c>
      <c r="E12" s="8">
        <f>D12*(1+E11)</f>
        <v>0</v>
      </c>
      <c r="F12" s="8">
        <f>E12*(1+F11)</f>
        <v>0</v>
      </c>
      <c r="G12" s="8">
        <f>F12*(1+G11)</f>
        <v>0</v>
      </c>
      <c r="H12" s="8">
        <f>G12*(1+H11)</f>
        <v>0</v>
      </c>
      <c r="I12" s="8">
        <f>H12*(1+I11)</f>
        <v>0</v>
      </c>
      <c r="J12" s="8">
        <f>I12*(1+J11)</f>
        <v>0</v>
      </c>
      <c r="K12" s="8">
        <f>J12*(1+K11)</f>
        <v>0</v>
      </c>
      <c r="L12" s="8">
        <f>K12*(1+L11)</f>
        <v>0</v>
      </c>
      <c r="M12" s="8">
        <f>L12*(1+M11)</f>
        <v>0</v>
      </c>
    </row>
    <row r="13" spans="2:13">
      <c r="B13" s="3" t="s">
        <v>38</v>
      </c>
      <c r="D13" s="10">
        <v>0.535</v>
      </c>
      <c r="E13" s="10">
        <v>0.538</v>
      </c>
      <c r="F13" s="10">
        <v>0.542</v>
      </c>
      <c r="G13" s="10">
        <v>0.545</v>
      </c>
      <c r="H13" s="10">
        <v>0.548</v>
      </c>
      <c r="I13" s="10">
        <v>0.55</v>
      </c>
      <c r="J13" s="10">
        <v>0.55</v>
      </c>
      <c r="K13" s="10">
        <v>0.55</v>
      </c>
      <c r="L13" s="10">
        <v>0.55</v>
      </c>
      <c r="M13" s="10">
        <v>0.55</v>
      </c>
    </row>
    <row r="14" spans="2:13">
      <c r="B14" s="3" t="s">
        <v>41</v>
      </c>
      <c r="D14" s="10">
        <v>0.16</v>
      </c>
      <c r="E14" s="10">
        <v>0.162</v>
      </c>
      <c r="F14" s="10">
        <v>0.168</v>
      </c>
      <c r="G14" s="10">
        <v>0.172</v>
      </c>
      <c r="H14" s="10">
        <v>0.175</v>
      </c>
      <c r="I14" s="10">
        <v>0.176</v>
      </c>
      <c r="J14" s="10">
        <v>0.176</v>
      </c>
      <c r="K14" s="10">
        <v>0.176</v>
      </c>
      <c r="L14" s="10">
        <v>0.176</v>
      </c>
      <c r="M14" s="10">
        <v>0.176</v>
      </c>
    </row>
    <row r="15" spans="2:13">
      <c r="B15" s="3" t="s">
        <v>42</v>
      </c>
      <c r="D15" s="8">
        <f>D12*D14</f>
        <v>0</v>
      </c>
      <c r="E15" s="8">
        <f>E12*E14</f>
        <v>0</v>
      </c>
      <c r="F15" s="8">
        <f>F12*F14</f>
        <v>0</v>
      </c>
      <c r="G15" s="8">
        <f>G12*G14</f>
        <v>0</v>
      </c>
      <c r="H15" s="8">
        <f>H12*H14</f>
        <v>0</v>
      </c>
      <c r="I15" s="8">
        <f>I12*I14</f>
        <v>0</v>
      </c>
      <c r="J15" s="8">
        <f>J12*J14</f>
        <v>0</v>
      </c>
      <c r="K15" s="8">
        <f>K12*K14</f>
        <v>0</v>
      </c>
      <c r="L15" s="8">
        <f>L12*L14</f>
        <v>0</v>
      </c>
      <c r="M15" s="8">
        <f>M12*M14</f>
        <v>0</v>
      </c>
    </row>
    <row r="16" spans="2:13">
      <c r="B16" s="3" t="s">
        <v>57</v>
      </c>
      <c r="D16" s="10">
        <v>0.07000000000000001</v>
      </c>
      <c r="E16" s="10">
        <v>0.075</v>
      </c>
      <c r="F16" s="10">
        <v>0.08500000000000001</v>
      </c>
      <c r="G16" s="10">
        <v>0.092</v>
      </c>
      <c r="H16" s="10">
        <v>0.097</v>
      </c>
      <c r="I16" s="10">
        <v>0.1</v>
      </c>
      <c r="J16" s="10">
        <v>0.1</v>
      </c>
      <c r="K16" s="10">
        <v>0.1</v>
      </c>
      <c r="L16" s="10">
        <v>0.1</v>
      </c>
      <c r="M16" s="10">
        <v>0.1</v>
      </c>
    </row>
    <row r="17" spans="2:13">
      <c r="B17" s="3" t="s">
        <v>58</v>
      </c>
      <c r="D17" s="8">
        <f>D12*D16</f>
        <v>0</v>
      </c>
      <c r="E17" s="8">
        <f>E12*E16</f>
        <v>0</v>
      </c>
      <c r="F17" s="8">
        <f>F12*F16</f>
        <v>0</v>
      </c>
      <c r="G17" s="8">
        <f>G12*G16</f>
        <v>0</v>
      </c>
      <c r="H17" s="8">
        <f>H12*H16</f>
        <v>0</v>
      </c>
      <c r="I17" s="8">
        <f>I12*I16</f>
        <v>0</v>
      </c>
      <c r="J17" s="8">
        <f>J12*J16</f>
        <v>0</v>
      </c>
      <c r="K17" s="8">
        <f>K12*K16</f>
        <v>0</v>
      </c>
      <c r="L17" s="8">
        <f>L12*L16</f>
        <v>0</v>
      </c>
      <c r="M17" s="8">
        <f>M12*M16</f>
        <v>0</v>
      </c>
    </row>
    <row r="18" spans="2:13">
      <c r="B18" s="3" t="s">
        <v>120</v>
      </c>
      <c r="D18" s="8">
        <f>1/(1+$C$21)^1</f>
        <v>0</v>
      </c>
      <c r="E18" s="8">
        <f>1/(1+$C$21)^2</f>
        <v>0</v>
      </c>
      <c r="F18" s="8">
        <f>1/(1+$C$21)^3</f>
        <v>0</v>
      </c>
      <c r="G18" s="8">
        <f>1/(1+$C$21)^4</f>
        <v>0</v>
      </c>
      <c r="H18" s="8">
        <f>1/(1+$C$21)^5</f>
        <v>0</v>
      </c>
      <c r="I18" s="8">
        <f>1/(1+$C$21)^6</f>
        <v>0</v>
      </c>
      <c r="J18" s="8">
        <f>1/(1+$C$21)^7</f>
        <v>0</v>
      </c>
      <c r="K18" s="8">
        <f>1/(1+$C$21)^8</f>
        <v>0</v>
      </c>
      <c r="L18" s="8">
        <f>1/(1+$C$21)^9</f>
        <v>0</v>
      </c>
      <c r="M18" s="8">
        <f>1/(1+$C$21)^10</f>
        <v>0</v>
      </c>
    </row>
    <row r="19" spans="2:13">
      <c r="B19" s="3" t="s">
        <v>121</v>
      </c>
      <c r="D19" s="8">
        <f>D17*D18</f>
        <v>0</v>
      </c>
      <c r="E19" s="8">
        <f>E17*E18</f>
        <v>0</v>
      </c>
      <c r="F19" s="8">
        <f>F17*F18</f>
        <v>0</v>
      </c>
      <c r="G19" s="8">
        <f>G17*G18</f>
        <v>0</v>
      </c>
      <c r="H19" s="8">
        <f>H17*H18</f>
        <v>0</v>
      </c>
      <c r="I19" s="8">
        <f>I17*I18</f>
        <v>0</v>
      </c>
      <c r="J19" s="8">
        <f>J17*J18</f>
        <v>0</v>
      </c>
      <c r="K19" s="8">
        <f>K17*K18</f>
        <v>0</v>
      </c>
      <c r="L19" s="8">
        <f>L17*L18</f>
        <v>0</v>
      </c>
      <c r="M19" s="8">
        <f>M17*M18</f>
        <v>0</v>
      </c>
    </row>
    <row r="20" spans="2:13">
      <c r="B20" s="2" t="s">
        <v>122</v>
      </c>
    </row>
    <row r="21" spans="2:13">
      <c r="B21" s="3" t="s">
        <v>109</v>
      </c>
      <c r="C21" s="10">
        <v>0.11</v>
      </c>
    </row>
    <row r="22" spans="2:13">
      <c r="B22" s="3" t="s">
        <v>110</v>
      </c>
      <c r="C22" s="10">
        <v>0.015</v>
      </c>
    </row>
    <row r="23" spans="2:13">
      <c r="B23" s="3" t="s">
        <v>123</v>
      </c>
      <c r="C23" s="12">
        <f>SUM(D19:M19)</f>
        <v>0</v>
      </c>
    </row>
    <row r="24" spans="2:13">
      <c r="B24" s="3" t="s">
        <v>124</v>
      </c>
      <c r="C24" s="12">
        <f>M17*(1+C22)/(C21-C22)</f>
        <v>0</v>
      </c>
    </row>
    <row r="25" spans="2:13">
      <c r="B25" s="3" t="s">
        <v>125</v>
      </c>
      <c r="C25" s="12">
        <f>C24*M18</f>
        <v>0</v>
      </c>
    </row>
    <row r="26" spans="2:13">
      <c r="B26" s="3" t="s">
        <v>126</v>
      </c>
      <c r="C26" s="12">
        <f>C23+C25</f>
        <v>0</v>
      </c>
    </row>
    <row r="27" spans="2:13">
      <c r="B27" s="3" t="s">
        <v>127</v>
      </c>
      <c r="C27" s="12">
        <f>C26+Valuation!$C$8-Valuation!$C$9-Valuation!$C$10</f>
        <v>0</v>
      </c>
    </row>
    <row r="28" spans="2:13">
      <c r="B28" s="3" t="s">
        <v>104</v>
      </c>
      <c r="C28" s="6">
        <f>C27/Valuation!$C$6</f>
        <v>0</v>
      </c>
    </row>
    <row r="29" spans="2:13">
      <c r="B29" s="3" t="s">
        <v>105</v>
      </c>
      <c r="C29" s="9">
        <f>(C28/Valuation!$C$4)^(1/10)-1</f>
        <v>0</v>
      </c>
    </row>
    <row r="30" spans="2:13">
      <c r="B30" s="3" t="s">
        <v>128</v>
      </c>
      <c r="C30" s="4" t="s">
        <v>113</v>
      </c>
    </row>
    <row r="31" spans="2:13">
      <c r="B31" s="2" t="s">
        <v>129</v>
      </c>
    </row>
    <row r="32" spans="2:13">
      <c r="B32" s="5" t="s">
        <v>119</v>
      </c>
      <c r="D32" s="5" t="s">
        <v>24</v>
      </c>
      <c r="E32" s="5" t="s">
        <v>25</v>
      </c>
      <c r="F32" s="5" t="s">
        <v>26</v>
      </c>
      <c r="G32" s="5" t="s">
        <v>27</v>
      </c>
      <c r="H32" s="5" t="s">
        <v>28</v>
      </c>
      <c r="I32" s="5" t="s">
        <v>29</v>
      </c>
      <c r="J32" s="5" t="s">
        <v>30</v>
      </c>
      <c r="K32" s="5" t="s">
        <v>31</v>
      </c>
      <c r="L32" s="5" t="s">
        <v>32</v>
      </c>
      <c r="M32" s="5" t="s">
        <v>33</v>
      </c>
    </row>
    <row r="33" spans="2:13">
      <c r="B33" s="3" t="s">
        <v>36</v>
      </c>
      <c r="D33" s="10">
        <v>0.029</v>
      </c>
      <c r="E33" s="10">
        <v>0.04</v>
      </c>
      <c r="F33" s="10">
        <v>0.05</v>
      </c>
      <c r="G33" s="10">
        <v>0.05</v>
      </c>
      <c r="H33" s="10">
        <v>0.045</v>
      </c>
      <c r="I33" s="10">
        <v>0.04</v>
      </c>
      <c r="J33" s="10">
        <v>0.035</v>
      </c>
      <c r="K33" s="10">
        <v>0.03</v>
      </c>
      <c r="L33" s="10">
        <v>0.028</v>
      </c>
      <c r="M33" s="10">
        <v>0.025</v>
      </c>
    </row>
    <row r="34" spans="2:13">
      <c r="B34" s="3" t="s">
        <v>35</v>
      </c>
      <c r="D34" s="8">
        <f>Valuation!J4*(1+D33)</f>
        <v>0</v>
      </c>
      <c r="E34" s="8">
        <f>D34*(1+E33)</f>
        <v>0</v>
      </c>
      <c r="F34" s="8">
        <f>E34*(1+F33)</f>
        <v>0</v>
      </c>
      <c r="G34" s="8">
        <f>F34*(1+G33)</f>
        <v>0</v>
      </c>
      <c r="H34" s="8">
        <f>G34*(1+H33)</f>
        <v>0</v>
      </c>
      <c r="I34" s="8">
        <f>H34*(1+I33)</f>
        <v>0</v>
      </c>
      <c r="J34" s="8">
        <f>I34*(1+J33)</f>
        <v>0</v>
      </c>
      <c r="K34" s="8">
        <f>J34*(1+K33)</f>
        <v>0</v>
      </c>
      <c r="L34" s="8">
        <f>K34*(1+L33)</f>
        <v>0</v>
      </c>
      <c r="M34" s="8">
        <f>L34*(1+M33)</f>
        <v>0</v>
      </c>
    </row>
    <row r="35" spans="2:13">
      <c r="B35" s="3" t="s">
        <v>38</v>
      </c>
      <c r="D35" s="10">
        <v>0.55</v>
      </c>
      <c r="E35" s="10">
        <v>0.555</v>
      </c>
      <c r="F35" s="10">
        <v>0.5600000000000001</v>
      </c>
      <c r="G35" s="10">
        <v>0.5649999999999999</v>
      </c>
      <c r="H35" s="10">
        <v>0.57</v>
      </c>
      <c r="I35" s="10">
        <v>0.573</v>
      </c>
      <c r="J35" s="10">
        <v>0.575</v>
      </c>
      <c r="K35" s="10">
        <v>0.576</v>
      </c>
      <c r="L35" s="10">
        <v>0.577</v>
      </c>
      <c r="M35" s="10">
        <v>0.578</v>
      </c>
    </row>
    <row r="36" spans="2:13">
      <c r="B36" s="3" t="s">
        <v>41</v>
      </c>
      <c r="D36" s="10">
        <v>0.18</v>
      </c>
      <c r="E36" s="10">
        <v>0.188</v>
      </c>
      <c r="F36" s="10">
        <v>0.195</v>
      </c>
      <c r="G36" s="10">
        <v>0.202</v>
      </c>
      <c r="H36" s="10">
        <v>0.207</v>
      </c>
      <c r="I36" s="10">
        <v>0.211</v>
      </c>
      <c r="J36" s="10">
        <v>0.213</v>
      </c>
      <c r="K36" s="10">
        <v>0.214</v>
      </c>
      <c r="L36" s="10">
        <v>0.215</v>
      </c>
      <c r="M36" s="10">
        <v>0.215</v>
      </c>
    </row>
    <row r="37" spans="2:13">
      <c r="B37" s="3" t="s">
        <v>42</v>
      </c>
      <c r="D37" s="8">
        <f>D34*D36</f>
        <v>0</v>
      </c>
      <c r="E37" s="8">
        <f>E34*E36</f>
        <v>0</v>
      </c>
      <c r="F37" s="8">
        <f>F34*F36</f>
        <v>0</v>
      </c>
      <c r="G37" s="8">
        <f>G34*G36</f>
        <v>0</v>
      </c>
      <c r="H37" s="8">
        <f>H34*H36</f>
        <v>0</v>
      </c>
      <c r="I37" s="8">
        <f>I34*I36</f>
        <v>0</v>
      </c>
      <c r="J37" s="8">
        <f>J34*J36</f>
        <v>0</v>
      </c>
      <c r="K37" s="8">
        <f>K34*K36</f>
        <v>0</v>
      </c>
      <c r="L37" s="8">
        <f>L34*L36</f>
        <v>0</v>
      </c>
      <c r="M37" s="8">
        <f>M34*M36</f>
        <v>0</v>
      </c>
    </row>
    <row r="38" spans="2:13">
      <c r="B38" s="3" t="s">
        <v>57</v>
      </c>
      <c r="D38" s="10">
        <v>0.095</v>
      </c>
      <c r="E38" s="10">
        <v>0.105</v>
      </c>
      <c r="F38" s="10">
        <v>0.115</v>
      </c>
      <c r="G38" s="10">
        <v>0.125</v>
      </c>
      <c r="H38" s="10">
        <v>0.13</v>
      </c>
      <c r="I38" s="10">
        <v>0.133</v>
      </c>
      <c r="J38" s="10">
        <v>0.135</v>
      </c>
      <c r="K38" s="10">
        <v>0.137</v>
      </c>
      <c r="L38" s="10">
        <v>0.138</v>
      </c>
      <c r="M38" s="10">
        <v>0.14</v>
      </c>
    </row>
    <row r="39" spans="2:13">
      <c r="B39" s="3" t="s">
        <v>58</v>
      </c>
      <c r="D39" s="8">
        <f>D34*D38</f>
        <v>0</v>
      </c>
      <c r="E39" s="8">
        <f>E34*E38</f>
        <v>0</v>
      </c>
      <c r="F39" s="8">
        <f>F34*F38</f>
        <v>0</v>
      </c>
      <c r="G39" s="8">
        <f>G34*G38</f>
        <v>0</v>
      </c>
      <c r="H39" s="8">
        <f>H34*H38</f>
        <v>0</v>
      </c>
      <c r="I39" s="8">
        <f>I34*I38</f>
        <v>0</v>
      </c>
      <c r="J39" s="8">
        <f>J34*J38</f>
        <v>0</v>
      </c>
      <c r="K39" s="8">
        <f>K34*K38</f>
        <v>0</v>
      </c>
      <c r="L39" s="8">
        <f>L34*L38</f>
        <v>0</v>
      </c>
      <c r="M39" s="8">
        <f>M34*M38</f>
        <v>0</v>
      </c>
    </row>
    <row r="40" spans="2:13">
      <c r="B40" s="3" t="s">
        <v>120</v>
      </c>
      <c r="D40" s="8">
        <f>1/(1+$C$43)^1</f>
        <v>0</v>
      </c>
      <c r="E40" s="8">
        <f>1/(1+$C$43)^2</f>
        <v>0</v>
      </c>
      <c r="F40" s="8">
        <f>1/(1+$C$43)^3</f>
        <v>0</v>
      </c>
      <c r="G40" s="8">
        <f>1/(1+$C$43)^4</f>
        <v>0</v>
      </c>
      <c r="H40" s="8">
        <f>1/(1+$C$43)^5</f>
        <v>0</v>
      </c>
      <c r="I40" s="8">
        <f>1/(1+$C$43)^6</f>
        <v>0</v>
      </c>
      <c r="J40" s="8">
        <f>1/(1+$C$43)^7</f>
        <v>0</v>
      </c>
      <c r="K40" s="8">
        <f>1/(1+$C$43)^8</f>
        <v>0</v>
      </c>
      <c r="L40" s="8">
        <f>1/(1+$C$43)^9</f>
        <v>0</v>
      </c>
      <c r="M40" s="8">
        <f>1/(1+$C$43)^10</f>
        <v>0</v>
      </c>
    </row>
    <row r="41" spans="2:13">
      <c r="B41" s="3" t="s">
        <v>121</v>
      </c>
      <c r="D41" s="8">
        <f>D39*D40</f>
        <v>0</v>
      </c>
      <c r="E41" s="8">
        <f>E39*E40</f>
        <v>0</v>
      </c>
      <c r="F41" s="8">
        <f>F39*F40</f>
        <v>0</v>
      </c>
      <c r="G41" s="8">
        <f>G39*G40</f>
        <v>0</v>
      </c>
      <c r="H41" s="8">
        <f>H39*H40</f>
        <v>0</v>
      </c>
      <c r="I41" s="8">
        <f>I39*I40</f>
        <v>0</v>
      </c>
      <c r="J41" s="8">
        <f>J39*J40</f>
        <v>0</v>
      </c>
      <c r="K41" s="8">
        <f>K39*K40</f>
        <v>0</v>
      </c>
      <c r="L41" s="8">
        <f>L39*L40</f>
        <v>0</v>
      </c>
      <c r="M41" s="8">
        <f>M39*M40</f>
        <v>0</v>
      </c>
    </row>
    <row r="42" spans="2:13">
      <c r="B42" s="2" t="s">
        <v>122</v>
      </c>
    </row>
    <row r="43" spans="2:13">
      <c r="B43" s="3" t="s">
        <v>109</v>
      </c>
      <c r="C43" s="10">
        <v>0.1</v>
      </c>
    </row>
    <row r="44" spans="2:13">
      <c r="B44" s="3" t="s">
        <v>110</v>
      </c>
      <c r="C44" s="10">
        <v>0.025</v>
      </c>
    </row>
    <row r="45" spans="2:13">
      <c r="B45" s="3" t="s">
        <v>123</v>
      </c>
      <c r="C45" s="12">
        <f>SUM(D41:M41)</f>
        <v>0</v>
      </c>
    </row>
    <row r="46" spans="2:13">
      <c r="B46" s="3" t="s">
        <v>124</v>
      </c>
      <c r="C46" s="12">
        <f>M39*(1+C44)/(C43-C44)</f>
        <v>0</v>
      </c>
    </row>
    <row r="47" spans="2:13">
      <c r="B47" s="3" t="s">
        <v>125</v>
      </c>
      <c r="C47" s="12">
        <f>C46*M40</f>
        <v>0</v>
      </c>
    </row>
    <row r="48" spans="2:13">
      <c r="B48" s="3" t="s">
        <v>126</v>
      </c>
      <c r="C48" s="12">
        <f>C45+C47</f>
        <v>0</v>
      </c>
    </row>
    <row r="49" spans="2:13">
      <c r="B49" s="3" t="s">
        <v>127</v>
      </c>
      <c r="C49" s="12">
        <f>C48+Valuation!$C$8-Valuation!$C$9-Valuation!$C$10</f>
        <v>0</v>
      </c>
    </row>
    <row r="50" spans="2:13">
      <c r="B50" s="3" t="s">
        <v>104</v>
      </c>
      <c r="C50" s="6">
        <f>C49/Valuation!$C$6</f>
        <v>0</v>
      </c>
    </row>
    <row r="51" spans="2:13">
      <c r="B51" s="3" t="s">
        <v>105</v>
      </c>
      <c r="C51" s="9">
        <f>(C50/Valuation!$C$4)^(1/10)-1</f>
        <v>0</v>
      </c>
    </row>
    <row r="52" spans="2:13">
      <c r="B52" s="3" t="s">
        <v>128</v>
      </c>
      <c r="C52" s="4" t="s">
        <v>115</v>
      </c>
    </row>
    <row r="53" spans="2:13">
      <c r="B53" s="2" t="s">
        <v>130</v>
      </c>
    </row>
    <row r="54" spans="2:13">
      <c r="B54" s="5" t="s">
        <v>119</v>
      </c>
      <c r="D54" s="5" t="s">
        <v>24</v>
      </c>
      <c r="E54" s="5" t="s">
        <v>25</v>
      </c>
      <c r="F54" s="5" t="s">
        <v>26</v>
      </c>
      <c r="G54" s="5" t="s">
        <v>27</v>
      </c>
      <c r="H54" s="5" t="s">
        <v>28</v>
      </c>
      <c r="I54" s="5" t="s">
        <v>29</v>
      </c>
      <c r="J54" s="5" t="s">
        <v>30</v>
      </c>
      <c r="K54" s="5" t="s">
        <v>31</v>
      </c>
      <c r="L54" s="5" t="s">
        <v>32</v>
      </c>
      <c r="M54" s="5" t="s">
        <v>33</v>
      </c>
    </row>
    <row r="55" spans="2:13">
      <c r="B55" s="3" t="s">
        <v>36</v>
      </c>
      <c r="D55" s="10">
        <v>0.04</v>
      </c>
      <c r="E55" s="10">
        <v>0.06</v>
      </c>
      <c r="F55" s="10">
        <v>0.07000000000000001</v>
      </c>
      <c r="G55" s="10">
        <v>0.065</v>
      </c>
      <c r="H55" s="10">
        <v>0.06</v>
      </c>
      <c r="I55" s="10">
        <v>0.055</v>
      </c>
      <c r="J55" s="10">
        <v>0.05</v>
      </c>
      <c r="K55" s="10">
        <v>0.045</v>
      </c>
      <c r="L55" s="10">
        <v>0.04</v>
      </c>
      <c r="M55" s="10">
        <v>0.035</v>
      </c>
    </row>
    <row r="56" spans="2:13">
      <c r="B56" s="3" t="s">
        <v>35</v>
      </c>
      <c r="D56" s="8">
        <f>Valuation!J4*(1+D55)</f>
        <v>0</v>
      </c>
      <c r="E56" s="8">
        <f>D56*(1+E55)</f>
        <v>0</v>
      </c>
      <c r="F56" s="8">
        <f>E56*(1+F55)</f>
        <v>0</v>
      </c>
      <c r="G56" s="8">
        <f>F56*(1+G55)</f>
        <v>0</v>
      </c>
      <c r="H56" s="8">
        <f>G56*(1+H55)</f>
        <v>0</v>
      </c>
      <c r="I56" s="8">
        <f>H56*(1+I55)</f>
        <v>0</v>
      </c>
      <c r="J56" s="8">
        <f>I56*(1+J55)</f>
        <v>0</v>
      </c>
      <c r="K56" s="8">
        <f>J56*(1+K55)</f>
        <v>0</v>
      </c>
      <c r="L56" s="8">
        <f>K56*(1+L55)</f>
        <v>0</v>
      </c>
      <c r="M56" s="8">
        <f>L56*(1+M55)</f>
        <v>0</v>
      </c>
    </row>
    <row r="57" spans="2:13">
      <c r="B57" s="3" t="s">
        <v>38</v>
      </c>
      <c r="D57" s="10">
        <v>0.5600000000000001</v>
      </c>
      <c r="E57" s="10">
        <v>0.5679999999999999</v>
      </c>
      <c r="F57" s="10">
        <v>0.575</v>
      </c>
      <c r="G57" s="10">
        <v>0.58</v>
      </c>
      <c r="H57" s="10">
        <v>0.583</v>
      </c>
      <c r="I57" s="10">
        <v>0.585</v>
      </c>
      <c r="J57" s="10">
        <v>0.587</v>
      </c>
      <c r="K57" s="10">
        <v>0.588</v>
      </c>
      <c r="L57" s="10">
        <v>0.589</v>
      </c>
      <c r="M57" s="10">
        <v>0.59</v>
      </c>
    </row>
    <row r="58" spans="2:13">
      <c r="B58" s="3" t="s">
        <v>41</v>
      </c>
      <c r="D58" s="10">
        <v>0.19</v>
      </c>
      <c r="E58" s="10">
        <v>0.205</v>
      </c>
      <c r="F58" s="10">
        <v>0.218</v>
      </c>
      <c r="G58" s="10">
        <v>0.228</v>
      </c>
      <c r="H58" s="10">
        <v>0.235</v>
      </c>
      <c r="I58" s="10">
        <v>0.24</v>
      </c>
      <c r="J58" s="10">
        <v>0.242</v>
      </c>
      <c r="K58" s="10">
        <v>0.243</v>
      </c>
      <c r="L58" s="10">
        <v>0.244</v>
      </c>
      <c r="M58" s="10">
        <v>0.245</v>
      </c>
    </row>
    <row r="59" spans="2:13">
      <c r="B59" s="3" t="s">
        <v>42</v>
      </c>
      <c r="D59" s="8">
        <f>D56*D58</f>
        <v>0</v>
      </c>
      <c r="E59" s="8">
        <f>E56*E58</f>
        <v>0</v>
      </c>
      <c r="F59" s="8">
        <f>F56*F58</f>
        <v>0</v>
      </c>
      <c r="G59" s="8">
        <f>G56*G58</f>
        <v>0</v>
      </c>
      <c r="H59" s="8">
        <f>H56*H58</f>
        <v>0</v>
      </c>
      <c r="I59" s="8">
        <f>I56*I58</f>
        <v>0</v>
      </c>
      <c r="J59" s="8">
        <f>J56*J58</f>
        <v>0</v>
      </c>
      <c r="K59" s="8">
        <f>K56*K58</f>
        <v>0</v>
      </c>
      <c r="L59" s="8">
        <f>L56*L58</f>
        <v>0</v>
      </c>
      <c r="M59" s="8">
        <f>M56*M58</f>
        <v>0</v>
      </c>
    </row>
    <row r="60" spans="2:13">
      <c r="B60" s="3" t="s">
        <v>57</v>
      </c>
      <c r="D60" s="10">
        <v>0.105</v>
      </c>
      <c r="E60" s="10">
        <v>0.12</v>
      </c>
      <c r="F60" s="10">
        <v>0.135</v>
      </c>
      <c r="G60" s="10">
        <v>0.145</v>
      </c>
      <c r="H60" s="10">
        <v>0.152</v>
      </c>
      <c r="I60" s="10">
        <v>0.156</v>
      </c>
      <c r="J60" s="10">
        <v>0.158</v>
      </c>
      <c r="K60" s="10">
        <v>0.16</v>
      </c>
      <c r="L60" s="10">
        <v>0.16</v>
      </c>
      <c r="M60" s="10">
        <v>0.16</v>
      </c>
    </row>
    <row r="61" spans="2:13">
      <c r="B61" s="3" t="s">
        <v>58</v>
      </c>
      <c r="D61" s="8">
        <f>D56*D60</f>
        <v>0</v>
      </c>
      <c r="E61" s="8">
        <f>E56*E60</f>
        <v>0</v>
      </c>
      <c r="F61" s="8">
        <f>F56*F60</f>
        <v>0</v>
      </c>
      <c r="G61" s="8">
        <f>G56*G60</f>
        <v>0</v>
      </c>
      <c r="H61" s="8">
        <f>H56*H60</f>
        <v>0</v>
      </c>
      <c r="I61" s="8">
        <f>I56*I60</f>
        <v>0</v>
      </c>
      <c r="J61" s="8">
        <f>J56*J60</f>
        <v>0</v>
      </c>
      <c r="K61" s="8">
        <f>K56*K60</f>
        <v>0</v>
      </c>
      <c r="L61" s="8">
        <f>L56*L60</f>
        <v>0</v>
      </c>
      <c r="M61" s="8">
        <f>M56*M60</f>
        <v>0</v>
      </c>
    </row>
    <row r="62" spans="2:13">
      <c r="B62" s="3" t="s">
        <v>120</v>
      </c>
      <c r="D62" s="8">
        <f>1/(1+$C$65)^1</f>
        <v>0</v>
      </c>
      <c r="E62" s="8">
        <f>1/(1+$C$65)^2</f>
        <v>0</v>
      </c>
      <c r="F62" s="8">
        <f>1/(1+$C$65)^3</f>
        <v>0</v>
      </c>
      <c r="G62" s="8">
        <f>1/(1+$C$65)^4</f>
        <v>0</v>
      </c>
      <c r="H62" s="8">
        <f>1/(1+$C$65)^5</f>
        <v>0</v>
      </c>
      <c r="I62" s="8">
        <f>1/(1+$C$65)^6</f>
        <v>0</v>
      </c>
      <c r="J62" s="8">
        <f>1/(1+$C$65)^7</f>
        <v>0</v>
      </c>
      <c r="K62" s="8">
        <f>1/(1+$C$65)^8</f>
        <v>0</v>
      </c>
      <c r="L62" s="8">
        <f>1/(1+$C$65)^9</f>
        <v>0</v>
      </c>
      <c r="M62" s="8">
        <f>1/(1+$C$65)^10</f>
        <v>0</v>
      </c>
    </row>
    <row r="63" spans="2:13">
      <c r="B63" s="3" t="s">
        <v>121</v>
      </c>
      <c r="D63" s="8">
        <f>D61*D62</f>
        <v>0</v>
      </c>
      <c r="E63" s="8">
        <f>E61*E62</f>
        <v>0</v>
      </c>
      <c r="F63" s="8">
        <f>F61*F62</f>
        <v>0</v>
      </c>
      <c r="G63" s="8">
        <f>G61*G62</f>
        <v>0</v>
      </c>
      <c r="H63" s="8">
        <f>H61*H62</f>
        <v>0</v>
      </c>
      <c r="I63" s="8">
        <f>I61*I62</f>
        <v>0</v>
      </c>
      <c r="J63" s="8">
        <f>J61*J62</f>
        <v>0</v>
      </c>
      <c r="K63" s="8">
        <f>K61*K62</f>
        <v>0</v>
      </c>
      <c r="L63" s="8">
        <f>L61*L62</f>
        <v>0</v>
      </c>
      <c r="M63" s="8">
        <f>M61*M62</f>
        <v>0</v>
      </c>
    </row>
    <row r="64" spans="2:13">
      <c r="B64" s="2" t="s">
        <v>122</v>
      </c>
    </row>
    <row r="65" spans="2:7">
      <c r="B65" s="3" t="s">
        <v>109</v>
      </c>
      <c r="C65" s="10">
        <v>0.095</v>
      </c>
    </row>
    <row r="66" spans="2:7">
      <c r="B66" s="3" t="s">
        <v>110</v>
      </c>
      <c r="C66" s="10">
        <v>0.03</v>
      </c>
    </row>
    <row r="67" spans="2:7">
      <c r="B67" s="3" t="s">
        <v>123</v>
      </c>
      <c r="C67" s="12">
        <f>SUM(D63:M63)</f>
        <v>0</v>
      </c>
    </row>
    <row r="68" spans="2:7">
      <c r="B68" s="3" t="s">
        <v>124</v>
      </c>
      <c r="C68" s="12">
        <f>M61*(1+C66)/(C65-C66)</f>
        <v>0</v>
      </c>
    </row>
    <row r="69" spans="2:7">
      <c r="B69" s="3" t="s">
        <v>125</v>
      </c>
      <c r="C69" s="12">
        <f>C68*M62</f>
        <v>0</v>
      </c>
    </row>
    <row r="70" spans="2:7">
      <c r="B70" s="3" t="s">
        <v>126</v>
      </c>
      <c r="C70" s="12">
        <f>C67+C69</f>
        <v>0</v>
      </c>
    </row>
    <row r="71" spans="2:7">
      <c r="B71" s="3" t="s">
        <v>127</v>
      </c>
      <c r="C71" s="12">
        <f>C70+Valuation!$C$8-Valuation!$C$9-Valuation!$C$10</f>
        <v>0</v>
      </c>
    </row>
    <row r="72" spans="2:7">
      <c r="B72" s="3" t="s">
        <v>104</v>
      </c>
      <c r="C72" s="6">
        <f>C71/Valuation!$C$6</f>
        <v>0</v>
      </c>
    </row>
    <row r="73" spans="2:7">
      <c r="B73" s="3" t="s">
        <v>105</v>
      </c>
      <c r="C73" s="9">
        <f>(C72/Valuation!$C$4)^(1/10)-1</f>
        <v>0</v>
      </c>
    </row>
    <row r="74" spans="2:7">
      <c r="B74" s="3" t="s">
        <v>128</v>
      </c>
      <c r="C74" s="4" t="s">
        <v>117</v>
      </c>
    </row>
    <row r="76" spans="2:7">
      <c r="B76" s="2" t="s">
        <v>131</v>
      </c>
    </row>
    <row r="77" spans="2:7">
      <c r="B77" s="5" t="s">
        <v>104</v>
      </c>
      <c r="C77" s="10">
        <v>0.015</v>
      </c>
      <c r="D77" s="10">
        <v>0.02</v>
      </c>
      <c r="E77" s="10">
        <v>0.025</v>
      </c>
      <c r="F77" s="10">
        <v>0.03</v>
      </c>
      <c r="G77" s="10">
        <v>0.035</v>
      </c>
    </row>
    <row r="78" spans="2:7">
      <c r="B78" s="10">
        <v>0.08500000000000001</v>
      </c>
      <c r="C78" s="6">
        <f>((D39/(1+$B78)^1+E39/(1+$B78)^2+F39/(1+$B78)^3+G39/(1+$B78)^4+H39/(1+$B78)^5+I39/(1+$B78)^6+J39/(1+$B78)^7+K39/(1+$B78)^8+L39/(1+$B78)^9+M39/(1+$B78)^10)+(M39*(1+C77)/($B78-C77))/(1+$B78)^10+Valuation!$C$8-Valuation!$C$9-Valuation!$C$10)/Valuation!$C$6</f>
        <v>0</v>
      </c>
      <c r="D78" s="6">
        <f>((D39/(1+$B78)^1+E39/(1+$B78)^2+F39/(1+$B78)^3+G39/(1+$B78)^4+H39/(1+$B78)^5+I39/(1+$B78)^6+J39/(1+$B78)^7+K39/(1+$B78)^8+L39/(1+$B78)^9+M39/(1+$B78)^10)+(M39*(1+D77)/($B78-D77))/(1+$B78)^10+Valuation!$C$8-Valuation!$C$9-Valuation!$C$10)/Valuation!$C$6</f>
        <v>0</v>
      </c>
      <c r="E78" s="6">
        <f>((D39/(1+$B78)^1+E39/(1+$B78)^2+F39/(1+$B78)^3+G39/(1+$B78)^4+H39/(1+$B78)^5+I39/(1+$B78)^6+J39/(1+$B78)^7+K39/(1+$B78)^8+L39/(1+$B78)^9+M39/(1+$B78)^10)+(M39*(1+E77)/($B78-E77))/(1+$B78)^10+Valuation!$C$8-Valuation!$C$9-Valuation!$C$10)/Valuation!$C$6</f>
        <v>0</v>
      </c>
      <c r="F78" s="6">
        <f>((D39/(1+$B78)^1+E39/(1+$B78)^2+F39/(1+$B78)^3+G39/(1+$B78)^4+H39/(1+$B78)^5+I39/(1+$B78)^6+J39/(1+$B78)^7+K39/(1+$B78)^8+L39/(1+$B78)^9+M39/(1+$B78)^10)+(M39*(1+F77)/($B78-F77))/(1+$B78)^10+Valuation!$C$8-Valuation!$C$9-Valuation!$C$10)/Valuation!$C$6</f>
        <v>0</v>
      </c>
      <c r="G78" s="6">
        <f>((D39/(1+$B78)^1+E39/(1+$B78)^2+F39/(1+$B78)^3+G39/(1+$B78)^4+H39/(1+$B78)^5+I39/(1+$B78)^6+J39/(1+$B78)^7+K39/(1+$B78)^8+L39/(1+$B78)^9+M39/(1+$B78)^10)+(M39*(1+G77)/($B78-G77))/(1+$B78)^10+Valuation!$C$8-Valuation!$C$9-Valuation!$C$10)/Valuation!$C$6</f>
        <v>0</v>
      </c>
    </row>
    <row r="79" spans="2:7">
      <c r="B79" s="10">
        <v>0.095</v>
      </c>
      <c r="C79" s="6">
        <f>((D39/(1+$B79)^1+E39/(1+$B79)^2+F39/(1+$B79)^3+G39/(1+$B79)^4+H39/(1+$B79)^5+I39/(1+$B79)^6+J39/(1+$B79)^7+K39/(1+$B79)^8+L39/(1+$B79)^9+M39/(1+$B79)^10)+(M39*(1+C77)/($B79-C77))/(1+$B79)^10+Valuation!$C$8-Valuation!$C$9-Valuation!$C$10)/Valuation!$C$6</f>
        <v>0</v>
      </c>
      <c r="D79" s="6">
        <f>((D39/(1+$B79)^1+E39/(1+$B79)^2+F39/(1+$B79)^3+G39/(1+$B79)^4+H39/(1+$B79)^5+I39/(1+$B79)^6+J39/(1+$B79)^7+K39/(1+$B79)^8+L39/(1+$B79)^9+M39/(1+$B79)^10)+(M39*(1+D77)/($B79-D77))/(1+$B79)^10+Valuation!$C$8-Valuation!$C$9-Valuation!$C$10)/Valuation!$C$6</f>
        <v>0</v>
      </c>
      <c r="E79" s="6">
        <f>((D39/(1+$B79)^1+E39/(1+$B79)^2+F39/(1+$B79)^3+G39/(1+$B79)^4+H39/(1+$B79)^5+I39/(1+$B79)^6+J39/(1+$B79)^7+K39/(1+$B79)^8+L39/(1+$B79)^9+M39/(1+$B79)^10)+(M39*(1+E77)/($B79-E77))/(1+$B79)^10+Valuation!$C$8-Valuation!$C$9-Valuation!$C$10)/Valuation!$C$6</f>
        <v>0</v>
      </c>
      <c r="F79" s="6">
        <f>((D39/(1+$B79)^1+E39/(1+$B79)^2+F39/(1+$B79)^3+G39/(1+$B79)^4+H39/(1+$B79)^5+I39/(1+$B79)^6+J39/(1+$B79)^7+K39/(1+$B79)^8+L39/(1+$B79)^9+M39/(1+$B79)^10)+(M39*(1+F77)/($B79-F77))/(1+$B79)^10+Valuation!$C$8-Valuation!$C$9-Valuation!$C$10)/Valuation!$C$6</f>
        <v>0</v>
      </c>
      <c r="G79" s="6">
        <f>((D39/(1+$B79)^1+E39/(1+$B79)^2+F39/(1+$B79)^3+G39/(1+$B79)^4+H39/(1+$B79)^5+I39/(1+$B79)^6+J39/(1+$B79)^7+K39/(1+$B79)^8+L39/(1+$B79)^9+M39/(1+$B79)^10)+(M39*(1+G77)/($B79-G77))/(1+$B79)^10+Valuation!$C$8-Valuation!$C$9-Valuation!$C$10)/Valuation!$C$6</f>
        <v>0</v>
      </c>
    </row>
    <row r="80" spans="2:7">
      <c r="B80" s="10">
        <v>0.1</v>
      </c>
      <c r="C80" s="6">
        <f>((D39/(1+$B80)^1+E39/(1+$B80)^2+F39/(1+$B80)^3+G39/(1+$B80)^4+H39/(1+$B80)^5+I39/(1+$B80)^6+J39/(1+$B80)^7+K39/(1+$B80)^8+L39/(1+$B80)^9+M39/(1+$B80)^10)+(M39*(1+C77)/($B80-C77))/(1+$B80)^10+Valuation!$C$8-Valuation!$C$9-Valuation!$C$10)/Valuation!$C$6</f>
        <v>0</v>
      </c>
      <c r="D80" s="6">
        <f>((D39/(1+$B80)^1+E39/(1+$B80)^2+F39/(1+$B80)^3+G39/(1+$B80)^4+H39/(1+$B80)^5+I39/(1+$B80)^6+J39/(1+$B80)^7+K39/(1+$B80)^8+L39/(1+$B80)^9+M39/(1+$B80)^10)+(M39*(1+D77)/($B80-D77))/(1+$B80)^10+Valuation!$C$8-Valuation!$C$9-Valuation!$C$10)/Valuation!$C$6</f>
        <v>0</v>
      </c>
      <c r="E80" s="6">
        <f>((D39/(1+$B80)^1+E39/(1+$B80)^2+F39/(1+$B80)^3+G39/(1+$B80)^4+H39/(1+$B80)^5+I39/(1+$B80)^6+J39/(1+$B80)^7+K39/(1+$B80)^8+L39/(1+$B80)^9+M39/(1+$B80)^10)+(M39*(1+E77)/($B80-E77))/(1+$B80)^10+Valuation!$C$8-Valuation!$C$9-Valuation!$C$10)/Valuation!$C$6</f>
        <v>0</v>
      </c>
      <c r="F80" s="6">
        <f>((D39/(1+$B80)^1+E39/(1+$B80)^2+F39/(1+$B80)^3+G39/(1+$B80)^4+H39/(1+$B80)^5+I39/(1+$B80)^6+J39/(1+$B80)^7+K39/(1+$B80)^8+L39/(1+$B80)^9+M39/(1+$B80)^10)+(M39*(1+F77)/($B80-F77))/(1+$B80)^10+Valuation!$C$8-Valuation!$C$9-Valuation!$C$10)/Valuation!$C$6</f>
        <v>0</v>
      </c>
      <c r="G80" s="6">
        <f>((D39/(1+$B80)^1+E39/(1+$B80)^2+F39/(1+$B80)^3+G39/(1+$B80)^4+H39/(1+$B80)^5+I39/(1+$B80)^6+J39/(1+$B80)^7+K39/(1+$B80)^8+L39/(1+$B80)^9+M39/(1+$B80)^10)+(M39*(1+G77)/($B80-G77))/(1+$B80)^10+Valuation!$C$8-Valuation!$C$9-Valuation!$C$10)/Valuation!$C$6</f>
        <v>0</v>
      </c>
    </row>
    <row r="81" spans="2:7">
      <c r="B81" s="10">
        <v>0.105</v>
      </c>
      <c r="C81" s="6">
        <f>((D39/(1+$B81)^1+E39/(1+$B81)^2+F39/(1+$B81)^3+G39/(1+$B81)^4+H39/(1+$B81)^5+I39/(1+$B81)^6+J39/(1+$B81)^7+K39/(1+$B81)^8+L39/(1+$B81)^9+M39/(1+$B81)^10)+(M39*(1+C77)/($B81-C77))/(1+$B81)^10+Valuation!$C$8-Valuation!$C$9-Valuation!$C$10)/Valuation!$C$6</f>
        <v>0</v>
      </c>
      <c r="D81" s="6">
        <f>((D39/(1+$B81)^1+E39/(1+$B81)^2+F39/(1+$B81)^3+G39/(1+$B81)^4+H39/(1+$B81)^5+I39/(1+$B81)^6+J39/(1+$B81)^7+K39/(1+$B81)^8+L39/(1+$B81)^9+M39/(1+$B81)^10)+(M39*(1+D77)/($B81-D77))/(1+$B81)^10+Valuation!$C$8-Valuation!$C$9-Valuation!$C$10)/Valuation!$C$6</f>
        <v>0</v>
      </c>
      <c r="E81" s="6">
        <f>((D39/(1+$B81)^1+E39/(1+$B81)^2+F39/(1+$B81)^3+G39/(1+$B81)^4+H39/(1+$B81)^5+I39/(1+$B81)^6+J39/(1+$B81)^7+K39/(1+$B81)^8+L39/(1+$B81)^9+M39/(1+$B81)^10)+(M39*(1+E77)/($B81-E77))/(1+$B81)^10+Valuation!$C$8-Valuation!$C$9-Valuation!$C$10)/Valuation!$C$6</f>
        <v>0</v>
      </c>
      <c r="F81" s="6">
        <f>((D39/(1+$B81)^1+E39/(1+$B81)^2+F39/(1+$B81)^3+G39/(1+$B81)^4+H39/(1+$B81)^5+I39/(1+$B81)^6+J39/(1+$B81)^7+K39/(1+$B81)^8+L39/(1+$B81)^9+M39/(1+$B81)^10)+(M39*(1+F77)/($B81-F77))/(1+$B81)^10+Valuation!$C$8-Valuation!$C$9-Valuation!$C$10)/Valuation!$C$6</f>
        <v>0</v>
      </c>
      <c r="G81" s="6">
        <f>((D39/(1+$B81)^1+E39/(1+$B81)^2+F39/(1+$B81)^3+G39/(1+$B81)^4+H39/(1+$B81)^5+I39/(1+$B81)^6+J39/(1+$B81)^7+K39/(1+$B81)^8+L39/(1+$B81)^9+M39/(1+$B81)^10)+(M39*(1+G77)/($B81-G77))/(1+$B81)^10+Valuation!$C$8-Valuation!$C$9-Valuation!$C$10)/Valuation!$C$6</f>
        <v>0</v>
      </c>
    </row>
    <row r="82" spans="2:7">
      <c r="B82" s="10">
        <v>0.115</v>
      </c>
      <c r="C82" s="6">
        <f>((D39/(1+$B82)^1+E39/(1+$B82)^2+F39/(1+$B82)^3+G39/(1+$B82)^4+H39/(1+$B82)^5+I39/(1+$B82)^6+J39/(1+$B82)^7+K39/(1+$B82)^8+L39/(1+$B82)^9+M39/(1+$B82)^10)+(M39*(1+C77)/($B82-C77))/(1+$B82)^10+Valuation!$C$8-Valuation!$C$9-Valuation!$C$10)/Valuation!$C$6</f>
        <v>0</v>
      </c>
      <c r="D82" s="6">
        <f>((D39/(1+$B82)^1+E39/(1+$B82)^2+F39/(1+$B82)^3+G39/(1+$B82)^4+H39/(1+$B82)^5+I39/(1+$B82)^6+J39/(1+$B82)^7+K39/(1+$B82)^8+L39/(1+$B82)^9+M39/(1+$B82)^10)+(M39*(1+D77)/($B82-D77))/(1+$B82)^10+Valuation!$C$8-Valuation!$C$9-Valuation!$C$10)/Valuation!$C$6</f>
        <v>0</v>
      </c>
      <c r="E82" s="6">
        <f>((D39/(1+$B82)^1+E39/(1+$B82)^2+F39/(1+$B82)^3+G39/(1+$B82)^4+H39/(1+$B82)^5+I39/(1+$B82)^6+J39/(1+$B82)^7+K39/(1+$B82)^8+L39/(1+$B82)^9+M39/(1+$B82)^10)+(M39*(1+E77)/($B82-E77))/(1+$B82)^10+Valuation!$C$8-Valuation!$C$9-Valuation!$C$10)/Valuation!$C$6</f>
        <v>0</v>
      </c>
      <c r="F82" s="6">
        <f>((D39/(1+$B82)^1+E39/(1+$B82)^2+F39/(1+$B82)^3+G39/(1+$B82)^4+H39/(1+$B82)^5+I39/(1+$B82)^6+J39/(1+$B82)^7+K39/(1+$B82)^8+L39/(1+$B82)^9+M39/(1+$B82)^10)+(M39*(1+F77)/($B82-F77))/(1+$B82)^10+Valuation!$C$8-Valuation!$C$9-Valuation!$C$10)/Valuation!$C$6</f>
        <v>0</v>
      </c>
      <c r="G82" s="6">
        <f>((D39/(1+$B82)^1+E39/(1+$B82)^2+F39/(1+$B82)^3+G39/(1+$B82)^4+H39/(1+$B82)^5+I39/(1+$B82)^6+J39/(1+$B82)^7+K39/(1+$B82)^8+L39/(1+$B82)^9+M39/(1+$B82)^10)+(M39*(1+G77)/($B82-G77))/(1+$B82)^10+Valuation!$C$8-Valuation!$C$9-Valuation!$C$10)/Valuation!$C$6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2.7109375" customWidth="1"/>
    <col min="3" max="5" width="18.7109375" customWidth="1"/>
    <col min="6" max="7" width="48.7109375" customWidth="1"/>
    <col min="8" max="8" width="18.7109375" customWidth="1"/>
    <col min="9" max="9" width="38.7109375" customWidth="1"/>
    <col min="10" max="10" width="18.7109375" customWidth="1"/>
    <col min="11" max="11" width="38.7109375" customWidth="1"/>
    <col min="12" max="12" width="46.7109375" customWidth="1"/>
    <col min="13" max="13" width="18.7109375" customWidth="1"/>
  </cols>
  <sheetData>
    <row r="1" spans="1:13">
      <c r="A1" s="5" t="s">
        <v>132</v>
      </c>
      <c r="B1" s="5" t="s">
        <v>133</v>
      </c>
      <c r="C1" s="5" t="s">
        <v>134</v>
      </c>
      <c r="D1" s="5" t="s">
        <v>135</v>
      </c>
      <c r="E1" s="5" t="s">
        <v>136</v>
      </c>
      <c r="F1" s="5" t="s">
        <v>137</v>
      </c>
      <c r="G1" s="5" t="s">
        <v>138</v>
      </c>
      <c r="H1" s="5" t="s">
        <v>139</v>
      </c>
      <c r="I1" s="5" t="s">
        <v>140</v>
      </c>
      <c r="J1" s="5" t="s">
        <v>141</v>
      </c>
      <c r="K1" s="5" t="s">
        <v>142</v>
      </c>
      <c r="L1" s="5" t="s">
        <v>143</v>
      </c>
      <c r="M1" s="5" t="s">
        <v>144</v>
      </c>
    </row>
    <row r="2" spans="1:13">
      <c r="A2" s="4" t="s">
        <v>35</v>
      </c>
      <c r="B2" s="18" t="s">
        <v>19</v>
      </c>
      <c r="C2" s="7">
        <v>6256.617</v>
      </c>
      <c r="D2" s="18" t="s">
        <v>145</v>
      </c>
      <c r="E2" s="7">
        <v>6256.617</v>
      </c>
      <c r="F2" s="4" t="s">
        <v>146</v>
      </c>
      <c r="G2" s="4" t="s">
        <v>147</v>
      </c>
      <c r="H2" s="7">
        <v>6257</v>
      </c>
      <c r="I2" s="4" t="s">
        <v>148</v>
      </c>
      <c r="J2" s="7">
        <v>6257</v>
      </c>
      <c r="K2" s="4" t="s">
        <v>149</v>
      </c>
      <c r="L2" s="4" t="s">
        <v>150</v>
      </c>
      <c r="M2" s="18" t="s">
        <v>151</v>
      </c>
    </row>
    <row r="3" spans="1:13">
      <c r="A3" s="4" t="s">
        <v>35</v>
      </c>
      <c r="B3" s="18" t="s">
        <v>20</v>
      </c>
      <c r="C3" s="7">
        <v>8110.518</v>
      </c>
      <c r="D3" s="18" t="s">
        <v>145</v>
      </c>
      <c r="E3" s="7">
        <v>8110.518</v>
      </c>
      <c r="F3" s="4" t="s">
        <v>146</v>
      </c>
      <c r="G3" s="4" t="s">
        <v>147</v>
      </c>
      <c r="H3" s="7">
        <v>8111</v>
      </c>
      <c r="I3" s="4" t="s">
        <v>148</v>
      </c>
      <c r="J3" s="7">
        <v>8111</v>
      </c>
      <c r="K3" s="4" t="s">
        <v>149</v>
      </c>
      <c r="L3" s="4" t="s">
        <v>150</v>
      </c>
      <c r="M3" s="18" t="s">
        <v>151</v>
      </c>
    </row>
    <row r="4" spans="1:13">
      <c r="A4" s="4" t="s">
        <v>35</v>
      </c>
      <c r="B4" s="18" t="s">
        <v>21</v>
      </c>
      <c r="C4" s="7">
        <v>9619.278</v>
      </c>
      <c r="D4" s="18" t="s">
        <v>145</v>
      </c>
      <c r="E4" s="7">
        <v>9619.278</v>
      </c>
      <c r="F4" s="4" t="s">
        <v>146</v>
      </c>
      <c r="G4" s="4" t="s">
        <v>152</v>
      </c>
      <c r="H4" s="7">
        <v>9619</v>
      </c>
      <c r="I4" s="4" t="s">
        <v>148</v>
      </c>
      <c r="J4" s="7">
        <v>9619</v>
      </c>
      <c r="K4" s="4" t="s">
        <v>149</v>
      </c>
      <c r="L4" s="4" t="s">
        <v>150</v>
      </c>
      <c r="M4" s="18" t="s">
        <v>151</v>
      </c>
    </row>
    <row r="5" spans="1:13">
      <c r="A5" s="4" t="s">
        <v>35</v>
      </c>
      <c r="B5" s="18" t="s">
        <v>22</v>
      </c>
      <c r="C5" s="7">
        <v>10588.126</v>
      </c>
      <c r="D5" s="18" t="s">
        <v>145</v>
      </c>
      <c r="E5" s="7">
        <v>10588.126</v>
      </c>
      <c r="F5" s="4" t="s">
        <v>146</v>
      </c>
      <c r="G5" s="4" t="s">
        <v>152</v>
      </c>
      <c r="H5" s="7">
        <v>10588</v>
      </c>
      <c r="I5" s="4" t="s">
        <v>148</v>
      </c>
      <c r="J5" s="7">
        <v>10588</v>
      </c>
      <c r="K5" s="4" t="s">
        <v>149</v>
      </c>
      <c r="L5" s="4" t="s">
        <v>150</v>
      </c>
      <c r="M5" s="18" t="s">
        <v>151</v>
      </c>
    </row>
    <row r="6" spans="1:13">
      <c r="A6" s="4" t="s">
        <v>35</v>
      </c>
      <c r="B6" s="18" t="s">
        <v>23</v>
      </c>
      <c r="C6" s="7">
        <v>11102.6</v>
      </c>
      <c r="D6" s="18" t="s">
        <v>145</v>
      </c>
      <c r="E6" s="7">
        <v>11102.6</v>
      </c>
      <c r="F6" s="4" t="s">
        <v>146</v>
      </c>
      <c r="G6" s="4" t="s">
        <v>152</v>
      </c>
      <c r="H6" s="7">
        <v>11103</v>
      </c>
      <c r="I6" s="4" t="s">
        <v>148</v>
      </c>
      <c r="J6" s="7">
        <v>11103</v>
      </c>
      <c r="K6" s="4" t="s">
        <v>149</v>
      </c>
      <c r="L6" s="4" t="s">
        <v>150</v>
      </c>
      <c r="M6" s="18" t="s">
        <v>151</v>
      </c>
    </row>
    <row r="7" spans="1:13">
      <c r="A7" s="4" t="s">
        <v>39</v>
      </c>
      <c r="B7" s="18" t="s">
        <v>19</v>
      </c>
      <c r="C7" s="7">
        <v>3608.565</v>
      </c>
      <c r="D7" s="18" t="s">
        <v>145</v>
      </c>
      <c r="E7" s="7">
        <v>3608.565</v>
      </c>
      <c r="F7" s="4" t="s">
        <v>146</v>
      </c>
      <c r="G7" s="4" t="s">
        <v>147</v>
      </c>
      <c r="H7" s="7">
        <v>3609</v>
      </c>
      <c r="I7" s="4" t="s">
        <v>148</v>
      </c>
      <c r="J7" s="7">
        <v>3609</v>
      </c>
      <c r="K7" s="4" t="s">
        <v>149</v>
      </c>
      <c r="L7" s="4" t="s">
        <v>150</v>
      </c>
      <c r="M7" s="18" t="s">
        <v>153</v>
      </c>
    </row>
    <row r="8" spans="1:13">
      <c r="A8" s="4" t="s">
        <v>39</v>
      </c>
      <c r="B8" s="18" t="s">
        <v>20</v>
      </c>
      <c r="C8" s="7">
        <v>4492.34</v>
      </c>
      <c r="D8" s="18" t="s">
        <v>145</v>
      </c>
      <c r="E8" s="7">
        <v>4492.34</v>
      </c>
      <c r="F8" s="4" t="s">
        <v>146</v>
      </c>
      <c r="G8" s="4" t="s">
        <v>147</v>
      </c>
      <c r="H8" s="7">
        <v>4492</v>
      </c>
      <c r="I8" s="4" t="s">
        <v>148</v>
      </c>
      <c r="J8" s="7">
        <v>4492</v>
      </c>
      <c r="K8" s="4" t="s">
        <v>149</v>
      </c>
      <c r="L8" s="4" t="s">
        <v>150</v>
      </c>
      <c r="M8" s="18" t="s">
        <v>153</v>
      </c>
    </row>
    <row r="9" spans="1:13">
      <c r="A9" s="4" t="s">
        <v>39</v>
      </c>
      <c r="B9" s="18" t="s">
        <v>21</v>
      </c>
      <c r="C9" s="7">
        <v>5609.405</v>
      </c>
      <c r="D9" s="18" t="s">
        <v>145</v>
      </c>
      <c r="E9" s="7">
        <v>5609.405</v>
      </c>
      <c r="F9" s="4" t="s">
        <v>146</v>
      </c>
      <c r="G9" s="4" t="s">
        <v>152</v>
      </c>
      <c r="H9" s="7">
        <v>5609</v>
      </c>
      <c r="I9" s="4" t="s">
        <v>148</v>
      </c>
      <c r="J9" s="7">
        <v>5609</v>
      </c>
      <c r="K9" s="4" t="s">
        <v>149</v>
      </c>
      <c r="L9" s="4" t="s">
        <v>150</v>
      </c>
      <c r="M9" s="18" t="s">
        <v>153</v>
      </c>
    </row>
    <row r="10" spans="1:13">
      <c r="A10" s="4" t="s">
        <v>39</v>
      </c>
      <c r="B10" s="18" t="s">
        <v>22</v>
      </c>
      <c r="C10" s="7">
        <v>6270.811</v>
      </c>
      <c r="D10" s="18" t="s">
        <v>145</v>
      </c>
      <c r="E10" s="7">
        <v>6270.811</v>
      </c>
      <c r="F10" s="4" t="s">
        <v>146</v>
      </c>
      <c r="G10" s="4" t="s">
        <v>152</v>
      </c>
      <c r="H10" s="7">
        <v>6271</v>
      </c>
      <c r="I10" s="4" t="s">
        <v>148</v>
      </c>
      <c r="J10" s="7">
        <v>6271</v>
      </c>
      <c r="K10" s="4" t="s">
        <v>149</v>
      </c>
      <c r="L10" s="4" t="s">
        <v>150</v>
      </c>
      <c r="M10" s="18" t="s">
        <v>153</v>
      </c>
    </row>
    <row r="11" spans="1:13">
      <c r="A11" s="4" t="s">
        <v>39</v>
      </c>
      <c r="B11" s="18" t="s">
        <v>23</v>
      </c>
      <c r="C11" s="7">
        <v>6284.132</v>
      </c>
      <c r="D11" s="18" t="s">
        <v>145</v>
      </c>
      <c r="E11" s="7">
        <v>6284.132</v>
      </c>
      <c r="F11" s="4" t="s">
        <v>146</v>
      </c>
      <c r="G11" s="4" t="s">
        <v>152</v>
      </c>
      <c r="H11" s="7">
        <v>6284</v>
      </c>
      <c r="I11" s="4" t="s">
        <v>148</v>
      </c>
      <c r="J11" s="7">
        <v>6284</v>
      </c>
      <c r="K11" s="4" t="s">
        <v>149</v>
      </c>
      <c r="L11" s="4" t="s">
        <v>150</v>
      </c>
      <c r="M11" s="18" t="s">
        <v>153</v>
      </c>
    </row>
    <row r="12" spans="1:13">
      <c r="A12" s="4" t="s">
        <v>42</v>
      </c>
      <c r="B12" s="18" t="s">
        <v>19</v>
      </c>
      <c r="C12" s="7">
        <v>1333.355</v>
      </c>
      <c r="D12" s="18" t="s">
        <v>145</v>
      </c>
      <c r="E12" s="7">
        <v>1333.355</v>
      </c>
      <c r="F12" s="4" t="s">
        <v>146</v>
      </c>
      <c r="G12" s="4" t="s">
        <v>147</v>
      </c>
      <c r="H12" s="7">
        <v>1333</v>
      </c>
      <c r="I12" s="4" t="s">
        <v>148</v>
      </c>
      <c r="J12" s="7">
        <v>1333</v>
      </c>
      <c r="K12" s="4" t="s">
        <v>149</v>
      </c>
      <c r="L12" s="4" t="s">
        <v>150</v>
      </c>
      <c r="M12" s="18" t="s">
        <v>154</v>
      </c>
    </row>
    <row r="13" spans="1:13">
      <c r="A13" s="4" t="s">
        <v>42</v>
      </c>
      <c r="B13" s="18" t="s">
        <v>20</v>
      </c>
      <c r="C13" s="7">
        <v>1328.408</v>
      </c>
      <c r="D13" s="18" t="s">
        <v>145</v>
      </c>
      <c r="E13" s="7">
        <v>1328.408</v>
      </c>
      <c r="F13" s="4" t="s">
        <v>146</v>
      </c>
      <c r="G13" s="4" t="s">
        <v>147</v>
      </c>
      <c r="H13" s="7">
        <v>1328</v>
      </c>
      <c r="I13" s="4" t="s">
        <v>148</v>
      </c>
      <c r="J13" s="7">
        <v>1328</v>
      </c>
      <c r="K13" s="4" t="s">
        <v>149</v>
      </c>
      <c r="L13" s="4" t="s">
        <v>150</v>
      </c>
      <c r="M13" s="18" t="s">
        <v>154</v>
      </c>
    </row>
    <row r="14" spans="1:13">
      <c r="A14" s="4" t="s">
        <v>42</v>
      </c>
      <c r="B14" s="18" t="s">
        <v>21</v>
      </c>
      <c r="C14" s="7">
        <v>2132.676</v>
      </c>
      <c r="D14" s="18" t="s">
        <v>145</v>
      </c>
      <c r="E14" s="7">
        <v>2132.676</v>
      </c>
      <c r="F14" s="4" t="s">
        <v>146</v>
      </c>
      <c r="G14" s="4" t="s">
        <v>152</v>
      </c>
      <c r="H14" s="7">
        <v>2133</v>
      </c>
      <c r="I14" s="4" t="s">
        <v>148</v>
      </c>
      <c r="J14" s="7">
        <v>2133</v>
      </c>
      <c r="K14" s="4" t="s">
        <v>149</v>
      </c>
      <c r="L14" s="4" t="s">
        <v>150</v>
      </c>
      <c r="M14" s="18" t="s">
        <v>154</v>
      </c>
    </row>
    <row r="15" spans="1:13">
      <c r="A15" s="4" t="s">
        <v>42</v>
      </c>
      <c r="B15" s="18" t="s">
        <v>22</v>
      </c>
      <c r="C15" s="7">
        <v>2505.697</v>
      </c>
      <c r="D15" s="18" t="s">
        <v>145</v>
      </c>
      <c r="E15" s="7">
        <v>2505.697</v>
      </c>
      <c r="F15" s="4" t="s">
        <v>146</v>
      </c>
      <c r="G15" s="4" t="s">
        <v>152</v>
      </c>
      <c r="H15" s="7">
        <v>2506</v>
      </c>
      <c r="I15" s="4" t="s">
        <v>148</v>
      </c>
      <c r="J15" s="7">
        <v>2506</v>
      </c>
      <c r="K15" s="4" t="s">
        <v>149</v>
      </c>
      <c r="L15" s="4" t="s">
        <v>150</v>
      </c>
      <c r="M15" s="18" t="s">
        <v>154</v>
      </c>
    </row>
    <row r="16" spans="1:13">
      <c r="A16" s="4" t="s">
        <v>42</v>
      </c>
      <c r="B16" s="18" t="s">
        <v>23</v>
      </c>
      <c r="C16" s="7">
        <v>2210.615</v>
      </c>
      <c r="D16" s="18" t="s">
        <v>145</v>
      </c>
      <c r="E16" s="7">
        <v>2210.615</v>
      </c>
      <c r="F16" s="4" t="s">
        <v>146</v>
      </c>
      <c r="G16" s="4" t="s">
        <v>152</v>
      </c>
      <c r="H16" s="7">
        <v>2211</v>
      </c>
      <c r="I16" s="4" t="s">
        <v>148</v>
      </c>
      <c r="J16" s="7">
        <v>2211</v>
      </c>
      <c r="K16" s="4" t="s">
        <v>149</v>
      </c>
      <c r="L16" s="4" t="s">
        <v>150</v>
      </c>
      <c r="M16" s="18" t="s">
        <v>154</v>
      </c>
    </row>
    <row r="17" spans="1:13">
      <c r="A17" s="4" t="s">
        <v>47</v>
      </c>
      <c r="B17" s="18" t="s">
        <v>19</v>
      </c>
      <c r="C17" s="7">
        <v>975.322</v>
      </c>
      <c r="D17" s="18" t="s">
        <v>145</v>
      </c>
      <c r="E17" s="7">
        <v>975.322</v>
      </c>
      <c r="F17" s="4" t="s">
        <v>146</v>
      </c>
      <c r="G17" s="4" t="s">
        <v>147</v>
      </c>
      <c r="H17" s="7">
        <v>975.3200000000001</v>
      </c>
      <c r="I17" s="4" t="s">
        <v>148</v>
      </c>
      <c r="J17" s="7">
        <v>975</v>
      </c>
      <c r="K17" s="4" t="s">
        <v>149</v>
      </c>
      <c r="L17" s="4" t="s">
        <v>150</v>
      </c>
      <c r="M17" s="18" t="s">
        <v>155</v>
      </c>
    </row>
    <row r="18" spans="1:13">
      <c r="A18" s="4" t="s">
        <v>47</v>
      </c>
      <c r="B18" s="18" t="s">
        <v>20</v>
      </c>
      <c r="C18" s="7">
        <v>854.8</v>
      </c>
      <c r="D18" s="18" t="s">
        <v>145</v>
      </c>
      <c r="E18" s="7">
        <v>854.8</v>
      </c>
      <c r="F18" s="4" t="s">
        <v>146</v>
      </c>
      <c r="G18" s="4" t="s">
        <v>147</v>
      </c>
      <c r="H18" s="7">
        <v>854.8</v>
      </c>
      <c r="I18" s="4" t="s">
        <v>148</v>
      </c>
      <c r="J18" s="7">
        <v>855</v>
      </c>
      <c r="K18" s="4" t="s">
        <v>149</v>
      </c>
      <c r="L18" s="4" t="s">
        <v>150</v>
      </c>
      <c r="M18" s="18" t="s">
        <v>155</v>
      </c>
    </row>
    <row r="19" spans="1:13">
      <c r="A19" s="4" t="s">
        <v>47</v>
      </c>
      <c r="B19" s="18" t="s">
        <v>21</v>
      </c>
      <c r="C19" s="7">
        <v>1550.19</v>
      </c>
      <c r="D19" s="18" t="s">
        <v>145</v>
      </c>
      <c r="E19" s="7">
        <v>1550.19</v>
      </c>
      <c r="F19" s="4" t="s">
        <v>146</v>
      </c>
      <c r="G19" s="4" t="s">
        <v>152</v>
      </c>
      <c r="H19" s="7">
        <v>1550</v>
      </c>
      <c r="I19" s="4" t="s">
        <v>148</v>
      </c>
      <c r="J19" s="7">
        <v>1550</v>
      </c>
      <c r="K19" s="4" t="s">
        <v>149</v>
      </c>
      <c r="L19" s="4" t="s">
        <v>150</v>
      </c>
      <c r="M19" s="18" t="s">
        <v>155</v>
      </c>
    </row>
    <row r="20" spans="1:13">
      <c r="A20" s="4" t="s">
        <v>47</v>
      </c>
      <c r="B20" s="18" t="s">
        <v>22</v>
      </c>
      <c r="C20" s="7">
        <v>1814.616</v>
      </c>
      <c r="D20" s="18" t="s">
        <v>145</v>
      </c>
      <c r="E20" s="7">
        <v>1814.616</v>
      </c>
      <c r="F20" s="4" t="s">
        <v>146</v>
      </c>
      <c r="G20" s="4" t="s">
        <v>152</v>
      </c>
      <c r="H20" s="7">
        <v>1815</v>
      </c>
      <c r="I20" s="4" t="s">
        <v>148</v>
      </c>
      <c r="J20" s="7">
        <v>1815</v>
      </c>
      <c r="K20" s="4" t="s">
        <v>149</v>
      </c>
      <c r="L20" s="4" t="s">
        <v>150</v>
      </c>
      <c r="M20" s="18" t="s">
        <v>155</v>
      </c>
    </row>
    <row r="21" spans="1:13">
      <c r="A21" s="4" t="s">
        <v>47</v>
      </c>
      <c r="B21" s="18" t="s">
        <v>23</v>
      </c>
      <c r="C21" s="7">
        <v>1579.183</v>
      </c>
      <c r="D21" s="18" t="s">
        <v>145</v>
      </c>
      <c r="E21" s="7">
        <v>1579.183</v>
      </c>
      <c r="F21" s="4" t="s">
        <v>146</v>
      </c>
      <c r="G21" s="4" t="s">
        <v>152</v>
      </c>
      <c r="H21" s="7">
        <v>1579</v>
      </c>
      <c r="I21" s="4" t="s">
        <v>148</v>
      </c>
      <c r="J21" s="7">
        <v>1579</v>
      </c>
      <c r="K21" s="4" t="s">
        <v>149</v>
      </c>
      <c r="L21" s="4" t="s">
        <v>150</v>
      </c>
      <c r="M21" s="18" t="s">
        <v>155</v>
      </c>
    </row>
    <row r="22" spans="1:13">
      <c r="A22" s="4" t="s">
        <v>48</v>
      </c>
      <c r="B22" s="18" t="s">
        <v>19</v>
      </c>
      <c r="C22" s="6">
        <v>7.49</v>
      </c>
      <c r="D22" s="18" t="s">
        <v>156</v>
      </c>
      <c r="E22" s="6">
        <v>7.49</v>
      </c>
      <c r="F22" s="4" t="s">
        <v>146</v>
      </c>
      <c r="G22" s="4" t="s">
        <v>147</v>
      </c>
      <c r="H22" s="6">
        <v>7.49</v>
      </c>
      <c r="I22" s="4" t="s">
        <v>148</v>
      </c>
      <c r="J22" s="4" t="s">
        <v>157</v>
      </c>
      <c r="K22" s="4" t="s">
        <v>158</v>
      </c>
      <c r="L22" s="4" t="s">
        <v>150</v>
      </c>
      <c r="M22" s="18" t="s">
        <v>159</v>
      </c>
    </row>
    <row r="23" spans="1:13">
      <c r="A23" s="4" t="s">
        <v>48</v>
      </c>
      <c r="B23" s="18" t="s">
        <v>20</v>
      </c>
      <c r="C23" s="6">
        <v>6.68</v>
      </c>
      <c r="D23" s="18" t="s">
        <v>156</v>
      </c>
      <c r="E23" s="6">
        <v>6.68</v>
      </c>
      <c r="F23" s="4" t="s">
        <v>146</v>
      </c>
      <c r="G23" s="4" t="s">
        <v>147</v>
      </c>
      <c r="H23" s="6">
        <v>6.68</v>
      </c>
      <c r="I23" s="4" t="s">
        <v>148</v>
      </c>
      <c r="J23" s="4" t="s">
        <v>157</v>
      </c>
      <c r="K23" s="4" t="s">
        <v>158</v>
      </c>
      <c r="L23" s="4" t="s">
        <v>150</v>
      </c>
      <c r="M23" s="18" t="s">
        <v>159</v>
      </c>
    </row>
    <row r="24" spans="1:13">
      <c r="A24" s="4" t="s">
        <v>48</v>
      </c>
      <c r="B24" s="18" t="s">
        <v>21</v>
      </c>
      <c r="C24" s="6">
        <v>12.2</v>
      </c>
      <c r="D24" s="18" t="s">
        <v>156</v>
      </c>
      <c r="E24" s="6">
        <v>12.2</v>
      </c>
      <c r="F24" s="4" t="s">
        <v>146</v>
      </c>
      <c r="G24" s="4" t="s">
        <v>152</v>
      </c>
      <c r="H24" s="6">
        <v>12.2</v>
      </c>
      <c r="I24" s="4" t="s">
        <v>148</v>
      </c>
      <c r="J24" s="4" t="s">
        <v>157</v>
      </c>
      <c r="K24" s="4" t="s">
        <v>158</v>
      </c>
      <c r="L24" s="4" t="s">
        <v>150</v>
      </c>
      <c r="M24" s="18" t="s">
        <v>159</v>
      </c>
    </row>
    <row r="25" spans="1:13">
      <c r="A25" s="4" t="s">
        <v>48</v>
      </c>
      <c r="B25" s="18" t="s">
        <v>22</v>
      </c>
      <c r="C25" s="6">
        <v>14.64</v>
      </c>
      <c r="D25" s="18" t="s">
        <v>156</v>
      </c>
      <c r="E25" s="6">
        <v>14.64</v>
      </c>
      <c r="F25" s="4" t="s">
        <v>146</v>
      </c>
      <c r="G25" s="4" t="s">
        <v>152</v>
      </c>
      <c r="H25" s="6">
        <v>14.64</v>
      </c>
      <c r="I25" s="4" t="s">
        <v>148</v>
      </c>
      <c r="J25" s="4" t="s">
        <v>157</v>
      </c>
      <c r="K25" s="4" t="s">
        <v>158</v>
      </c>
      <c r="L25" s="4" t="s">
        <v>150</v>
      </c>
      <c r="M25" s="18" t="s">
        <v>159</v>
      </c>
    </row>
    <row r="26" spans="1:13">
      <c r="A26" s="4" t="s">
        <v>48</v>
      </c>
      <c r="B26" s="18" t="s">
        <v>23</v>
      </c>
      <c r="C26" s="6">
        <v>13.26</v>
      </c>
      <c r="D26" s="18" t="s">
        <v>156</v>
      </c>
      <c r="E26" s="6">
        <v>13.26</v>
      </c>
      <c r="F26" s="4" t="s">
        <v>146</v>
      </c>
      <c r="G26" s="4" t="s">
        <v>152</v>
      </c>
      <c r="H26" s="6">
        <v>13.26</v>
      </c>
      <c r="I26" s="4" t="s">
        <v>148</v>
      </c>
      <c r="J26" s="4" t="s">
        <v>157</v>
      </c>
      <c r="K26" s="4" t="s">
        <v>158</v>
      </c>
      <c r="L26" s="4" t="s">
        <v>150</v>
      </c>
      <c r="M26" s="18" t="s">
        <v>159</v>
      </c>
    </row>
    <row r="27" spans="1:13">
      <c r="A27" s="4" t="s">
        <v>49</v>
      </c>
      <c r="B27" s="18" t="s">
        <v>19</v>
      </c>
      <c r="C27" s="7">
        <v>130.295</v>
      </c>
      <c r="D27" s="18" t="s">
        <v>160</v>
      </c>
      <c r="E27" s="7">
        <v>130.295</v>
      </c>
      <c r="F27" s="4" t="s">
        <v>146</v>
      </c>
      <c r="G27" s="4" t="s">
        <v>147</v>
      </c>
      <c r="H27" s="7">
        <v>130</v>
      </c>
      <c r="I27" s="4" t="s">
        <v>148</v>
      </c>
      <c r="J27" s="4" t="s">
        <v>157</v>
      </c>
      <c r="K27" s="4" t="s">
        <v>158</v>
      </c>
      <c r="L27" s="4" t="s">
        <v>150</v>
      </c>
      <c r="M27" s="18" t="s">
        <v>161</v>
      </c>
    </row>
    <row r="28" spans="1:13">
      <c r="A28" s="4" t="s">
        <v>49</v>
      </c>
      <c r="B28" s="18" t="s">
        <v>20</v>
      </c>
      <c r="C28" s="7">
        <v>128.017</v>
      </c>
      <c r="D28" s="18" t="s">
        <v>160</v>
      </c>
      <c r="E28" s="7">
        <v>128.017</v>
      </c>
      <c r="F28" s="4" t="s">
        <v>146</v>
      </c>
      <c r="G28" s="4" t="s">
        <v>147</v>
      </c>
      <c r="H28" s="7">
        <v>128</v>
      </c>
      <c r="I28" s="4" t="s">
        <v>148</v>
      </c>
      <c r="J28" s="4" t="s">
        <v>157</v>
      </c>
      <c r="K28" s="4" t="s">
        <v>158</v>
      </c>
      <c r="L28" s="4" t="s">
        <v>150</v>
      </c>
      <c r="M28" s="18" t="s">
        <v>161</v>
      </c>
    </row>
    <row r="29" spans="1:13">
      <c r="A29" s="4" t="s">
        <v>49</v>
      </c>
      <c r="B29" s="18" t="s">
        <v>21</v>
      </c>
      <c r="C29" s="7">
        <v>127.06</v>
      </c>
      <c r="D29" s="18" t="s">
        <v>160</v>
      </c>
      <c r="E29" s="7">
        <v>127.06</v>
      </c>
      <c r="F29" s="4" t="s">
        <v>146</v>
      </c>
      <c r="G29" s="4" t="s">
        <v>152</v>
      </c>
      <c r="H29" s="7">
        <v>127</v>
      </c>
      <c r="I29" s="4" t="s">
        <v>148</v>
      </c>
      <c r="J29" s="4" t="s">
        <v>157</v>
      </c>
      <c r="K29" s="4" t="s">
        <v>158</v>
      </c>
      <c r="L29" s="4" t="s">
        <v>150</v>
      </c>
      <c r="M29" s="18" t="s">
        <v>161</v>
      </c>
    </row>
    <row r="30" spans="1:13">
      <c r="A30" s="4" t="s">
        <v>49</v>
      </c>
      <c r="B30" s="18" t="s">
        <v>22</v>
      </c>
      <c r="C30" s="7">
        <v>123.935</v>
      </c>
      <c r="D30" s="18" t="s">
        <v>160</v>
      </c>
      <c r="E30" s="7">
        <v>123.935</v>
      </c>
      <c r="F30" s="4" t="s">
        <v>146</v>
      </c>
      <c r="G30" s="4" t="s">
        <v>152</v>
      </c>
      <c r="H30" s="7">
        <v>124</v>
      </c>
      <c r="I30" s="4" t="s">
        <v>148</v>
      </c>
      <c r="J30" s="4" t="s">
        <v>157</v>
      </c>
      <c r="K30" s="4" t="s">
        <v>158</v>
      </c>
      <c r="L30" s="4" t="s">
        <v>150</v>
      </c>
      <c r="M30" s="18" t="s">
        <v>161</v>
      </c>
    </row>
    <row r="31" spans="1:13">
      <c r="A31" s="4" t="s">
        <v>49</v>
      </c>
      <c r="B31" s="18" t="s">
        <v>23</v>
      </c>
      <c r="C31" s="7">
        <v>119.068</v>
      </c>
      <c r="D31" s="18" t="s">
        <v>160</v>
      </c>
      <c r="E31" s="7">
        <v>119.068</v>
      </c>
      <c r="F31" s="4" t="s">
        <v>146</v>
      </c>
      <c r="G31" s="4" t="s">
        <v>152</v>
      </c>
      <c r="H31" s="7">
        <v>119</v>
      </c>
      <c r="I31" s="4" t="s">
        <v>148</v>
      </c>
      <c r="J31" s="4" t="s">
        <v>157</v>
      </c>
      <c r="K31" s="4" t="s">
        <v>158</v>
      </c>
      <c r="L31" s="4" t="s">
        <v>150</v>
      </c>
      <c r="M31" s="18" t="s">
        <v>161</v>
      </c>
    </row>
    <row r="32" spans="1:13">
      <c r="A32" s="4" t="s">
        <v>50</v>
      </c>
      <c r="B32" s="18" t="s">
        <v>19</v>
      </c>
      <c r="C32" s="7">
        <v>1259.871</v>
      </c>
      <c r="D32" s="18" t="s">
        <v>145</v>
      </c>
      <c r="E32" s="7">
        <v>1259.871</v>
      </c>
      <c r="F32" s="4" t="s">
        <v>146</v>
      </c>
      <c r="G32" s="4" t="s">
        <v>147</v>
      </c>
      <c r="H32" s="7">
        <v>1260</v>
      </c>
      <c r="I32" s="4" t="s">
        <v>148</v>
      </c>
      <c r="J32" s="7">
        <v>1260</v>
      </c>
      <c r="K32" s="4" t="s">
        <v>149</v>
      </c>
      <c r="L32" s="4" t="s">
        <v>150</v>
      </c>
      <c r="M32" s="18" t="s">
        <v>162</v>
      </c>
    </row>
    <row r="33" spans="1:13">
      <c r="A33" s="4" t="s">
        <v>50</v>
      </c>
      <c r="B33" s="18" t="s">
        <v>20</v>
      </c>
      <c r="C33" s="7">
        <v>1154.867</v>
      </c>
      <c r="D33" s="18" t="s">
        <v>145</v>
      </c>
      <c r="E33" s="7">
        <v>1154.867</v>
      </c>
      <c r="F33" s="4" t="s">
        <v>146</v>
      </c>
      <c r="G33" s="4" t="s">
        <v>147</v>
      </c>
      <c r="H33" s="7">
        <v>1155</v>
      </c>
      <c r="I33" s="4" t="s">
        <v>148</v>
      </c>
      <c r="J33" s="7">
        <v>1155</v>
      </c>
      <c r="K33" s="4" t="s">
        <v>149</v>
      </c>
      <c r="L33" s="4" t="s">
        <v>150</v>
      </c>
      <c r="M33" s="18" t="s">
        <v>162</v>
      </c>
    </row>
    <row r="34" spans="1:13">
      <c r="A34" s="4" t="s">
        <v>50</v>
      </c>
      <c r="B34" s="18" t="s">
        <v>21</v>
      </c>
      <c r="C34" s="7">
        <v>2243.971</v>
      </c>
      <c r="D34" s="18" t="s">
        <v>145</v>
      </c>
      <c r="E34" s="7">
        <v>2243.971</v>
      </c>
      <c r="F34" s="4" t="s">
        <v>146</v>
      </c>
      <c r="G34" s="4" t="s">
        <v>152</v>
      </c>
      <c r="H34" s="7">
        <v>2244</v>
      </c>
      <c r="I34" s="4" t="s">
        <v>148</v>
      </c>
      <c r="J34" s="7">
        <v>2244</v>
      </c>
      <c r="K34" s="4" t="s">
        <v>149</v>
      </c>
      <c r="L34" s="4" t="s">
        <v>150</v>
      </c>
      <c r="M34" s="18" t="s">
        <v>162</v>
      </c>
    </row>
    <row r="35" spans="1:13">
      <c r="A35" s="4" t="s">
        <v>50</v>
      </c>
      <c r="B35" s="18" t="s">
        <v>22</v>
      </c>
      <c r="C35" s="7">
        <v>1984.336</v>
      </c>
      <c r="D35" s="18" t="s">
        <v>145</v>
      </c>
      <c r="E35" s="7">
        <v>1984.336</v>
      </c>
      <c r="F35" s="4" t="s">
        <v>146</v>
      </c>
      <c r="G35" s="4" t="s">
        <v>152</v>
      </c>
      <c r="H35" s="7">
        <v>1984</v>
      </c>
      <c r="I35" s="4" t="s">
        <v>148</v>
      </c>
      <c r="J35" s="7">
        <v>1984</v>
      </c>
      <c r="K35" s="4" t="s">
        <v>149</v>
      </c>
      <c r="L35" s="4" t="s">
        <v>150</v>
      </c>
      <c r="M35" s="18" t="s">
        <v>162</v>
      </c>
    </row>
    <row r="36" spans="1:13">
      <c r="A36" s="4" t="s">
        <v>50</v>
      </c>
      <c r="B36" s="18" t="s">
        <v>23</v>
      </c>
      <c r="C36" s="7">
        <v>1807.202</v>
      </c>
      <c r="D36" s="18" t="s">
        <v>145</v>
      </c>
      <c r="E36" s="7">
        <v>1807.202</v>
      </c>
      <c r="F36" s="4" t="s">
        <v>146</v>
      </c>
      <c r="G36" s="4" t="s">
        <v>152</v>
      </c>
      <c r="H36" s="7">
        <v>1807</v>
      </c>
      <c r="I36" s="4" t="s">
        <v>148</v>
      </c>
      <c r="J36" s="7">
        <v>1807</v>
      </c>
      <c r="K36" s="4" t="s">
        <v>149</v>
      </c>
      <c r="L36" s="4" t="s">
        <v>150</v>
      </c>
      <c r="M36" s="18" t="s">
        <v>162</v>
      </c>
    </row>
    <row r="37" spans="1:13">
      <c r="A37" s="4" t="s">
        <v>53</v>
      </c>
      <c r="B37" s="18" t="s">
        <v>19</v>
      </c>
      <c r="C37" s="7">
        <v>881.052</v>
      </c>
      <c r="D37" s="18" t="s">
        <v>145</v>
      </c>
      <c r="E37" s="7">
        <v>881.052</v>
      </c>
      <c r="F37" s="4" t="s">
        <v>146</v>
      </c>
      <c r="G37" s="4" t="s">
        <v>147</v>
      </c>
      <c r="H37" s="7">
        <v>881.05</v>
      </c>
      <c r="I37" s="4" t="s">
        <v>148</v>
      </c>
      <c r="J37" s="4" t="s">
        <v>157</v>
      </c>
      <c r="K37" s="4" t="s">
        <v>158</v>
      </c>
      <c r="L37" s="4" t="s">
        <v>163</v>
      </c>
      <c r="M37" s="18" t="s">
        <v>164</v>
      </c>
    </row>
    <row r="38" spans="1:13">
      <c r="A38" s="4" t="s">
        <v>53</v>
      </c>
      <c r="B38" s="18" t="s">
        <v>20</v>
      </c>
      <c r="C38" s="7">
        <v>1070.334</v>
      </c>
      <c r="D38" s="18" t="s">
        <v>145</v>
      </c>
      <c r="E38" s="7">
        <v>1070.334</v>
      </c>
      <c r="F38" s="4" t="s">
        <v>146</v>
      </c>
      <c r="G38" s="4" t="s">
        <v>147</v>
      </c>
      <c r="H38" s="7">
        <v>1070</v>
      </c>
      <c r="I38" s="4" t="s">
        <v>148</v>
      </c>
      <c r="J38" s="4" t="s">
        <v>157</v>
      </c>
      <c r="K38" s="4" t="s">
        <v>158</v>
      </c>
      <c r="L38" s="4" t="s">
        <v>163</v>
      </c>
      <c r="M38" s="18" t="s">
        <v>164</v>
      </c>
    </row>
    <row r="39" spans="1:13">
      <c r="A39" s="4" t="s">
        <v>53</v>
      </c>
      <c r="B39" s="18" t="s">
        <v>21</v>
      </c>
      <c r="C39" s="7">
        <v>1403.282</v>
      </c>
      <c r="D39" s="18" t="s">
        <v>145</v>
      </c>
      <c r="E39" s="7">
        <v>1403.282</v>
      </c>
      <c r="F39" s="4" t="s">
        <v>146</v>
      </c>
      <c r="G39" s="4" t="s">
        <v>152</v>
      </c>
      <c r="H39" s="7">
        <v>1403</v>
      </c>
      <c r="I39" s="4" t="s">
        <v>148</v>
      </c>
      <c r="J39" s="4" t="s">
        <v>157</v>
      </c>
      <c r="K39" s="4" t="s">
        <v>158</v>
      </c>
      <c r="L39" s="4" t="s">
        <v>163</v>
      </c>
      <c r="M39" s="18" t="s">
        <v>164</v>
      </c>
    </row>
    <row r="40" spans="1:13">
      <c r="A40" s="4" t="s">
        <v>53</v>
      </c>
      <c r="B40" s="18" t="s">
        <v>22</v>
      </c>
      <c r="C40" s="7">
        <v>1575.791</v>
      </c>
      <c r="D40" s="18" t="s">
        <v>145</v>
      </c>
      <c r="E40" s="7">
        <v>1575.791</v>
      </c>
      <c r="F40" s="4" t="s">
        <v>146</v>
      </c>
      <c r="G40" s="4" t="s">
        <v>152</v>
      </c>
      <c r="H40" s="7">
        <v>1576</v>
      </c>
      <c r="I40" s="4" t="s">
        <v>148</v>
      </c>
      <c r="J40" s="4" t="s">
        <v>157</v>
      </c>
      <c r="K40" s="4" t="s">
        <v>158</v>
      </c>
      <c r="L40" s="4" t="s">
        <v>163</v>
      </c>
      <c r="M40" s="18" t="s">
        <v>164</v>
      </c>
    </row>
    <row r="41" spans="1:13">
      <c r="A41" s="4" t="s">
        <v>53</v>
      </c>
      <c r="B41" s="18" t="s">
        <v>23</v>
      </c>
      <c r="C41" s="7">
        <v>1798.441</v>
      </c>
      <c r="D41" s="18" t="s">
        <v>145</v>
      </c>
      <c r="E41" s="7">
        <v>1798.441</v>
      </c>
      <c r="F41" s="4" t="s">
        <v>146</v>
      </c>
      <c r="G41" s="4" t="s">
        <v>152</v>
      </c>
      <c r="H41" s="7">
        <v>1798</v>
      </c>
      <c r="I41" s="4" t="s">
        <v>148</v>
      </c>
      <c r="J41" s="4" t="s">
        <v>157</v>
      </c>
      <c r="K41" s="4" t="s">
        <v>158</v>
      </c>
      <c r="L41" s="4" t="s">
        <v>163</v>
      </c>
      <c r="M41" s="18" t="s">
        <v>164</v>
      </c>
    </row>
    <row r="42" spans="1:13">
      <c r="A42" s="4" t="s">
        <v>55</v>
      </c>
      <c r="B42" s="18" t="s">
        <v>19</v>
      </c>
      <c r="C42" s="7">
        <v>1389.108</v>
      </c>
      <c r="D42" s="18" t="s">
        <v>145</v>
      </c>
      <c r="E42" s="7">
        <v>1389.108</v>
      </c>
      <c r="F42" s="4" t="s">
        <v>146</v>
      </c>
      <c r="G42" s="4" t="s">
        <v>147</v>
      </c>
      <c r="H42" s="7">
        <v>1389</v>
      </c>
      <c r="I42" s="4" t="s">
        <v>148</v>
      </c>
      <c r="J42" s="4" t="s">
        <v>157</v>
      </c>
      <c r="K42" s="4" t="s">
        <v>158</v>
      </c>
      <c r="L42" s="4" t="s">
        <v>150</v>
      </c>
      <c r="M42" s="18" t="s">
        <v>165</v>
      </c>
    </row>
    <row r="43" spans="1:13">
      <c r="A43" s="4" t="s">
        <v>55</v>
      </c>
      <c r="B43" s="18" t="s">
        <v>20</v>
      </c>
      <c r="C43" s="7">
        <v>966.463</v>
      </c>
      <c r="D43" s="18" t="s">
        <v>145</v>
      </c>
      <c r="E43" s="7">
        <v>966.463</v>
      </c>
      <c r="F43" s="4" t="s">
        <v>146</v>
      </c>
      <c r="G43" s="4" t="s">
        <v>147</v>
      </c>
      <c r="H43" s="7">
        <v>966.46</v>
      </c>
      <c r="I43" s="4" t="s">
        <v>148</v>
      </c>
      <c r="J43" s="4" t="s">
        <v>157</v>
      </c>
      <c r="K43" s="4" t="s">
        <v>158</v>
      </c>
      <c r="L43" s="4" t="s">
        <v>150</v>
      </c>
      <c r="M43" s="18" t="s">
        <v>165</v>
      </c>
    </row>
    <row r="44" spans="1:13">
      <c r="A44" s="4" t="s">
        <v>55</v>
      </c>
      <c r="B44" s="18" t="s">
        <v>21</v>
      </c>
      <c r="C44" s="7">
        <v>2296.164</v>
      </c>
      <c r="D44" s="18" t="s">
        <v>145</v>
      </c>
      <c r="E44" s="7">
        <v>2296.164</v>
      </c>
      <c r="F44" s="4" t="s">
        <v>146</v>
      </c>
      <c r="G44" s="4" t="s">
        <v>152</v>
      </c>
      <c r="H44" s="7">
        <v>2296</v>
      </c>
      <c r="I44" s="4" t="s">
        <v>148</v>
      </c>
      <c r="J44" s="4" t="s">
        <v>157</v>
      </c>
      <c r="K44" s="4" t="s">
        <v>158</v>
      </c>
      <c r="L44" s="4" t="s">
        <v>150</v>
      </c>
      <c r="M44" s="18" t="s">
        <v>165</v>
      </c>
    </row>
    <row r="45" spans="1:13">
      <c r="A45" s="4" t="s">
        <v>55</v>
      </c>
      <c r="B45" s="18" t="s">
        <v>22</v>
      </c>
      <c r="C45" s="7">
        <v>2272.713</v>
      </c>
      <c r="D45" s="18" t="s">
        <v>145</v>
      </c>
      <c r="E45" s="7">
        <v>2272.713</v>
      </c>
      <c r="F45" s="4" t="s">
        <v>146</v>
      </c>
      <c r="G45" s="4" t="s">
        <v>152</v>
      </c>
      <c r="H45" s="7">
        <v>2273</v>
      </c>
      <c r="I45" s="4" t="s">
        <v>148</v>
      </c>
      <c r="J45" s="4" t="s">
        <v>157</v>
      </c>
      <c r="K45" s="4" t="s">
        <v>158</v>
      </c>
      <c r="L45" s="4" t="s">
        <v>150</v>
      </c>
      <c r="M45" s="18" t="s">
        <v>165</v>
      </c>
    </row>
    <row r="46" spans="1:13">
      <c r="A46" s="4" t="s">
        <v>55</v>
      </c>
      <c r="B46" s="18" t="s">
        <v>23</v>
      </c>
      <c r="C46" s="7">
        <v>1602.477</v>
      </c>
      <c r="D46" s="18" t="s">
        <v>145</v>
      </c>
      <c r="E46" s="7">
        <v>1602.477</v>
      </c>
      <c r="F46" s="4" t="s">
        <v>146</v>
      </c>
      <c r="G46" s="4" t="s">
        <v>152</v>
      </c>
      <c r="H46" s="7">
        <v>1602</v>
      </c>
      <c r="I46" s="4" t="s">
        <v>148</v>
      </c>
      <c r="J46" s="4" t="s">
        <v>157</v>
      </c>
      <c r="K46" s="4" t="s">
        <v>158</v>
      </c>
      <c r="L46" s="4" t="s">
        <v>150</v>
      </c>
      <c r="M46" s="18" t="s">
        <v>165</v>
      </c>
    </row>
    <row r="47" spans="1:13">
      <c r="A47" s="4" t="s">
        <v>56</v>
      </c>
      <c r="B47" s="18" t="s">
        <v>19</v>
      </c>
      <c r="C47" s="7">
        <v>394.502</v>
      </c>
      <c r="D47" s="18" t="s">
        <v>145</v>
      </c>
      <c r="E47" s="7">
        <v>394.502</v>
      </c>
      <c r="F47" s="4" t="s">
        <v>146</v>
      </c>
      <c r="G47" s="4" t="s">
        <v>147</v>
      </c>
      <c r="H47" s="7">
        <v>394.5</v>
      </c>
      <c r="I47" s="4" t="s">
        <v>148</v>
      </c>
      <c r="J47" s="4" t="s">
        <v>157</v>
      </c>
      <c r="K47" s="4" t="s">
        <v>158</v>
      </c>
      <c r="L47" s="4" t="s">
        <v>150</v>
      </c>
      <c r="M47" s="18" t="s">
        <v>166</v>
      </c>
    </row>
    <row r="48" spans="1:13">
      <c r="A48" s="4" t="s">
        <v>56</v>
      </c>
      <c r="B48" s="18" t="s">
        <v>20</v>
      </c>
      <c r="C48" s="7">
        <v>638.657</v>
      </c>
      <c r="D48" s="18" t="s">
        <v>145</v>
      </c>
      <c r="E48" s="7">
        <v>638.657</v>
      </c>
      <c r="F48" s="4" t="s">
        <v>146</v>
      </c>
      <c r="G48" s="4" t="s">
        <v>147</v>
      </c>
      <c r="H48" s="7">
        <v>638.66</v>
      </c>
      <c r="I48" s="4" t="s">
        <v>148</v>
      </c>
      <c r="J48" s="4" t="s">
        <v>157</v>
      </c>
      <c r="K48" s="4" t="s">
        <v>158</v>
      </c>
      <c r="L48" s="4" t="s">
        <v>150</v>
      </c>
      <c r="M48" s="18" t="s">
        <v>166</v>
      </c>
    </row>
    <row r="49" spans="1:13">
      <c r="A49" s="4" t="s">
        <v>56</v>
      </c>
      <c r="B49" s="18" t="s">
        <v>21</v>
      </c>
      <c r="C49" s="7">
        <v>651.865</v>
      </c>
      <c r="D49" s="18" t="s">
        <v>145</v>
      </c>
      <c r="E49" s="7">
        <v>651.865</v>
      </c>
      <c r="F49" s="4" t="s">
        <v>146</v>
      </c>
      <c r="G49" s="4" t="s">
        <v>152</v>
      </c>
      <c r="H49" s="7">
        <v>651.87</v>
      </c>
      <c r="I49" s="4" t="s">
        <v>148</v>
      </c>
      <c r="J49" s="4" t="s">
        <v>157</v>
      </c>
      <c r="K49" s="4" t="s">
        <v>158</v>
      </c>
      <c r="L49" s="4" t="s">
        <v>150</v>
      </c>
      <c r="M49" s="18" t="s">
        <v>166</v>
      </c>
    </row>
    <row r="50" spans="1:13">
      <c r="A50" s="4" t="s">
        <v>56</v>
      </c>
      <c r="B50" s="18" t="s">
        <v>22</v>
      </c>
      <c r="C50" s="7">
        <v>689.232</v>
      </c>
      <c r="D50" s="18" t="s">
        <v>145</v>
      </c>
      <c r="E50" s="7">
        <v>689.232</v>
      </c>
      <c r="F50" s="4" t="s">
        <v>146</v>
      </c>
      <c r="G50" s="4" t="s">
        <v>152</v>
      </c>
      <c r="H50" s="7">
        <v>689.23</v>
      </c>
      <c r="I50" s="4" t="s">
        <v>148</v>
      </c>
      <c r="J50" s="4" t="s">
        <v>157</v>
      </c>
      <c r="K50" s="4" t="s">
        <v>158</v>
      </c>
      <c r="L50" s="4" t="s">
        <v>150</v>
      </c>
      <c r="M50" s="18" t="s">
        <v>166</v>
      </c>
    </row>
    <row r="51" spans="1:13">
      <c r="A51" s="4" t="s">
        <v>56</v>
      </c>
      <c r="B51" s="18" t="s">
        <v>23</v>
      </c>
      <c r="C51" s="7">
        <v>680.802</v>
      </c>
      <c r="D51" s="18" t="s">
        <v>145</v>
      </c>
      <c r="E51" s="7">
        <v>680.802</v>
      </c>
      <c r="F51" s="4" t="s">
        <v>146</v>
      </c>
      <c r="G51" s="4" t="s">
        <v>152</v>
      </c>
      <c r="H51" s="7">
        <v>680.8</v>
      </c>
      <c r="I51" s="4" t="s">
        <v>148</v>
      </c>
      <c r="J51" s="4" t="s">
        <v>157</v>
      </c>
      <c r="K51" s="4" t="s">
        <v>158</v>
      </c>
      <c r="L51" s="4" t="s">
        <v>150</v>
      </c>
      <c r="M51" s="18" t="s">
        <v>166</v>
      </c>
    </row>
    <row r="52" spans="1:13">
      <c r="A52" s="4" t="s">
        <v>58</v>
      </c>
      <c r="B52" s="18" t="s">
        <v>19</v>
      </c>
      <c r="C52" s="7">
        <v>994.606</v>
      </c>
      <c r="D52" s="18" t="s">
        <v>145</v>
      </c>
      <c r="E52" s="7">
        <v>994.606</v>
      </c>
      <c r="F52" s="4" t="s">
        <v>146</v>
      </c>
      <c r="G52" s="4" t="s">
        <v>147</v>
      </c>
      <c r="H52" s="7">
        <v>994.61</v>
      </c>
      <c r="I52" s="4" t="s">
        <v>148</v>
      </c>
      <c r="J52" s="7">
        <v>994.61</v>
      </c>
      <c r="K52" s="4" t="s">
        <v>149</v>
      </c>
      <c r="L52" s="4" t="s">
        <v>167</v>
      </c>
      <c r="M52" s="18" t="s">
        <v>168</v>
      </c>
    </row>
    <row r="53" spans="1:13">
      <c r="A53" s="4" t="s">
        <v>58</v>
      </c>
      <c r="B53" s="18" t="s">
        <v>20</v>
      </c>
      <c r="C53" s="7">
        <v>327.806</v>
      </c>
      <c r="D53" s="18" t="s">
        <v>145</v>
      </c>
      <c r="E53" s="7">
        <v>327.806</v>
      </c>
      <c r="F53" s="4" t="s">
        <v>146</v>
      </c>
      <c r="G53" s="4" t="s">
        <v>147</v>
      </c>
      <c r="H53" s="7">
        <v>327.81</v>
      </c>
      <c r="I53" s="4" t="s">
        <v>148</v>
      </c>
      <c r="J53" s="7">
        <v>327.81</v>
      </c>
      <c r="K53" s="4" t="s">
        <v>149</v>
      </c>
      <c r="L53" s="4" t="s">
        <v>167</v>
      </c>
      <c r="M53" s="18" t="s">
        <v>168</v>
      </c>
    </row>
    <row r="54" spans="1:13">
      <c r="A54" s="4" t="s">
        <v>58</v>
      </c>
      <c r="B54" s="18" t="s">
        <v>21</v>
      </c>
      <c r="C54" s="7">
        <v>1644.299</v>
      </c>
      <c r="D54" s="18" t="s">
        <v>145</v>
      </c>
      <c r="E54" s="7">
        <v>1644.299</v>
      </c>
      <c r="F54" s="4" t="s">
        <v>146</v>
      </c>
      <c r="G54" s="4" t="s">
        <v>152</v>
      </c>
      <c r="H54" s="7">
        <v>1644</v>
      </c>
      <c r="I54" s="4" t="s">
        <v>148</v>
      </c>
      <c r="J54" s="7">
        <v>1644.3</v>
      </c>
      <c r="K54" s="4" t="s">
        <v>149</v>
      </c>
      <c r="L54" s="4" t="s">
        <v>167</v>
      </c>
      <c r="M54" s="18" t="s">
        <v>168</v>
      </c>
    </row>
    <row r="55" spans="1:13">
      <c r="A55" s="4" t="s">
        <v>58</v>
      </c>
      <c r="B55" s="18" t="s">
        <v>22</v>
      </c>
      <c r="C55" s="7">
        <v>1583.481</v>
      </c>
      <c r="D55" s="18" t="s">
        <v>145</v>
      </c>
      <c r="E55" s="7">
        <v>1583.481</v>
      </c>
      <c r="F55" s="4" t="s">
        <v>146</v>
      </c>
      <c r="G55" s="4" t="s">
        <v>152</v>
      </c>
      <c r="H55" s="7">
        <v>1583</v>
      </c>
      <c r="I55" s="4" t="s">
        <v>148</v>
      </c>
      <c r="J55" s="7">
        <v>1583.48</v>
      </c>
      <c r="K55" s="4" t="s">
        <v>149</v>
      </c>
      <c r="L55" s="4" t="s">
        <v>167</v>
      </c>
      <c r="M55" s="18" t="s">
        <v>168</v>
      </c>
    </row>
    <row r="56" spans="1:13">
      <c r="A56" s="4" t="s">
        <v>58</v>
      </c>
      <c r="B56" s="18" t="s">
        <v>23</v>
      </c>
      <c r="C56" s="7">
        <v>921.675</v>
      </c>
      <c r="D56" s="18" t="s">
        <v>145</v>
      </c>
      <c r="E56" s="7">
        <v>921.675</v>
      </c>
      <c r="F56" s="4" t="s">
        <v>146</v>
      </c>
      <c r="G56" s="4" t="s">
        <v>152</v>
      </c>
      <c r="H56" s="7">
        <v>921.6799999999999</v>
      </c>
      <c r="I56" s="4" t="s">
        <v>148</v>
      </c>
      <c r="J56" s="13" t="s">
        <v>169</v>
      </c>
      <c r="K56" s="4" t="s">
        <v>170</v>
      </c>
      <c r="L56" s="4" t="s">
        <v>171</v>
      </c>
      <c r="M56" s="18" t="s">
        <v>168</v>
      </c>
    </row>
    <row r="57" spans="1:13">
      <c r="A57" s="4" t="s">
        <v>59</v>
      </c>
      <c r="B57" s="18" t="s">
        <v>19</v>
      </c>
      <c r="C57" s="7">
        <v>69.137</v>
      </c>
      <c r="D57" s="18" t="s">
        <v>145</v>
      </c>
      <c r="E57" s="7">
        <v>69.137</v>
      </c>
      <c r="F57" s="4" t="s">
        <v>146</v>
      </c>
      <c r="G57" s="4" t="s">
        <v>147</v>
      </c>
      <c r="H57" s="7">
        <v>69.14</v>
      </c>
      <c r="I57" s="4" t="s">
        <v>148</v>
      </c>
      <c r="J57" s="4" t="s">
        <v>157</v>
      </c>
      <c r="K57" s="4" t="s">
        <v>158</v>
      </c>
      <c r="L57" s="4" t="s">
        <v>150</v>
      </c>
      <c r="M57" s="18" t="s">
        <v>172</v>
      </c>
    </row>
    <row r="58" spans="1:13">
      <c r="A58" s="4" t="s">
        <v>59</v>
      </c>
      <c r="B58" s="18" t="s">
        <v>20</v>
      </c>
      <c r="C58" s="7">
        <v>78.075</v>
      </c>
      <c r="D58" s="18" t="s">
        <v>145</v>
      </c>
      <c r="E58" s="7">
        <v>78.075</v>
      </c>
      <c r="F58" s="4" t="s">
        <v>146</v>
      </c>
      <c r="G58" s="4" t="s">
        <v>147</v>
      </c>
      <c r="H58" s="7">
        <v>78.08</v>
      </c>
      <c r="I58" s="4" t="s">
        <v>148</v>
      </c>
      <c r="J58" s="4" t="s">
        <v>157</v>
      </c>
      <c r="K58" s="4" t="s">
        <v>158</v>
      </c>
      <c r="L58" s="4" t="s">
        <v>150</v>
      </c>
      <c r="M58" s="18" t="s">
        <v>172</v>
      </c>
    </row>
    <row r="59" spans="1:13">
      <c r="A59" s="4" t="s">
        <v>59</v>
      </c>
      <c r="B59" s="18" t="s">
        <v>21</v>
      </c>
      <c r="C59" s="7">
        <v>93.56</v>
      </c>
      <c r="D59" s="18" t="s">
        <v>145</v>
      </c>
      <c r="E59" s="7">
        <v>93.56</v>
      </c>
      <c r="F59" s="4" t="s">
        <v>146</v>
      </c>
      <c r="G59" s="4" t="s">
        <v>152</v>
      </c>
      <c r="H59" s="7">
        <v>93.56</v>
      </c>
      <c r="I59" s="4" t="s">
        <v>148</v>
      </c>
      <c r="J59" s="4" t="s">
        <v>157</v>
      </c>
      <c r="K59" s="4" t="s">
        <v>158</v>
      </c>
      <c r="L59" s="4" t="s">
        <v>150</v>
      </c>
      <c r="M59" s="18" t="s">
        <v>172</v>
      </c>
    </row>
    <row r="60" spans="1:13">
      <c r="A60" s="4" t="s">
        <v>59</v>
      </c>
      <c r="B60" s="18" t="s">
        <v>22</v>
      </c>
      <c r="C60" s="7">
        <v>90.011</v>
      </c>
      <c r="D60" s="18" t="s">
        <v>145</v>
      </c>
      <c r="E60" s="7">
        <v>90.011</v>
      </c>
      <c r="F60" s="4" t="s">
        <v>146</v>
      </c>
      <c r="G60" s="4" t="s">
        <v>152</v>
      </c>
      <c r="H60" s="7">
        <v>90.01000000000001</v>
      </c>
      <c r="I60" s="4" t="s">
        <v>148</v>
      </c>
      <c r="J60" s="4" t="s">
        <v>157</v>
      </c>
      <c r="K60" s="4" t="s">
        <v>158</v>
      </c>
      <c r="L60" s="4" t="s">
        <v>150</v>
      </c>
      <c r="M60" s="18" t="s">
        <v>172</v>
      </c>
    </row>
    <row r="61" spans="1:13">
      <c r="A61" s="4" t="s">
        <v>59</v>
      </c>
      <c r="B61" s="18" t="s">
        <v>23</v>
      </c>
      <c r="C61" s="7">
        <v>62.203</v>
      </c>
      <c r="D61" s="18" t="s">
        <v>145</v>
      </c>
      <c r="E61" s="7">
        <v>62.203</v>
      </c>
      <c r="F61" s="4" t="s">
        <v>146</v>
      </c>
      <c r="G61" s="4" t="s">
        <v>152</v>
      </c>
      <c r="H61" s="7">
        <v>62.2</v>
      </c>
      <c r="I61" s="4" t="s">
        <v>148</v>
      </c>
      <c r="J61" s="4" t="s">
        <v>157</v>
      </c>
      <c r="K61" s="4" t="s">
        <v>158</v>
      </c>
      <c r="L61" s="4" t="s">
        <v>150</v>
      </c>
      <c r="M61" s="18" t="s">
        <v>172</v>
      </c>
    </row>
    <row r="62" spans="1:13">
      <c r="A62" s="4" t="s">
        <v>60</v>
      </c>
      <c r="B62" s="18" t="s">
        <v>19</v>
      </c>
      <c r="C62" s="7">
        <v>224.206</v>
      </c>
      <c r="D62" s="18" t="s">
        <v>145</v>
      </c>
      <c r="E62" s="7">
        <v>224.206</v>
      </c>
      <c r="F62" s="4" t="s">
        <v>146</v>
      </c>
      <c r="G62" s="4" t="s">
        <v>147</v>
      </c>
      <c r="H62" s="7">
        <v>224.21</v>
      </c>
      <c r="I62" s="4" t="s">
        <v>148</v>
      </c>
      <c r="J62" s="4" t="s">
        <v>157</v>
      </c>
      <c r="K62" s="4" t="s">
        <v>158</v>
      </c>
      <c r="L62" s="4" t="s">
        <v>150</v>
      </c>
      <c r="M62" s="18" t="s">
        <v>173</v>
      </c>
    </row>
    <row r="63" spans="1:13">
      <c r="A63" s="4" t="s">
        <v>60</v>
      </c>
      <c r="B63" s="18" t="s">
        <v>20</v>
      </c>
      <c r="C63" s="7">
        <v>291.791</v>
      </c>
      <c r="D63" s="18" t="s">
        <v>145</v>
      </c>
      <c r="E63" s="7">
        <v>291.791</v>
      </c>
      <c r="F63" s="4" t="s">
        <v>146</v>
      </c>
      <c r="G63" s="4" t="s">
        <v>147</v>
      </c>
      <c r="H63" s="7">
        <v>291.79</v>
      </c>
      <c r="I63" s="4" t="s">
        <v>148</v>
      </c>
      <c r="J63" s="4" t="s">
        <v>157</v>
      </c>
      <c r="K63" s="4" t="s">
        <v>158</v>
      </c>
      <c r="L63" s="4" t="s">
        <v>150</v>
      </c>
      <c r="M63" s="18" t="s">
        <v>173</v>
      </c>
    </row>
    <row r="64" spans="1:13">
      <c r="A64" s="4" t="s">
        <v>60</v>
      </c>
      <c r="B64" s="18" t="s">
        <v>21</v>
      </c>
      <c r="C64" s="7">
        <v>379.384</v>
      </c>
      <c r="D64" s="18" t="s">
        <v>145</v>
      </c>
      <c r="E64" s="7">
        <v>379.384</v>
      </c>
      <c r="F64" s="4" t="s">
        <v>146</v>
      </c>
      <c r="G64" s="4" t="s">
        <v>152</v>
      </c>
      <c r="H64" s="7">
        <v>379.38</v>
      </c>
      <c r="I64" s="4" t="s">
        <v>148</v>
      </c>
      <c r="J64" s="4" t="s">
        <v>157</v>
      </c>
      <c r="K64" s="4" t="s">
        <v>158</v>
      </c>
      <c r="L64" s="4" t="s">
        <v>150</v>
      </c>
      <c r="M64" s="18" t="s">
        <v>173</v>
      </c>
    </row>
    <row r="65" spans="1:13">
      <c r="A65" s="4" t="s">
        <v>60</v>
      </c>
      <c r="B65" s="18" t="s">
        <v>22</v>
      </c>
      <c r="C65" s="7">
        <v>446.524</v>
      </c>
      <c r="D65" s="18" t="s">
        <v>145</v>
      </c>
      <c r="E65" s="7">
        <v>446.524</v>
      </c>
      <c r="F65" s="4" t="s">
        <v>146</v>
      </c>
      <c r="G65" s="4" t="s">
        <v>152</v>
      </c>
      <c r="H65" s="7">
        <v>446.52</v>
      </c>
      <c r="I65" s="4" t="s">
        <v>148</v>
      </c>
      <c r="J65" s="4" t="s">
        <v>157</v>
      </c>
      <c r="K65" s="4" t="s">
        <v>158</v>
      </c>
      <c r="L65" s="4" t="s">
        <v>150</v>
      </c>
      <c r="M65" s="18" t="s">
        <v>173</v>
      </c>
    </row>
    <row r="66" spans="1:13">
      <c r="A66" s="4" t="s">
        <v>60</v>
      </c>
      <c r="B66" s="18" t="s">
        <v>23</v>
      </c>
      <c r="C66" s="7">
        <v>496.228</v>
      </c>
      <c r="D66" s="18" t="s">
        <v>145</v>
      </c>
      <c r="E66" s="7">
        <v>496.228</v>
      </c>
      <c r="F66" s="4" t="s">
        <v>146</v>
      </c>
      <c r="G66" s="4" t="s">
        <v>152</v>
      </c>
      <c r="H66" s="7">
        <v>496.23</v>
      </c>
      <c r="I66" s="4" t="s">
        <v>148</v>
      </c>
      <c r="J66" s="4" t="s">
        <v>157</v>
      </c>
      <c r="K66" s="4" t="s">
        <v>158</v>
      </c>
      <c r="L66" s="4" t="s">
        <v>150</v>
      </c>
      <c r="M66" s="18" t="s">
        <v>173</v>
      </c>
    </row>
    <row r="67" spans="1:13">
      <c r="A67" s="4" t="s">
        <v>174</v>
      </c>
      <c r="B67" s="18" t="s">
        <v>4</v>
      </c>
      <c r="C67" s="6">
        <v>131.88</v>
      </c>
      <c r="D67" s="18" t="s">
        <v>175</v>
      </c>
      <c r="E67" s="7">
        <v>131.88</v>
      </c>
      <c r="F67" s="4" t="s">
        <v>176</v>
      </c>
      <c r="G67" s="4" t="s">
        <v>177</v>
      </c>
      <c r="H67" s="4" t="s">
        <v>178</v>
      </c>
      <c r="I67" s="4" t="s">
        <v>179</v>
      </c>
      <c r="J67" s="4" t="s">
        <v>157</v>
      </c>
      <c r="K67" s="4" t="s">
        <v>157</v>
      </c>
      <c r="L67" s="4" t="s">
        <v>180</v>
      </c>
      <c r="M67" s="18" t="s">
        <v>181</v>
      </c>
    </row>
    <row r="68" spans="1:13">
      <c r="A68" s="4" t="s">
        <v>182</v>
      </c>
      <c r="B68" s="18" t="s">
        <v>4</v>
      </c>
      <c r="C68" s="7">
        <v>114.43</v>
      </c>
      <c r="D68" s="18" t="s">
        <v>160</v>
      </c>
      <c r="E68" s="7">
        <v>114.43</v>
      </c>
      <c r="F68" s="4" t="s">
        <v>176</v>
      </c>
      <c r="G68" s="4" t="s">
        <v>177</v>
      </c>
      <c r="H68" s="4" t="s">
        <v>178</v>
      </c>
      <c r="I68" s="4" t="s">
        <v>179</v>
      </c>
      <c r="J68" s="4" t="s">
        <v>157</v>
      </c>
      <c r="K68" s="4" t="s">
        <v>157</v>
      </c>
      <c r="L68" s="4" t="s">
        <v>183</v>
      </c>
      <c r="M68" s="18" t="s">
        <v>181</v>
      </c>
    </row>
    <row r="69" spans="1:13">
      <c r="A69" s="4" t="s">
        <v>184</v>
      </c>
      <c r="B69" s="18" t="s">
        <v>185</v>
      </c>
      <c r="C69" s="7">
        <v>110.483</v>
      </c>
      <c r="D69" s="18" t="s">
        <v>160</v>
      </c>
      <c r="E69" s="7">
        <v>110.483</v>
      </c>
      <c r="F69" s="4" t="s">
        <v>152</v>
      </c>
      <c r="G69" s="4" t="s">
        <v>177</v>
      </c>
      <c r="H69" s="4" t="s">
        <v>178</v>
      </c>
      <c r="I69" s="4" t="s">
        <v>179</v>
      </c>
      <c r="J69" s="4" t="s">
        <v>157</v>
      </c>
      <c r="K69" s="4" t="s">
        <v>157</v>
      </c>
      <c r="L69" s="4" t="s">
        <v>186</v>
      </c>
      <c r="M69" s="18" t="s">
        <v>181</v>
      </c>
    </row>
    <row r="70" spans="1:13">
      <c r="A70" s="4" t="s">
        <v>187</v>
      </c>
      <c r="B70" s="18" t="s">
        <v>4</v>
      </c>
      <c r="C70" s="7">
        <v>15140</v>
      </c>
      <c r="D70" s="18" t="s">
        <v>145</v>
      </c>
      <c r="E70" s="7">
        <v>15140</v>
      </c>
      <c r="F70" s="4" t="s">
        <v>176</v>
      </c>
      <c r="G70" s="4" t="s">
        <v>177</v>
      </c>
      <c r="H70" s="4" t="s">
        <v>178</v>
      </c>
      <c r="I70" s="4" t="s">
        <v>179</v>
      </c>
      <c r="J70" s="4" t="s">
        <v>157</v>
      </c>
      <c r="K70" s="4" t="s">
        <v>157</v>
      </c>
      <c r="L70" s="4" t="s">
        <v>188</v>
      </c>
      <c r="M70" s="18" t="s">
        <v>181</v>
      </c>
    </row>
    <row r="71" spans="1:13">
      <c r="A71" s="4" t="s">
        <v>76</v>
      </c>
      <c r="B71" s="18" t="s">
        <v>189</v>
      </c>
      <c r="C71" s="9">
        <v>0.0456</v>
      </c>
      <c r="D71" s="18" t="s">
        <v>190</v>
      </c>
      <c r="E71" s="9">
        <v>0.0456</v>
      </c>
      <c r="F71" s="4" t="s">
        <v>191</v>
      </c>
      <c r="G71" s="4" t="s">
        <v>177</v>
      </c>
      <c r="H71" s="4" t="s">
        <v>178</v>
      </c>
      <c r="I71" s="4" t="s">
        <v>179</v>
      </c>
      <c r="J71" s="4" t="s">
        <v>157</v>
      </c>
      <c r="K71" s="4" t="s">
        <v>157</v>
      </c>
      <c r="L71" s="4" t="s">
        <v>192</v>
      </c>
      <c r="M71" s="18" t="s">
        <v>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1"/>
  <sheetViews>
    <sheetView showGridLines="0" workbookViewId="0"/>
  </sheetViews>
  <sheetFormatPr defaultRowHeight="15"/>
  <cols>
    <col min="1" max="1" width="5.7109375" customWidth="1"/>
    <col min="2" max="2" width="44.7109375" customWidth="1"/>
    <col min="3" max="3" width="90.7109375" customWidth="1"/>
  </cols>
  <sheetData>
    <row r="1" spans="1:3">
      <c r="A1" s="5" t="s">
        <v>193</v>
      </c>
      <c r="B1" s="5" t="s">
        <v>194</v>
      </c>
      <c r="C1" s="5" t="s">
        <v>195</v>
      </c>
    </row>
    <row r="2" spans="1:3">
      <c r="A2" s="18" t="s">
        <v>196</v>
      </c>
      <c r="B2" s="4" t="s">
        <v>197</v>
      </c>
      <c r="C2" s="4" t="s">
        <v>198</v>
      </c>
    </row>
    <row r="3" spans="1:3">
      <c r="A3" s="18" t="s">
        <v>199</v>
      </c>
      <c r="B3" s="4" t="s">
        <v>200</v>
      </c>
      <c r="C3" s="4" t="s">
        <v>201</v>
      </c>
    </row>
    <row r="4" spans="1:3">
      <c r="A4" s="18" t="s">
        <v>202</v>
      </c>
      <c r="B4" s="4" t="s">
        <v>203</v>
      </c>
      <c r="C4" s="4" t="s">
        <v>204</v>
      </c>
    </row>
    <row r="5" spans="1:3">
      <c r="A5" s="18" t="s">
        <v>205</v>
      </c>
      <c r="B5" s="4" t="s">
        <v>206</v>
      </c>
      <c r="C5" s="4" t="s">
        <v>207</v>
      </c>
    </row>
    <row r="6" spans="1:3">
      <c r="A6" s="18" t="s">
        <v>208</v>
      </c>
      <c r="B6" s="4" t="s">
        <v>209</v>
      </c>
      <c r="C6" s="4" t="s">
        <v>210</v>
      </c>
    </row>
    <row r="7" spans="1:3">
      <c r="A7" s="18" t="s">
        <v>211</v>
      </c>
      <c r="B7" s="4" t="s">
        <v>212</v>
      </c>
      <c r="C7" s="4" t="s">
        <v>213</v>
      </c>
    </row>
    <row r="8" spans="1:3">
      <c r="A8" s="18" t="s">
        <v>214</v>
      </c>
      <c r="B8" s="4" t="s">
        <v>215</v>
      </c>
      <c r="C8" s="4" t="s">
        <v>216</v>
      </c>
    </row>
    <row r="9" spans="1:3">
      <c r="A9" s="18" t="s">
        <v>217</v>
      </c>
      <c r="B9" s="4" t="s">
        <v>218</v>
      </c>
      <c r="C9" s="4" t="s">
        <v>219</v>
      </c>
    </row>
    <row r="10" spans="1:3">
      <c r="A10" s="18" t="s">
        <v>220</v>
      </c>
      <c r="B10" s="4" t="s">
        <v>221</v>
      </c>
      <c r="C10" s="4" t="s">
        <v>222</v>
      </c>
    </row>
    <row r="11" spans="1:3">
      <c r="A11" s="18" t="s">
        <v>223</v>
      </c>
      <c r="B11" s="4" t="s">
        <v>224</v>
      </c>
      <c r="C11" s="4" t="s">
        <v>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9"/>
  <sheetViews>
    <sheetView showGridLines="0" workbookViewId="0"/>
  </sheetViews>
  <sheetFormatPr defaultRowHeight="15"/>
  <cols>
    <col min="1" max="1" width="26.7109375" customWidth="1"/>
    <col min="2" max="3" width="80.7109375" customWidth="1"/>
    <col min="4" max="4" width="18.7109375" customWidth="1"/>
  </cols>
  <sheetData>
    <row r="1" spans="1:4">
      <c r="A1" s="5" t="s">
        <v>226</v>
      </c>
      <c r="B1" s="5" t="s">
        <v>227</v>
      </c>
      <c r="C1" s="5" t="s">
        <v>228</v>
      </c>
      <c r="D1" s="5" t="s">
        <v>229</v>
      </c>
    </row>
    <row r="2" spans="1:4">
      <c r="A2" s="4" t="s">
        <v>230</v>
      </c>
      <c r="B2" s="19" t="s">
        <v>231</v>
      </c>
      <c r="C2" s="4" t="s">
        <v>232</v>
      </c>
      <c r="D2" s="18" t="s">
        <v>4</v>
      </c>
    </row>
    <row r="3" spans="1:4">
      <c r="A3" s="4" t="s">
        <v>230</v>
      </c>
      <c r="B3" s="19" t="s">
        <v>233</v>
      </c>
      <c r="C3" s="4" t="s">
        <v>234</v>
      </c>
      <c r="D3" s="18" t="s">
        <v>4</v>
      </c>
    </row>
    <row r="4" spans="1:4">
      <c r="A4" s="4" t="s">
        <v>235</v>
      </c>
      <c r="B4" s="19" t="s">
        <v>236</v>
      </c>
      <c r="C4" s="4" t="s">
        <v>237</v>
      </c>
      <c r="D4" s="18" t="s">
        <v>4</v>
      </c>
    </row>
    <row r="5" spans="1:4">
      <c r="A5" s="4" t="s">
        <v>238</v>
      </c>
      <c r="B5" s="19" t="s">
        <v>239</v>
      </c>
      <c r="C5" s="4" t="s">
        <v>240</v>
      </c>
      <c r="D5" s="18" t="s">
        <v>4</v>
      </c>
    </row>
    <row r="6" spans="1:4">
      <c r="A6" s="4" t="s">
        <v>241</v>
      </c>
      <c r="B6" s="19" t="s">
        <v>242</v>
      </c>
      <c r="C6" s="4" t="s">
        <v>243</v>
      </c>
      <c r="D6" s="18" t="s">
        <v>4</v>
      </c>
    </row>
    <row r="7" spans="1:4">
      <c r="A7" s="4" t="s">
        <v>244</v>
      </c>
      <c r="B7" s="19" t="s">
        <v>245</v>
      </c>
      <c r="C7" s="4" t="s">
        <v>246</v>
      </c>
      <c r="D7" s="18" t="s">
        <v>4</v>
      </c>
    </row>
    <row r="8" spans="1:4">
      <c r="A8" s="4" t="s">
        <v>244</v>
      </c>
      <c r="B8" s="19" t="s">
        <v>247</v>
      </c>
      <c r="C8" s="4" t="s">
        <v>248</v>
      </c>
      <c r="D8" s="18" t="s">
        <v>4</v>
      </c>
    </row>
    <row r="9" spans="1:4">
      <c r="A9" s="4" t="s">
        <v>244</v>
      </c>
      <c r="B9" s="19" t="s">
        <v>249</v>
      </c>
      <c r="C9" s="4" t="s">
        <v>250</v>
      </c>
      <c r="D9" s="18" t="s">
        <v>4</v>
      </c>
    </row>
    <row r="10" spans="1:4">
      <c r="A10" s="4" t="s">
        <v>244</v>
      </c>
      <c r="B10" s="19" t="s">
        <v>251</v>
      </c>
      <c r="C10" s="4" t="s">
        <v>252</v>
      </c>
      <c r="D10" s="18" t="s">
        <v>4</v>
      </c>
    </row>
    <row r="11" spans="1:4">
      <c r="A11" s="4" t="s">
        <v>244</v>
      </c>
      <c r="B11" s="19" t="s">
        <v>253</v>
      </c>
      <c r="C11" s="4" t="s">
        <v>254</v>
      </c>
      <c r="D11" s="18" t="s">
        <v>4</v>
      </c>
    </row>
    <row r="12" spans="1:4">
      <c r="A12" s="4" t="s">
        <v>244</v>
      </c>
      <c r="B12" s="19" t="s">
        <v>255</v>
      </c>
      <c r="C12" s="4" t="s">
        <v>256</v>
      </c>
      <c r="D12" s="18" t="s">
        <v>4</v>
      </c>
    </row>
    <row r="13" spans="1:4">
      <c r="A13" s="4" t="s">
        <v>244</v>
      </c>
      <c r="B13" s="19" t="s">
        <v>257</v>
      </c>
      <c r="C13" s="4" t="s">
        <v>258</v>
      </c>
      <c r="D13" s="18" t="s">
        <v>4</v>
      </c>
    </row>
    <row r="14" spans="1:4">
      <c r="A14" s="4" t="s">
        <v>259</v>
      </c>
      <c r="B14" s="19" t="s">
        <v>260</v>
      </c>
      <c r="C14" s="4" t="s">
        <v>261</v>
      </c>
      <c r="D14" s="18" t="s">
        <v>4</v>
      </c>
    </row>
    <row r="15" spans="1:4">
      <c r="A15" s="4" t="s">
        <v>262</v>
      </c>
      <c r="B15" s="19" t="s">
        <v>263</v>
      </c>
      <c r="C15" s="4" t="s">
        <v>264</v>
      </c>
      <c r="D15" s="18" t="s">
        <v>4</v>
      </c>
    </row>
    <row r="18" spans="1:2">
      <c r="A18" s="13" t="s">
        <v>265</v>
      </c>
      <c r="B18" s="13" t="s">
        <v>266</v>
      </c>
    </row>
    <row r="19" spans="1:2">
      <c r="A19" s="13" t="s">
        <v>267</v>
      </c>
      <c r="B19" s="13" t="s">
        <v>268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Valuation</vt:lpstr>
      <vt:lpstr>WACC</vt:lpstr>
      <vt:lpstr>Scenarios</vt:lpstr>
      <vt:lpstr>Actuals Source Audit</vt:lpstr>
      <vt:lpstr>Questions</vt:lpstr>
      <vt:lpstr>Sources</vt:lpstr>
    </vt:vector>
  </TitlesOfParts>
  <Company>capital repo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LULU DCF Model</dc:title>
  <dc:subject>lululemon athletica inc. discounted cash flow model</dc:subject>
  <dc:creator>OpenAI Codex</dc:creator>
  <dc:description>Research support workbook; not personalized financial advice.</dc:description>
  <cp:lastModifiedBy>OpenAI Codex</cp:lastModifiedBy>
  <dcterms:created xsi:type="dcterms:W3CDTF">2026-05-27T13:49:47Z</dcterms:created>
  <dcterms:modified xsi:type="dcterms:W3CDTF">2026-05-27T13:49:47Z</dcterms:modified>
</cp:coreProperties>
</file>