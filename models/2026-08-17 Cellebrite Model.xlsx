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</font>
    <font>
      <b val="1"/>
      <sz val="12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20" customWidth="1" min="4" max="4"/>
    <col width="55" customWidth="1" min="5" max="5"/>
  </cols>
  <sheetData>
    <row r="1">
      <c r="A1" s="1" t="inlineStr">
        <is>
          <t>Cellebrite DI Ltd. (CLBT) — Valuation</t>
        </is>
      </c>
    </row>
    <row r="2">
      <c r="A2" s="2" t="inlineStr">
        <is>
          <t>Technology / Software — Infrastructure | NASDAQ</t>
        </is>
      </c>
    </row>
    <row r="3">
      <c r="A3" s="3" t="inlineStr">
        <is>
          <t>Date</t>
        </is>
      </c>
      <c r="B3" t="inlineStr">
        <is>
          <t>2026-08-17</t>
        </is>
      </c>
    </row>
    <row r="4">
      <c r="A4" s="3" t="inlineStr">
        <is>
          <t>Ticker</t>
        </is>
      </c>
      <c r="B4" t="inlineStr">
        <is>
          <t>NASDAQ: CLBT</t>
        </is>
      </c>
    </row>
    <row r="5">
      <c r="A5" s="3" t="inlineStr">
        <is>
          <t>Price ($)</t>
        </is>
      </c>
      <c r="B5" t="inlineStr">
        <is>
          <t>10.44</t>
        </is>
      </c>
    </row>
    <row r="6">
      <c r="A6" s="3" t="inlineStr">
        <is>
          <t>Shares Outstanding (M)</t>
        </is>
      </c>
      <c r="B6" t="inlineStr">
        <is>
          <t>250.79</t>
        </is>
      </c>
    </row>
    <row r="7">
      <c r="A7" s="3" t="inlineStr">
        <is>
          <t>Market Cap ($B)</t>
        </is>
      </c>
      <c r="B7" t="inlineStr">
        <is>
          <t>2.62</t>
        </is>
      </c>
    </row>
    <row r="8">
      <c r="A8" s="3" t="inlineStr">
        <is>
          <t>Total Cash ($M)</t>
        </is>
      </c>
      <c r="B8" t="inlineStr">
        <is>
          <t>442.53</t>
        </is>
      </c>
    </row>
    <row r="9">
      <c r="A9" s="3" t="inlineStr">
        <is>
          <t>Total Debt ($M)</t>
        </is>
      </c>
      <c r="B9" t="inlineStr">
        <is>
          <t>23.23</t>
        </is>
      </c>
    </row>
    <row r="10">
      <c r="A10" s="3" t="inlineStr">
        <is>
          <t>Enterprise Value ($B)</t>
        </is>
      </c>
      <c r="B10" t="inlineStr">
        <is>
          <t>2.20</t>
        </is>
      </c>
    </row>
    <row r="11">
      <c r="A11" s="3" t="inlineStr">
        <is>
          <t>Net Cash Position ($M)</t>
        </is>
      </c>
      <c r="B11" t="inlineStr">
        <is>
          <t>419.30</t>
        </is>
      </c>
    </row>
    <row r="12">
      <c r="A12" s="3" t="inlineStr">
        <is>
          <t>Primary Valuation Lens</t>
        </is>
      </c>
      <c r="B12" t="inlineStr">
        <is>
          <t>FCF Multiple</t>
        </is>
      </c>
    </row>
    <row r="13">
      <c r="A13" s="3" t="inlineStr">
        <is>
          <t>Stance</t>
        </is>
      </c>
      <c r="B13" t="inlineStr">
        <is>
          <t>Watch</t>
        </is>
      </c>
    </row>
    <row r="15">
      <c r="A15" s="4" t="inlineStr">
        <is>
          <t>Key Valuation Metrics</t>
        </is>
      </c>
    </row>
    <row r="16">
      <c r="A16" s="5" t="inlineStr">
        <is>
          <t>Metric</t>
        </is>
      </c>
      <c r="B16" s="5" t="inlineStr">
        <is>
          <t>Value</t>
        </is>
      </c>
      <c r="C16" s="5" t="inlineStr">
        <is>
          <t>Comment</t>
        </is>
      </c>
    </row>
    <row r="17">
      <c r="A17" s="6" t="inlineStr">
        <is>
          <t>P/E (TTM)</t>
        </is>
      </c>
      <c r="B17" s="6" t="inlineStr">
        <is>
          <t>48.4x</t>
        </is>
      </c>
      <c r="C17" s="6" t="inlineStr">
        <is>
          <t>Key Stats EPS $0.22; suppressed by FY2024 non-op charge of -$331.5M</t>
        </is>
      </c>
    </row>
    <row r="18">
      <c r="A18" s="6" t="inlineStr">
        <is>
          <t>Forward P/E</t>
        </is>
      </c>
      <c r="B18" s="6" t="inlineStr">
        <is>
          <t>N/A</t>
        </is>
      </c>
      <c r="C18" s="6" t="inlineStr">
        <is>
          <t>No analyst coverage visible</t>
        </is>
      </c>
    </row>
    <row r="19">
      <c r="A19" s="6" t="inlineStr">
        <is>
          <t>P/S (TTM)</t>
        </is>
      </c>
      <c r="B19" s="6" t="inlineStr">
        <is>
          <t>5.1x</t>
        </is>
      </c>
      <c r="C19" s="6" t="inlineStr">
        <is>
          <t>MC $2.62B / Revenue $514.3M TTM</t>
        </is>
      </c>
    </row>
    <row r="20">
      <c r="A20" s="6" t="inlineStr">
        <is>
          <t>P/FCF (TTM)</t>
        </is>
      </c>
      <c r="B20" s="6" t="inlineStr">
        <is>
          <t>21.0x</t>
        </is>
      </c>
      <c r="C20" s="6" t="inlineStr">
        <is>
          <t>MC $2.62B / Levered FCF $124.9M</t>
        </is>
      </c>
    </row>
    <row r="21">
      <c r="A21" s="6" t="inlineStr">
        <is>
          <t>EV/FCF</t>
        </is>
      </c>
      <c r="B21" s="6" t="inlineStr">
        <is>
          <t>17.6x</t>
        </is>
      </c>
      <c r="C21" s="6" t="inlineStr">
        <is>
          <t>EV $2.20B / Levered FCF $124.9M</t>
        </is>
      </c>
    </row>
    <row r="22">
      <c r="A22" s="6" t="inlineStr">
        <is>
          <t>EV/Sales</t>
        </is>
      </c>
      <c r="B22" s="6" t="inlineStr">
        <is>
          <t>4.3x</t>
        </is>
      </c>
      <c r="C22" s="6" t="inlineStr">
        <is>
          <t>EV $2.20B / Revenue $514.3M</t>
        </is>
      </c>
    </row>
    <row r="23">
      <c r="A23" s="6" t="inlineStr">
        <is>
          <t>EV/EBITDA</t>
        </is>
      </c>
      <c r="B23" s="6" t="inlineStr">
        <is>
          <t>28.1x</t>
        </is>
      </c>
      <c r="C23" s="6" t="inlineStr">
        <is>
          <t>EV $2.20B / EBITDA $78.4M (S&amp;P calc)</t>
        </is>
      </c>
    </row>
    <row r="24">
      <c r="A24" s="6" t="inlineStr">
        <is>
          <t>P/B</t>
        </is>
      </c>
      <c r="B24" s="6" t="inlineStr">
        <is>
          <t>5.2x</t>
        </is>
      </c>
      <c r="C24" s="6" t="inlineStr">
        <is>
          <t>Key Stats current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20" customWidth="1" min="4" max="4"/>
    <col width="55" customWidth="1" min="5" max="5"/>
  </cols>
  <sheetData>
    <row r="1">
      <c r="A1" s="1" t="inlineStr">
        <is>
          <t>WACC Calculation — CLBT</t>
        </is>
      </c>
    </row>
    <row r="2">
      <c r="A2" s="3" t="inlineStr">
        <is>
          <t>Risk-Free Rate (10Y US)</t>
        </is>
      </c>
      <c r="B2" t="inlineStr">
        <is>
          <t>4.73%</t>
        </is>
      </c>
      <c r="C2" t="inlineStr">
        <is>
          <t>CNBC 2026-08-17</t>
        </is>
      </c>
    </row>
    <row r="3">
      <c r="A3" s="3" t="inlineStr">
        <is>
          <t>Equity Risk Premium</t>
        </is>
      </c>
      <c r="B3" t="inlineStr">
        <is>
          <t>5.00%</t>
        </is>
      </c>
      <c r="C3" t="inlineStr">
        <is>
          <t>Assumption</t>
        </is>
      </c>
    </row>
    <row r="4">
      <c r="A4" s="3" t="inlineStr">
        <is>
          <t>Beta (5Y Monthly)</t>
        </is>
      </c>
      <c r="B4" t="inlineStr">
        <is>
          <t>1.18</t>
        </is>
      </c>
      <c r="C4" t="inlineStr">
        <is>
          <t>Yahoo Key Stats</t>
        </is>
      </c>
    </row>
    <row r="5">
      <c r="A5" s="3" t="inlineStr">
        <is>
          <t>Cost of Equity (Ke)</t>
        </is>
      </c>
      <c r="B5" t="inlineStr">
        <is>
          <t>10.63%</t>
        </is>
      </c>
      <c r="C5">
        <f>4.73% + 1.18 * 5%</f>
        <v/>
      </c>
    </row>
    <row r="6">
      <c r="A6" s="3" t="inlineStr">
        <is>
          <t>Cost of Debt</t>
        </is>
      </c>
      <c r="B6" t="inlineStr">
        <is>
          <t>4.50%</t>
        </is>
      </c>
      <c r="C6" t="inlineStr">
        <is>
          <t>Estimate; debt is negligible</t>
        </is>
      </c>
    </row>
    <row r="7">
      <c r="A7" s="3" t="inlineStr">
        <is>
          <t>Tax Rate</t>
        </is>
      </c>
      <c r="B7" t="inlineStr">
        <is>
          <t>15.00%</t>
        </is>
      </c>
      <c r="C7" t="inlineStr">
        <is>
          <t>FY2025 eff: 13.6%; blended forward</t>
        </is>
      </c>
    </row>
    <row r="8">
      <c r="A8" t="inlineStr"/>
      <c r="B8" t="inlineStr"/>
      <c r="C8" t="inlineStr"/>
    </row>
    <row r="9">
      <c r="A9" s="3" t="inlineStr">
        <is>
          <t>Market Cap ($M)</t>
        </is>
      </c>
      <c r="B9" t="inlineStr">
        <is>
          <t>2,618.30</t>
        </is>
      </c>
      <c r="C9" t="inlineStr">
        <is>
          <t>$10.44 * 250.79M</t>
        </is>
      </c>
    </row>
    <row r="10">
      <c r="A10" s="3" t="inlineStr">
        <is>
          <t>Total Debt ($M)</t>
        </is>
      </c>
      <c r="B10" t="inlineStr">
        <is>
          <t>23.23</t>
        </is>
      </c>
      <c r="C10" t="inlineStr">
        <is>
          <t>Yahoo Key Stats MRQ</t>
        </is>
      </c>
    </row>
    <row r="11">
      <c r="A11" s="3" t="inlineStr">
        <is>
          <t>Equity Weight</t>
        </is>
      </c>
      <c r="B11" t="inlineStr">
        <is>
          <t>99.1%</t>
        </is>
      </c>
      <c r="C11">
        <f>2,618.3 / (2,618.3+23.2)</f>
        <v/>
      </c>
    </row>
    <row r="12">
      <c r="A12" s="3" t="inlineStr">
        <is>
          <t>Debt Weight</t>
        </is>
      </c>
      <c r="B12" t="inlineStr">
        <is>
          <t>0.9%</t>
        </is>
      </c>
      <c r="C12">
        <f>23.2 / (2,618.3+23.2)</f>
        <v/>
      </c>
    </row>
    <row r="13">
      <c r="A13" t="inlineStr"/>
      <c r="B13" t="inlineStr"/>
      <c r="C13" t="inlineStr"/>
    </row>
    <row r="14">
      <c r="A14" s="3" t="inlineStr">
        <is>
          <t>WACC</t>
        </is>
      </c>
      <c r="B14" t="inlineStr">
        <is>
          <t>10.57%</t>
        </is>
      </c>
      <c r="C14">
        <f>0.991*10.63% + 0.009*4.50%*(1-15%)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20" customWidth="1" min="4" max="4"/>
    <col width="55" customWidth="1" min="5" max="5"/>
  </cols>
  <sheetData>
    <row r="1">
      <c r="A1" s="1" t="inlineStr">
        <is>
          <t>Scenario Analysis — CLBT (FCF Multiple Framework)</t>
        </is>
      </c>
    </row>
    <row r="4">
      <c r="A4" s="5" t="inlineStr">
        <is>
          <t>Metric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Notes</t>
        </is>
      </c>
    </row>
    <row r="5">
      <c r="A5" s="6" t="inlineStr">
        <is>
          <t>Revenue CAGR (5Y)</t>
        </is>
      </c>
      <c r="B5" s="6" t="inlineStr">
        <is>
          <t>8%</t>
        </is>
      </c>
      <c r="C5" s="6" t="inlineStr">
        <is>
          <t>12%</t>
        </is>
      </c>
      <c r="D5" s="6" t="inlineStr">
        <is>
          <t>15%</t>
        </is>
      </c>
      <c r="E5" s="6" t="inlineStr">
        <is>
          <t>Historical 3Y ~20%; post-guidance cut</t>
        </is>
      </c>
    </row>
    <row r="6">
      <c r="A6" s="6" t="inlineStr">
        <is>
          <t>Terminal Revenue ($M)</t>
        </is>
      </c>
      <c r="B6" s="6" t="inlineStr">
        <is>
          <t>756</t>
        </is>
      </c>
      <c r="C6" s="6" t="inlineStr">
        <is>
          <t>906</t>
        </is>
      </c>
      <c r="D6" s="6" t="inlineStr">
        <is>
          <t>1034</t>
        </is>
      </c>
      <c r="E6" s="6">
        <f> Rev * (1+CAGR)^5</f>
        <v/>
      </c>
    </row>
    <row r="7">
      <c r="A7" s="6" t="inlineStr">
        <is>
          <t>Adjusted FCF Margin</t>
        </is>
      </c>
      <c r="B7" s="6" t="inlineStr">
        <is>
          <t>20%</t>
        </is>
      </c>
      <c r="C7" s="6" t="inlineStr">
        <is>
          <t>25%</t>
        </is>
      </c>
      <c r="D7" s="6" t="inlineStr">
        <is>
          <t>32%</t>
        </is>
      </c>
      <c r="E7" s="6" t="inlineStr">
        <is>
          <t>FCF margin hist 28-34%; bear sees compression</t>
        </is>
      </c>
    </row>
    <row r="8">
      <c r="A8" s="6" t="inlineStr">
        <is>
          <t>Terminal FCF ($M)</t>
        </is>
      </c>
      <c r="B8" s="6" t="inlineStr">
        <is>
          <t>151</t>
        </is>
      </c>
      <c r="C8" s="6" t="inlineStr">
        <is>
          <t>227</t>
        </is>
      </c>
      <c r="D8" s="6" t="inlineStr">
        <is>
          <t>331</t>
        </is>
      </c>
      <c r="E8" s="6">
        <f> Term Rev * FCF Margin</f>
        <v/>
      </c>
    </row>
    <row r="9">
      <c r="A9" s="6" t="inlineStr">
        <is>
          <t>Exit FCF Multiple</t>
        </is>
      </c>
      <c r="B9" s="6" t="inlineStr">
        <is>
          <t>10x</t>
        </is>
      </c>
      <c r="C9" s="6" t="inlineStr">
        <is>
          <t>15x</t>
        </is>
      </c>
      <c r="D9" s="6" t="inlineStr">
        <is>
          <t>20x</t>
        </is>
      </c>
      <c r="E9" s="6" t="inlineStr">
        <is>
          <t>SaaS range 12-25x</t>
        </is>
      </c>
    </row>
    <row r="10">
      <c r="A10" s="6" t="inlineStr">
        <is>
          <t>Implied EV ($M)</t>
        </is>
      </c>
      <c r="B10" s="6" t="inlineStr">
        <is>
          <t>1511</t>
        </is>
      </c>
      <c r="C10" s="6" t="inlineStr">
        <is>
          <t>3399</t>
        </is>
      </c>
      <c r="D10" s="6" t="inlineStr">
        <is>
          <t>6620</t>
        </is>
      </c>
      <c r="E10" s="6">
        <f> Term FCF * Exit Multiple</f>
        <v/>
      </c>
    </row>
    <row r="11">
      <c r="A11" s="6" t="inlineStr">
        <is>
          <t>Plus: Net Cash ($M)</t>
        </is>
      </c>
      <c r="B11" s="6" t="inlineStr">
        <is>
          <t>419.3</t>
        </is>
      </c>
      <c r="C11" s="6" t="inlineStr">
        <is>
          <t>419.3</t>
        </is>
      </c>
      <c r="D11" s="6" t="inlineStr">
        <is>
          <t>419.3</t>
        </is>
      </c>
      <c r="E11" s="6" t="inlineStr">
        <is>
          <t>419.3 net cash</t>
        </is>
      </c>
    </row>
    <row r="12">
      <c r="A12" s="6" t="inlineStr">
        <is>
          <t>Equity Value ($M)</t>
        </is>
      </c>
      <c r="B12" s="6" t="inlineStr">
        <is>
          <t>1931</t>
        </is>
      </c>
      <c r="C12" s="6" t="inlineStr">
        <is>
          <t>3818</t>
        </is>
      </c>
      <c r="D12" s="6" t="inlineStr">
        <is>
          <t>7040</t>
        </is>
      </c>
      <c r="E12" s="6">
        <f> EV + Net Cash</f>
        <v/>
      </c>
    </row>
    <row r="13">
      <c r="A13" s="6" t="inlineStr">
        <is>
          <t>Shares (M)</t>
        </is>
      </c>
      <c r="B13" s="6" t="inlineStr">
        <is>
          <t>250.8</t>
        </is>
      </c>
      <c r="C13" s="6" t="inlineStr">
        <is>
          <t>250.8</t>
        </is>
      </c>
      <c r="D13" s="6" t="inlineStr">
        <is>
          <t>250.8</t>
        </is>
      </c>
      <c r="E13" s="6" t="inlineStr">
        <is>
          <t>250.79M</t>
        </is>
      </c>
    </row>
    <row r="14">
      <c r="A14" s="6" t="inlineStr">
        <is>
          <t>Target Price ($)</t>
        </is>
      </c>
      <c r="B14" s="6" t="inlineStr">
        <is>
          <t>7.70</t>
        </is>
      </c>
      <c r="C14" s="6" t="inlineStr">
        <is>
          <t>15.22</t>
        </is>
      </c>
      <c r="D14" s="6" t="inlineStr">
        <is>
          <t>28.07</t>
        </is>
      </c>
      <c r="E14" s="6">
        <f> Eq Value / Shares</f>
        <v/>
      </c>
    </row>
    <row r="15">
      <c r="A15" s="6" t="inlineStr">
        <is>
          <t>Upside from Current</t>
        </is>
      </c>
      <c r="B15" s="6" t="inlineStr">
        <is>
          <t>-26.3%</t>
        </is>
      </c>
      <c r="C15" s="6" t="inlineStr">
        <is>
          <t>45.8%</t>
        </is>
      </c>
      <c r="D15" s="6" t="inlineStr">
        <is>
          <t>168.9%</t>
        </is>
      </c>
      <c r="E15" s="6" t="inlineStr">
        <is>
          <t>Current: $10.44</t>
        </is>
      </c>
    </row>
    <row r="16">
      <c r="A16" s="6" t="inlineStr">
        <is>
          <t>Weight</t>
        </is>
      </c>
      <c r="B16" s="6" t="inlineStr">
        <is>
          <t>30%</t>
        </is>
      </c>
      <c r="C16" s="6" t="inlineStr">
        <is>
          <t>50%</t>
        </is>
      </c>
      <c r="D16" s="6" t="inlineStr">
        <is>
          <t>20%</t>
        </is>
      </c>
      <c r="E16" s="6" t="inlineStr">
        <is>
          <t>Bear-heavy: CEO change + guidance cut</t>
        </is>
      </c>
    </row>
    <row r="17">
      <c r="A17" s="6" t="inlineStr">
        <is>
          <t>Weighted Value/Share</t>
        </is>
      </c>
      <c r="B17" s="6" t="inlineStr">
        <is>
          <t>2.31</t>
        </is>
      </c>
      <c r="C17" s="6" t="inlineStr">
        <is>
          <t>7.61</t>
        </is>
      </c>
      <c r="D17" s="6" t="inlineStr">
        <is>
          <t>5.61</t>
        </is>
      </c>
      <c r="E17" s="6">
        <f> Target * Weight</f>
        <v/>
      </c>
    </row>
    <row r="21">
      <c r="A21" s="7" t="inlineStr">
        <is>
          <t>Probability-Weighted FV</t>
        </is>
      </c>
      <c r="B21" s="6" t="inlineStr"/>
      <c r="C21" s="6" t="inlineStr"/>
      <c r="D21" s="7" t="inlineStr">
        <is>
          <t>15.54</t>
        </is>
      </c>
      <c r="E21" s="6" t="inlineStr">
        <is>
          <t>Sum of weighted</t>
        </is>
      </c>
    </row>
    <row r="22">
      <c r="A22" s="7" t="inlineStr">
        <is>
          <t>Current Price</t>
        </is>
      </c>
      <c r="B22" s="6" t="inlineStr"/>
      <c r="C22" s="6" t="inlineStr"/>
      <c r="D22" s="7" t="inlineStr">
        <is>
          <t>10.44</t>
        </is>
      </c>
      <c r="E22" s="6" t="inlineStr">
        <is>
          <t>2026-08-17 close</t>
        </is>
      </c>
    </row>
    <row r="23">
      <c r="A23" s="7" t="inlineStr">
        <is>
          <t>Implied Upside</t>
        </is>
      </c>
      <c r="B23" s="6" t="inlineStr"/>
      <c r="C23" s="6" t="inlineStr"/>
      <c r="D23" s="7" t="inlineStr">
        <is>
          <t>48.8%</t>
        </is>
      </c>
      <c r="E23" s="6">
        <f> (FV - Current) / Current</f>
        <v/>
      </c>
    </row>
    <row r="25">
      <c r="A25" t="inlineStr">
        <is>
          <t>Framework note: FCF multiple used. Company is net-cash positive ($419.3M). Standard EV -&gt; equity math applies. No FCF insufficiency concern.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20" customWidth="1" min="4" max="4"/>
    <col width="55" customWidth="1" min="5" max="5"/>
  </cols>
  <sheetData>
    <row r="1">
      <c r="A1" s="1" t="inlineStr">
        <is>
          <t>Actuals Source Audit — CLBT</t>
        </is>
      </c>
    </row>
    <row r="2">
      <c r="A2" s="5" t="inlineStr">
        <is>
          <t>Data Point</t>
        </is>
      </c>
      <c r="B2" s="5" t="inlineStr">
        <is>
          <t>Value</t>
        </is>
      </c>
      <c r="C2" s="5" t="inlineStr">
        <is>
          <t>Source URL</t>
        </is>
      </c>
      <c r="D2" s="5" t="inlineStr">
        <is>
          <t>Date</t>
        </is>
      </c>
      <c r="E2" s="5" t="inlineStr">
        <is>
          <t>Notes</t>
        </is>
      </c>
    </row>
    <row r="3">
      <c r="A3" s="6" t="inlineStr">
        <is>
          <t>Stock Price</t>
        </is>
      </c>
      <c r="B3" s="6" t="inlineStr">
        <is>
          <t>$10.44</t>
        </is>
      </c>
      <c r="C3" s="6" t="inlineStr">
        <is>
          <t>finance.yahoo.com/quote/CLBT/</t>
        </is>
      </c>
      <c r="D3" s="6" t="inlineStr">
        <is>
          <t>2026-08-17</t>
        </is>
      </c>
      <c r="E3" s="6" t="inlineStr">
        <is>
          <t>Close price</t>
        </is>
      </c>
    </row>
    <row r="4">
      <c r="A4" s="6" t="inlineStr">
        <is>
          <t>Market Cap</t>
        </is>
      </c>
      <c r="B4" s="6" t="inlineStr">
        <is>
          <t>$2.62B</t>
        </is>
      </c>
      <c r="C4" s="6" t="inlineStr">
        <is>
          <t>finance.yahoo.com/quote/CLBT/key-statistics/</t>
        </is>
      </c>
      <c r="D4" s="6" t="inlineStr">
        <is>
          <t>2026-08-17</t>
        </is>
      </c>
      <c r="E4" s="6" t="inlineStr">
        <is>
          <t>$10.44 * 250.79M shares</t>
        </is>
      </c>
    </row>
    <row r="5">
      <c r="A5" s="6" t="inlineStr">
        <is>
          <t>Enterprise Value</t>
        </is>
      </c>
      <c r="B5" s="6" t="inlineStr">
        <is>
          <t>$2.20B</t>
        </is>
      </c>
      <c r="C5" s="6" t="inlineStr">
        <is>
          <t>Calculated: MC + Debt - Cash</t>
        </is>
      </c>
      <c r="D5" s="6" t="inlineStr">
        <is>
          <t>2026-08-17</t>
        </is>
      </c>
      <c r="E5" s="6" t="inlineStr">
        <is>
          <t>Net cash position</t>
        </is>
      </c>
    </row>
    <row r="6">
      <c r="A6" s="6" t="inlineStr">
        <is>
          <t>Shares Outstanding</t>
        </is>
      </c>
      <c r="B6" s="6" t="inlineStr">
        <is>
          <t>250.79M</t>
        </is>
      </c>
      <c r="C6" s="6" t="inlineStr">
        <is>
          <t>finance.yahoo.com/quote/CLBT/key-statistics/</t>
        </is>
      </c>
      <c r="D6" s="6" t="inlineStr">
        <is>
          <t>2026-08-17</t>
        </is>
      </c>
      <c r="E6" s="6" t="inlineStr">
        <is>
          <t>Key Stats</t>
        </is>
      </c>
    </row>
    <row r="7">
      <c r="A7" s="6" t="inlineStr">
        <is>
          <t>Total Cash</t>
        </is>
      </c>
      <c r="B7" s="6" t="inlineStr">
        <is>
          <t>$442.53M</t>
        </is>
      </c>
      <c r="C7" s="6" t="inlineStr">
        <is>
          <t>finance.yahoo.com/quote/CLBT/key-statistics/</t>
        </is>
      </c>
      <c r="D7" s="6" t="inlineStr">
        <is>
          <t>MRQ 6/30/2026</t>
        </is>
      </c>
      <c r="E7" s="6" t="inlineStr">
        <is>
          <t>Key Stats total cash</t>
        </is>
      </c>
    </row>
    <row r="8">
      <c r="A8" s="6" t="inlineStr">
        <is>
          <t>Total Debt</t>
        </is>
      </c>
      <c r="B8" s="6" t="inlineStr">
        <is>
          <t>$23.23M</t>
        </is>
      </c>
      <c r="C8" s="6" t="inlineStr">
        <is>
          <t>finance.yahoo.com/quote/CLBT/key-statistics/</t>
        </is>
      </c>
      <c r="D8" s="6" t="inlineStr">
        <is>
          <t>MRQ 6/30/2026</t>
        </is>
      </c>
      <c r="E8" s="6" t="inlineStr">
        <is>
          <t>Key Stats total debt</t>
        </is>
      </c>
    </row>
    <row r="9">
      <c r="A9" s="6" t="inlineStr">
        <is>
          <t>TTM Revenue</t>
        </is>
      </c>
      <c r="B9" s="6" t="inlineStr">
        <is>
          <t>$514.29M</t>
        </is>
      </c>
      <c r="C9" s="6" t="inlineStr">
        <is>
          <t>finance.yahoo.com/quote/CLBT/key-statistics/</t>
        </is>
      </c>
      <c r="D9" s="6" t="inlineStr">
        <is>
          <t>TTM as of MRQ</t>
        </is>
      </c>
      <c r="E9" s="6" t="inlineStr">
        <is>
          <t>Key Stats; IS TTM shows $496.4M (may lag)</t>
        </is>
      </c>
    </row>
    <row r="10">
      <c r="A10" s="6" t="inlineStr">
        <is>
          <t>FY2025 Revenue</t>
        </is>
      </c>
      <c r="B10" s="6" t="inlineStr">
        <is>
          <t>$475.68M</t>
        </is>
      </c>
      <c r="C10" s="6" t="inlineStr">
        <is>
          <t>finance.yahoo.com/quote/CLBT/financials/</t>
        </is>
      </c>
      <c r="D10" s="6" t="inlineStr">
        <is>
          <t>12/31/2025</t>
        </is>
      </c>
      <c r="E10" s="6" t="inlineStr">
        <is>
          <t>Annual IS</t>
        </is>
      </c>
    </row>
    <row r="11">
      <c r="A11" s="6" t="inlineStr">
        <is>
          <t>FY2024 Revenue</t>
        </is>
      </c>
      <c r="B11" s="6" t="inlineStr">
        <is>
          <t>$401.20M</t>
        </is>
      </c>
      <c r="C11" s="6" t="inlineStr">
        <is>
          <t>finance.yahoo.com/quote/CLBT/financials/</t>
        </is>
      </c>
      <c r="D11" s="6" t="inlineStr">
        <is>
          <t>12/31/2024</t>
        </is>
      </c>
      <c r="E11" s="6" t="inlineStr">
        <is>
          <t>Annual IS</t>
        </is>
      </c>
    </row>
    <row r="12">
      <c r="A12" s="6" t="inlineStr">
        <is>
          <t>FY2025 Operating Income</t>
        </is>
      </c>
      <c r="B12" s="6" t="inlineStr">
        <is>
          <t>$66.48M</t>
        </is>
      </c>
      <c r="C12" s="6" t="inlineStr">
        <is>
          <t>finance.yahoo.com/quote/CLBT/financials/</t>
        </is>
      </c>
      <c r="D12" s="6" t="inlineStr">
        <is>
          <t>12/31/2025</t>
        </is>
      </c>
      <c r="E12" s="6" t="inlineStr">
        <is>
          <t>Annual IS</t>
        </is>
      </c>
    </row>
    <row r="13">
      <c r="A13" s="6" t="inlineStr">
        <is>
          <t>FY2025 Net Income</t>
        </is>
      </c>
      <c r="B13" s="6" t="inlineStr">
        <is>
          <t>$77.81M</t>
        </is>
      </c>
      <c r="C13" s="6" t="inlineStr">
        <is>
          <t>finance.yahoo.com/quote/CLBT/financials/</t>
        </is>
      </c>
      <c r="D13" s="6" t="inlineStr">
        <is>
          <t>12/31/2025</t>
        </is>
      </c>
      <c r="E13" s="6" t="inlineStr">
        <is>
          <t>Annual IS</t>
        </is>
      </c>
    </row>
    <row r="14">
      <c r="A14" s="6" t="inlineStr">
        <is>
          <t>FY2024 Net Income</t>
        </is>
      </c>
      <c r="B14" s="6" t="inlineStr">
        <is>
          <t>-$283.01M</t>
        </is>
      </c>
      <c r="C14" s="6" t="inlineStr">
        <is>
          <t>finance.yahoo.com/quote/CLBT/financials/</t>
        </is>
      </c>
      <c r="D14" s="6" t="inlineStr">
        <is>
          <t>12/31/2024</t>
        </is>
      </c>
      <c r="E14" s="6" t="inlineStr">
        <is>
          <t>Non-op charge of -$331.5M; operating income +$56.9M</t>
        </is>
      </c>
    </row>
    <row r="15">
      <c r="A15" s="6" t="inlineStr">
        <is>
          <t>FY2023 Net Income</t>
        </is>
      </c>
      <c r="B15" s="6" t="inlineStr">
        <is>
          <t>-$81.10M</t>
        </is>
      </c>
      <c r="C15" s="6" t="inlineStr">
        <is>
          <t>finance.yahoo.com/quote/CLBT/financials/</t>
        </is>
      </c>
      <c r="D15" s="6" t="inlineStr">
        <is>
          <t>12/31/2023</t>
        </is>
      </c>
      <c r="E15" s="6" t="inlineStr">
        <is>
          <t>Non-op charge of -$109.0M; operating income +$33.2M</t>
        </is>
      </c>
    </row>
    <row r="16">
      <c r="A16" s="6" t="inlineStr">
        <is>
          <t>FY2025 FCF</t>
        </is>
      </c>
      <c r="B16" s="6" t="inlineStr">
        <is>
          <t>$160.32M</t>
        </is>
      </c>
      <c r="C16" s="6" t="inlineStr">
        <is>
          <t>finance.yahoo.com/quote/CLBT/cash-flow/</t>
        </is>
      </c>
      <c r="D16" s="6" t="inlineStr">
        <is>
          <t>12/31/2025</t>
        </is>
      </c>
      <c r="E16" s="6" t="inlineStr">
        <is>
          <t>Cash flow statement</t>
        </is>
      </c>
    </row>
    <row r="17">
      <c r="A17" s="6" t="inlineStr">
        <is>
          <t>TTM Levered FCF</t>
        </is>
      </c>
      <c r="B17" s="6" t="inlineStr">
        <is>
          <t>$124.92M</t>
        </is>
      </c>
      <c r="C17" s="6" t="inlineStr">
        <is>
          <t>finance.yahoo.com/quote/CLBT/key-statistics/</t>
        </is>
      </c>
      <c r="D17" s="6" t="inlineStr">
        <is>
          <t>TTM</t>
        </is>
      </c>
      <c r="E17" s="6" t="inlineStr">
        <is>
          <t>Key Stats levered FCF</t>
        </is>
      </c>
    </row>
    <row r="18">
      <c r="A18" s="6" t="inlineStr">
        <is>
          <t>TTM OCF</t>
        </is>
      </c>
      <c r="B18" s="6" t="inlineStr">
        <is>
          <t>$157.56M</t>
        </is>
      </c>
      <c r="C18" s="6" t="inlineStr">
        <is>
          <t>finance.yahoo.com/quote/CLBT/key-statistics/</t>
        </is>
      </c>
      <c r="D18" s="6" t="inlineStr">
        <is>
          <t>TTM</t>
        </is>
      </c>
      <c r="E18" s="6" t="inlineStr">
        <is>
          <t>Key Stats operating CF</t>
        </is>
      </c>
    </row>
    <row r="19">
      <c r="A19" s="6" t="inlineStr">
        <is>
          <t>FY2024 Investing CF</t>
        </is>
      </c>
      <c r="B19" s="6" t="inlineStr">
        <is>
          <t>-$268.25M</t>
        </is>
      </c>
      <c r="C19" s="6" t="inlineStr">
        <is>
          <t>finance.yahoo.com/quote/CLBT/cash-flow/</t>
        </is>
      </c>
      <c r="D19" s="6" t="inlineStr">
        <is>
          <t>12/31/2024</t>
        </is>
      </c>
      <c r="E19" s="6" t="inlineStr">
        <is>
          <t>vs $13.23M CapEx; gap of -$255M = acquisition?</t>
        </is>
      </c>
    </row>
    <row r="20">
      <c r="A20" s="6" t="inlineStr">
        <is>
          <t>Beta (5Y Monthly)</t>
        </is>
      </c>
      <c r="B20" s="6" t="inlineStr">
        <is>
          <t>1.18</t>
        </is>
      </c>
      <c r="C20" s="6" t="inlineStr">
        <is>
          <t>finance.yahoo.com/quote/CLBT/key-statistics/</t>
        </is>
      </c>
      <c r="D20" s="6" t="inlineStr">
        <is>
          <t>2026-08-17</t>
        </is>
      </c>
      <c r="E20" s="6" t="inlineStr">
        <is>
          <t>Key Stats</t>
        </is>
      </c>
    </row>
    <row r="21">
      <c r="A21" s="6" t="inlineStr">
        <is>
          <t>10Y Treasury Yield</t>
        </is>
      </c>
      <c r="B21" s="6" t="inlineStr">
        <is>
          <t>4.73%</t>
        </is>
      </c>
      <c r="C21" s="6" t="inlineStr">
        <is>
          <t>cnbc.com/quotes/US10Y</t>
        </is>
      </c>
      <c r="D21" s="6" t="inlineStr">
        <is>
          <t>2026-08-17</t>
        </is>
      </c>
      <c r="E21" s="6" t="inlineStr">
        <is>
          <t>CNBC</t>
        </is>
      </c>
    </row>
    <row r="22">
      <c r="A22" s="6" t="inlineStr">
        <is>
          <t>Next Earnings</t>
        </is>
      </c>
      <c r="B22" s="6" t="inlineStr">
        <is>
          <t>Nov 11, 2026</t>
        </is>
      </c>
      <c r="C22" s="6" t="inlineStr">
        <is>
          <t>finance.yahoo.com/quote/CLBT/profile/</t>
        </is>
      </c>
      <c r="D22" s="6" t="inlineStr">
        <is>
          <t>2026-08-17</t>
        </is>
      </c>
      <c r="E22" s="6" t="inlineStr">
        <is>
          <t>Profile page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20" customWidth="1" min="4" max="4"/>
    <col width="55" customWidth="1" min="5" max="5"/>
  </cols>
  <sheetData>
    <row r="1">
      <c r="A1" s="1" t="inlineStr">
        <is>
          <t>Open Questions — CLBT</t>
        </is>
      </c>
    </row>
    <row r="2">
      <c r="A2" s="5" t="inlineStr">
        <is>
          <t>#</t>
        </is>
      </c>
      <c r="B2" s="5" t="inlineStr">
        <is>
          <t>Question</t>
        </is>
      </c>
      <c r="C2" s="5" t="inlineStr">
        <is>
          <t>Context</t>
        </is>
      </c>
    </row>
    <row r="3">
      <c r="A3" s="6" t="inlineStr">
        <is>
          <t>Q1</t>
        </is>
      </c>
      <c r="B3" s="6" t="inlineStr">
        <is>
          <t>What was the -$331.5M non-op charge in FY2024?</t>
        </is>
      </c>
      <c r="C3" s="6" t="inlineStr">
        <is>
          <t>Net Non-Operating Interest Income Expense was -$331.5M vs +$56.9M operating income. Impairment? Investment loss? Acquisition accounting?</t>
        </is>
      </c>
    </row>
    <row r="4">
      <c r="A4" s="6" t="inlineStr">
        <is>
          <t>Q2</t>
        </is>
      </c>
      <c r="B4" s="6" t="inlineStr">
        <is>
          <t>What drove the -$255M Investing CF minus CapEx gap in FY2024?</t>
        </is>
      </c>
      <c r="C4" s="6" t="inlineStr">
        <is>
          <t>Investing CF -$268.3M but CapEx only -$13.2M. The -$255M gap suggests material acquisition or asset purchase.</t>
        </is>
      </c>
    </row>
    <row r="5">
      <c r="A5" s="6" t="inlineStr">
        <is>
          <t>Q3</t>
        </is>
      </c>
      <c r="B5" s="6" t="inlineStr">
        <is>
          <t>Why equity jumped from $34M (FY2023) to $336M (FY2024)?</t>
        </is>
      </c>
      <c r="C5" s="6" t="inlineStr">
        <is>
          <t>Despite -$283M loss, equity 10x'd. Share count +15% (209M to 235M). Equity issuance / capital raise of ~$500M?</t>
        </is>
      </c>
    </row>
    <row r="6">
      <c r="A6" s="6" t="inlineStr">
        <is>
          <t>Q4</t>
        </is>
      </c>
      <c r="B6" s="6" t="inlineStr">
        <is>
          <t>How sustainable is the 30%+ FCF margin?</t>
        </is>
      </c>
      <c r="C6" s="6" t="inlineStr">
        <is>
          <t>FCF margin 28-34% in healthy years; FY2024 FCF of $121.6M was 30.3%. Can expansion OpEx or acquisitions compress this?</t>
        </is>
      </c>
    </row>
    <row r="7">
      <c r="A7" s="6" t="inlineStr">
        <is>
          <t>Q5</t>
        </is>
      </c>
      <c r="B7" s="6" t="inlineStr">
        <is>
          <t>Nature of CEO change and guidance cut (Aug 2026)?</t>
        </is>
      </c>
      <c r="C7" s="6" t="inlineStr">
        <is>
          <t>New CEO Shiven Ramji named; guidance lowered for 2026. Stock dropped 6% in one day. Execution concerns?</t>
        </is>
      </c>
    </row>
    <row r="8">
      <c r="A8" s="6" t="inlineStr">
        <is>
          <t>Q6</t>
        </is>
      </c>
      <c r="B8" s="6" t="inlineStr">
        <is>
          <t>Is share dilution ongoing?</t>
        </is>
      </c>
      <c r="C8" s="6" t="inlineStr">
        <is>
          <t>Shares 182.7M (FY2022) -&gt; 250.8M (current) = 37% dilution. S-8 filing Mar 2, 2026 = active equity incentives.</t>
        </is>
      </c>
    </row>
    <row r="9">
      <c r="A9" s="6" t="inlineStr">
        <is>
          <t>Q7</t>
        </is>
      </c>
      <c r="B9" s="6" t="inlineStr">
        <is>
          <t>FY2023 non-operating charge of -$109M?</t>
        </is>
      </c>
      <c r="C9" s="6" t="inlineStr">
        <is>
          <t>Non-operating volatility: FY2022 +D118.9M, FY2023 -D109M, FY2024 -D331.5M, FY2025 +D23.5M. What drives this?</t>
        </is>
      </c>
    </row>
    <row r="10">
      <c r="A10" s="6" t="inlineStr">
        <is>
          <t>Q8</t>
        </is>
      </c>
      <c r="B10" s="6" t="inlineStr">
        <is>
          <t>43% insider ownership — concentrated risk?</t>
        </is>
      </c>
      <c r="C10" s="6" t="inlineStr">
        <is>
          <t>Insiders own 43.06%. Majority owner involvement? Insider selling history?</t>
        </is>
      </c>
    </row>
    <row r="11">
      <c r="A11" s="6" t="inlineStr">
        <is>
          <t>Q9</t>
        </is>
      </c>
      <c r="B11" s="6" t="inlineStr">
        <is>
          <t>Israel HQ and Middle East regulatory risk?</t>
        </is>
      </c>
      <c r="C11" s="6" t="inlineStr">
        <is>
          <t>HQ in Petah Tikva, Israel. Geopolitical exposure. Government customer concentration risk.</t>
        </is>
      </c>
    </row>
    <row r="12">
      <c r="A12" s="6" t="inlineStr">
        <is>
          <t>Q10</t>
        </is>
      </c>
      <c r="B12" s="6" t="inlineStr">
        <is>
          <t>AI narrative — legitimate or multiple inflation?</t>
        </is>
      </c>
      <c r="C12" s="6" t="inlineStr">
        <is>
          <t>Stock at $19.98 52W high likely on AI forensics narrative. With guidance cut, is story intact?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20" customWidth="1" min="4" max="4"/>
    <col width="55" customWidth="1" min="5" max="5"/>
  </cols>
  <sheetData>
    <row r="1">
      <c r="A1" s="1" t="inlineStr">
        <is>
          <t>Sources — CLBT</t>
        </is>
      </c>
    </row>
    <row r="2">
      <c r="A2" s="5" t="inlineStr">
        <is>
          <t>#</t>
        </is>
      </c>
      <c r="B2" s="5" t="inlineStr">
        <is>
          <t>Description</t>
        </is>
      </c>
      <c r="C2" s="5" t="inlineStr">
        <is>
          <t>URL</t>
        </is>
      </c>
    </row>
    <row r="3">
      <c r="A3" s="6" t="inlineStr">
        <is>
          <t>1</t>
        </is>
      </c>
      <c r="B3" s="6" t="inlineStr">
        <is>
          <t>Yahoo Finance — CLBT Summary</t>
        </is>
      </c>
      <c r="C3" s="6" t="inlineStr">
        <is>
          <t>finance.yahoo.com/quote/CLBT/</t>
        </is>
      </c>
    </row>
    <row r="4">
      <c r="A4" s="6" t="inlineStr">
        <is>
          <t>2</t>
        </is>
      </c>
      <c r="B4" s="6" t="inlineStr">
        <is>
          <t>Yahoo Finance — Income Statement</t>
        </is>
      </c>
      <c r="C4" s="6" t="inlineStr">
        <is>
          <t>finance.yahoo.com/quote/CLBT/financials/</t>
        </is>
      </c>
    </row>
    <row r="5">
      <c r="A5" s="6" t="inlineStr">
        <is>
          <t>3</t>
        </is>
      </c>
      <c r="B5" s="6" t="inlineStr">
        <is>
          <t>Yahoo Finance — Balance Sheet</t>
        </is>
      </c>
      <c r="C5" s="6" t="inlineStr">
        <is>
          <t>finance.yahoo.com/quote/CLBT/balance-sheet/</t>
        </is>
      </c>
    </row>
    <row r="6">
      <c r="A6" s="6" t="inlineStr">
        <is>
          <t>4</t>
        </is>
      </c>
      <c r="B6" s="6" t="inlineStr">
        <is>
          <t>Yahoo Finance — Cash Flow</t>
        </is>
      </c>
      <c r="C6" s="6" t="inlineStr">
        <is>
          <t>finance.yahoo.com/quote/CLBT/cash-flow/</t>
        </is>
      </c>
    </row>
    <row r="7">
      <c r="A7" s="6" t="inlineStr">
        <is>
          <t>5</t>
        </is>
      </c>
      <c r="B7" s="6" t="inlineStr">
        <is>
          <t>Yahoo Finance — Key Statistics</t>
        </is>
      </c>
      <c r="C7" s="6" t="inlineStr">
        <is>
          <t>finance.yahoo.com/quote/CLBT/key-statistics/</t>
        </is>
      </c>
    </row>
    <row r="8">
      <c r="A8" s="6" t="inlineStr">
        <is>
          <t>6</t>
        </is>
      </c>
      <c r="B8" s="6" t="inlineStr">
        <is>
          <t>Yahoo Finance — Profile</t>
        </is>
      </c>
      <c r="C8" s="6" t="inlineStr">
        <is>
          <t>finance.yahoo.com/quote/CLBT/profile/</t>
        </is>
      </c>
    </row>
    <row r="9">
      <c r="A9" s="6" t="inlineStr">
        <is>
          <t>7</t>
        </is>
      </c>
      <c r="B9" s="6" t="inlineStr">
        <is>
          <t>Yahoo Finance — News</t>
        </is>
      </c>
      <c r="C9" s="6" t="inlineStr">
        <is>
          <t>finance.yahoo.com/quote/CLBT/news/</t>
        </is>
      </c>
    </row>
    <row r="10">
      <c r="A10" s="6" t="inlineStr">
        <is>
          <t>8</t>
        </is>
      </c>
      <c r="B10" s="6" t="inlineStr">
        <is>
          <t>CNBC — US10Y Treasury</t>
        </is>
      </c>
      <c r="C10" s="6" t="inlineStr">
        <is>
          <t>cnbc.com/quotes/US10Y</t>
        </is>
      </c>
    </row>
    <row r="11">
      <c r="A11" s="6" t="inlineStr">
        <is>
          <t>9</t>
        </is>
      </c>
      <c r="B11" s="6" t="inlineStr">
        <is>
          <t>Simply Wall St. — CLBT CEO/guidance cut</t>
        </is>
      </c>
      <c r="C11" s="6" t="inlineStr">
        <is>
          <t>SimplyWallSt.com (Aug 2026)</t>
        </is>
      </c>
    </row>
    <row r="12">
      <c r="A12" s="6" t="inlineStr">
        <is>
          <t>10</t>
        </is>
      </c>
      <c r="B12" s="6" t="inlineStr">
        <is>
          <t>StockAnalysis.com — 404 for CLBT</t>
        </is>
      </c>
      <c r="C12" s="6" t="inlineStr">
        <is>
          <t>N/A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2026-08-18T03:24:40Z</dcterms:created>
  <dcterms:modified xsi:type="dcterms:W3CDTF">2026-08-18T03:24:40Z</dcterms:modified>
</cp:coreProperties>
</file>