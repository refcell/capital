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5" customWidth="1" min="3" max="3"/>
  </cols>
  <sheetData>
    <row r="1">
      <c r="A1" s="1" t="inlineStr">
        <is>
          <t>Genius Sports Limited (GENI) — Valuation Model</t>
        </is>
      </c>
    </row>
    <row r="2">
      <c r="A2" s="2" t="inlineStr">
        <is>
          <t>As of August 4, 2026 — Price $8.08, NYSE:GENI</t>
        </is>
      </c>
    </row>
    <row r="3">
      <c r="A3" s="3" t="inlineStr">
        <is>
          <t>Company</t>
        </is>
      </c>
      <c r="B3" s="4" t="inlineStr">
        <is>
          <t>Genius Sports Limited</t>
        </is>
      </c>
      <c r="C3" s="4" t="inlineStr"/>
    </row>
    <row r="4">
      <c r="A4" s="3" t="inlineStr">
        <is>
          <t>Ticker</t>
        </is>
      </c>
      <c r="B4" s="4" t="inlineStr">
        <is>
          <t>NYSE: GENI</t>
        </is>
      </c>
      <c r="C4" s="4" t="inlineStr"/>
    </row>
    <row r="5">
      <c r="A5" s="3" t="inlineStr">
        <is>
          <t>Date</t>
        </is>
      </c>
      <c r="B5" s="4" t="inlineStr">
        <is>
          <t>2026-08-04</t>
        </is>
      </c>
      <c r="C5" s="4" t="inlineStr"/>
    </row>
    <row r="6">
      <c r="A6" s="3" t="inlineStr">
        <is>
          <t>Close Price</t>
        </is>
      </c>
      <c r="B6" s="4" t="inlineStr">
        <is>
          <t>$8.08</t>
        </is>
      </c>
      <c r="C6" s="4" t="inlineStr">
        <is>
          <t>NYSE close Aug 4, 2026 (+14.29%)</t>
        </is>
      </c>
    </row>
    <row r="7">
      <c r="A7" s="3" t="inlineStr">
        <is>
          <t>Shares Outstanding</t>
        </is>
      </c>
      <c r="B7" s="4" t="inlineStr">
        <is>
          <t>267.3M</t>
        </is>
      </c>
      <c r="C7" s="4" t="inlineStr">
        <is>
          <t>Yahoo Finance Key Statistics, Q1 FY2026</t>
        </is>
      </c>
    </row>
    <row r="8">
      <c r="A8" s="3" t="inlineStr">
        <is>
          <t>Market Cap</t>
        </is>
      </c>
      <c r="B8" s="4" t="inlineStr">
        <is>
          <t>$1850M / $1.85B</t>
        </is>
      </c>
      <c r="C8" s="4" t="inlineStr">
        <is>
          <t>Yahoo Finance</t>
        </is>
      </c>
    </row>
    <row r="9">
      <c r="A9" s="3" t="inlineStr">
        <is>
          <t>Enterprise Value</t>
        </is>
      </c>
      <c r="B9" s="4" t="inlineStr">
        <is>
          <t>$1690M / $1.69B</t>
        </is>
      </c>
      <c r="C9" s="4" t="inlineStr">
        <is>
          <t>Yahoo Finance — actually below MC due to net cash</t>
        </is>
      </c>
    </row>
    <row r="10">
      <c r="A10" s="3" t="inlineStr">
        <is>
          <t>Cash</t>
        </is>
      </c>
      <c r="B10" s="4" t="inlineStr">
        <is>
          <t>$197M</t>
        </is>
      </c>
      <c r="C10" s="4" t="inlineStr">
        <is>
          <t>Q1 FY2026 Yahoo Stats — net cash of ~$167M</t>
        </is>
      </c>
    </row>
    <row r="11">
      <c r="A11" s="3" t="inlineStr">
        <is>
          <t>Total Debt</t>
        </is>
      </c>
      <c r="B11" s="4" t="inlineStr">
        <is>
          <t>$31M</t>
        </is>
      </c>
      <c r="C11" s="4" t="inlineStr">
        <is>
          <t>Capital lease obligations, Q1 FY2026</t>
        </is>
      </c>
    </row>
    <row r="12">
      <c r="A12" s="3" t="inlineStr">
        <is>
          <t>Net Cash Position</t>
        </is>
      </c>
      <c r="B12" s="4" t="inlineStr">
        <is>
          <t>$167M</t>
        </is>
      </c>
      <c r="C12" s="4" t="inlineStr">
        <is>
          <t>Cash $197M less debt $31M</t>
        </is>
      </c>
    </row>
    <row r="13">
      <c r="A13" s="3" t="inlineStr">
        <is>
          <t>Primary Lens</t>
        </is>
      </c>
      <c r="B13" s="4" t="inlineStr">
        <is>
          <t>Forward P/E</t>
        </is>
      </c>
      <c r="C13" s="4" t="inlineStr">
        <is>
          <t>TCF invalid: FCF negative TTM from capex cycle</t>
        </is>
      </c>
    </row>
    <row r="14">
      <c r="A14" s="3" t="inlineStr">
        <is>
          <t>Stance</t>
        </is>
      </c>
      <c r="B14" s="4" t="inlineStr">
        <is>
          <t>Watch</t>
        </is>
      </c>
      <c r="C14" s="4" t="inlineStr">
        <is>
          <t>Pre-profitability growth; earnings call in 2 days</t>
        </is>
      </c>
    </row>
    <row r="15">
      <c r="A15" s="3" t="inlineStr">
        <is>
          <t>Sector</t>
        </is>
      </c>
      <c r="B15" s="4" t="inlineStr">
        <is>
          <t>Communication Services</t>
        </is>
      </c>
      <c r="C15" s="4" t="inlineStr">
        <is>
          <t>Internet Content &amp; Information</t>
        </is>
      </c>
    </row>
    <row r="17">
      <c r="A17" s="2" t="inlineStr">
        <is>
          <t>Valuation Metrics</t>
        </is>
      </c>
    </row>
    <row r="18">
      <c r="A18" s="5" t="inlineStr">
        <is>
          <t>Metric</t>
        </is>
      </c>
      <c r="B18" s="4" t="inlineStr">
        <is>
          <t>Value</t>
        </is>
      </c>
      <c r="C18" s="4" t="inlineStr">
        <is>
          <t>Comment</t>
        </is>
      </c>
    </row>
    <row r="19">
      <c r="A19" s="4" t="inlineStr">
        <is>
          <t>Trailing P/E</t>
        </is>
      </c>
      <c r="B19" s="4" t="inlineStr">
        <is>
          <t>N/A (negative EPS)</t>
        </is>
      </c>
      <c r="C19" s="4" t="inlineStr">
        <is>
          <t>TTM EPS $-0.62 — company not yet profitable</t>
        </is>
      </c>
    </row>
    <row r="20">
      <c r="A20" s="4" t="inlineStr">
        <is>
          <t>Forward P/E (FY2026)</t>
        </is>
      </c>
      <c r="B20" s="4" t="inlineStr">
        <is>
          <t>15.5x</t>
        </is>
      </c>
      <c r="C20" s="4" t="inlineStr">
        <is>
          <t>Using consensus $0.52 EPS, 18 analysts</t>
        </is>
      </c>
    </row>
    <row r="21">
      <c r="A21" s="4" t="inlineStr">
        <is>
          <t>Forward P/E (FY2027)</t>
        </is>
      </c>
      <c r="B21" s="4" t="inlineStr">
        <is>
          <t>8.3x</t>
        </is>
      </c>
      <c r="C21" s="4" t="inlineStr">
        <is>
          <t>Using consensus $0.97 EPS</t>
        </is>
      </c>
    </row>
    <row r="22">
      <c r="A22" s="4" t="inlineStr">
        <is>
          <t>P/Sales (TTM)</t>
        </is>
      </c>
      <c r="B22" s="4" t="inlineStr">
        <is>
          <t>2.59x</t>
        </is>
      </c>
      <c r="C22" s="4" t="inlineStr">
        <is>
          <t>Revenue $713.5M TTM. Reasonable for growth SaaS.</t>
        </is>
      </c>
    </row>
    <row r="23">
      <c r="A23" s="4" t="inlineStr">
        <is>
          <t>EV/Sales</t>
        </is>
      </c>
      <c r="B23" s="4" t="inlineStr">
        <is>
          <t>2.37x</t>
        </is>
      </c>
      <c r="C23" s="4" t="inlineStr">
        <is>
          <t>EV below MC due to net cash position.</t>
        </is>
      </c>
    </row>
    <row r="24">
      <c r="A24" s="4" t="inlineStr">
        <is>
          <t>P/Book (Common)</t>
        </is>
      </c>
      <c r="B24" s="4" t="inlineStr">
        <is>
          <t>2.55x</t>
        </is>
      </c>
      <c r="C24" s="4" t="inlineStr">
        <is>
          <t>Common equity $724.5M</t>
        </is>
      </c>
    </row>
    <row r="25">
      <c r="A25" s="4" t="inlineStr">
        <is>
          <t>P/Tangible Book</t>
        </is>
      </c>
      <c r="B25" s="4" t="inlineStr">
        <is>
          <t>7.64x</t>
        </is>
      </c>
      <c r="C25" s="4" t="inlineStr">
        <is>
          <t>Tangible book $242.2M; intangibles significant from M&amp;A</t>
        </is>
      </c>
    </row>
    <row r="26">
      <c r="A26" s="4" t="inlineStr">
        <is>
          <t>P/FCF</t>
        </is>
      </c>
      <c r="B26" s="4" t="inlineStr">
        <is>
          <t>N/A</t>
        </is>
      </c>
      <c r="C26" s="4" t="inlineStr">
        <is>
          <t>FCF negative TTM (-$30.3M) from capex investment cycle</t>
        </is>
      </c>
    </row>
    <row r="27">
      <c r="A27" s="4" t="inlineStr">
        <is>
          <t>EV/FCF</t>
        </is>
      </c>
      <c r="B27" s="4" t="inlineStr">
        <is>
          <t>N/A</t>
        </is>
      </c>
      <c r="C27" s="4" t="inlineStr">
        <is>
          <t>Same reason — FCF negative</t>
        </is>
      </c>
    </row>
    <row r="28">
      <c r="A28" s="4" t="inlineStr">
        <is>
          <t>EV/EBITDA</t>
        </is>
      </c>
      <c r="B28" s="4" t="inlineStr">
        <is>
          <t>N/A</t>
        </is>
      </c>
      <c r="C28" s="4" t="inlineStr">
        <is>
          <t>EBITDA negative TTM (-$101.3M)</t>
        </is>
      </c>
    </row>
    <row r="29">
      <c r="A29" s="4" t="inlineStr">
        <is>
          <t>Beta (5Y)</t>
        </is>
      </c>
      <c r="B29" s="4" t="inlineStr">
        <is>
          <t>1.88</t>
        </is>
      </c>
      <c r="C29" s="4" t="inlineStr">
        <is>
          <t>Yahoo Finance Key Statistics — high-beta growth stock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60" customWidth="1" min="3" max="3"/>
  </cols>
  <sheetData>
    <row r="1">
      <c r="A1" s="1" t="inlineStr">
        <is>
          <t>WACC Calculation — Genius Sports Limited</t>
        </is>
      </c>
    </row>
    <row r="2">
      <c r="A2" s="5" t="inlineStr">
        <is>
          <t>Component</t>
        </is>
      </c>
      <c r="B2" s="4" t="inlineStr">
        <is>
          <t>Value</t>
        </is>
      </c>
      <c r="C2" s="4" t="inlineStr">
        <is>
          <t>Source / Notes</t>
        </is>
      </c>
    </row>
    <row r="3">
      <c r="A3" s="4" t="inlineStr">
        <is>
          <t>Risk-Free Rate (10Y US Treasury)</t>
        </is>
      </c>
      <c r="B3" s="4" t="inlineStr">
        <is>
          <t>4.611%</t>
        </is>
      </c>
      <c r="C3" s="4" t="inlineStr">
        <is>
          <t>CNBC US10Y, Aug 4 2026</t>
        </is>
      </c>
    </row>
    <row r="4">
      <c r="A4" s="4" t="inlineStr">
        <is>
          <t>Equity Risk Premium</t>
        </is>
      </c>
      <c r="B4" s="4" t="inlineStr">
        <is>
          <t>5.0%</t>
        </is>
      </c>
      <c r="C4" s="4" t="inlineStr">
        <is>
          <t>Standard assumption</t>
        </is>
      </c>
    </row>
    <row r="5">
      <c r="A5" s="4" t="inlineStr">
        <is>
          <t>Beta (Levered, 5Y Monthly)</t>
        </is>
      </c>
      <c r="B5" s="4" t="inlineStr">
        <is>
          <t>1.88</t>
        </is>
      </c>
      <c r="C5" s="4" t="inlineStr">
        <is>
          <t>Yahoo Finance Key Statistics</t>
        </is>
      </c>
    </row>
    <row r="6">
      <c r="A6" s="4" t="inlineStr">
        <is>
          <t>Cost of Equity (CAPM)</t>
        </is>
      </c>
      <c r="B6" s="4" t="inlineStr">
        <is>
          <t>14.01%</t>
        </is>
      </c>
      <c r="C6" s="4">
        <f> 4.61% + 1.88 × 5%</f>
        <v/>
      </c>
    </row>
    <row r="7">
      <c r="A7" s="4" t="inlineStr">
        <is>
          <t>Cost of Debt</t>
        </is>
      </c>
      <c r="B7" s="4" t="inlineStr">
        <is>
          <t>6.61%</t>
        </is>
      </c>
      <c r="C7" s="4" t="inlineStr">
        <is>
          <t>Risk-free + 200 bps spread</t>
        </is>
      </c>
    </row>
    <row r="8">
      <c r="A8" s="4" t="inlineStr">
        <is>
          <t>Tax Rate</t>
        </is>
      </c>
      <c r="B8" s="4" t="inlineStr">
        <is>
          <t>21%</t>
        </is>
      </c>
      <c r="C8" s="4" t="inlineStr">
        <is>
          <t>US/UK corporate rate proxy</t>
        </is>
      </c>
    </row>
    <row r="9">
      <c r="A9" s="4" t="inlineStr">
        <is>
          <t>Market Cap</t>
        </is>
      </c>
      <c r="B9" s="4" t="inlineStr">
        <is>
          <t>$1.85B</t>
        </is>
      </c>
      <c r="C9" s="4" t="inlineStr">
        <is>
          <t>Price $8.08 × 267.3M shares</t>
        </is>
      </c>
    </row>
    <row r="10">
      <c r="A10" s="4" t="inlineStr">
        <is>
          <t>Total Debt</t>
        </is>
      </c>
      <c r="B10" s="4" t="inlineStr">
        <is>
          <t>$31M</t>
        </is>
      </c>
      <c r="C10" s="4" t="inlineStr">
        <is>
          <t>Capital lease obligations, Q1 FY2026</t>
        </is>
      </c>
    </row>
    <row r="11">
      <c r="A11" s="4" t="inlineStr">
        <is>
          <t>Net Cash/Cash</t>
        </is>
      </c>
      <c r="B11" s="4" t="inlineStr">
        <is>
          <t>$197M</t>
        </is>
      </c>
      <c r="C11" s="4" t="inlineStr">
        <is>
          <t>Q1 FY2026 total cash</t>
        </is>
      </c>
    </row>
    <row r="12">
      <c r="A12" s="4" t="inlineStr">
        <is>
          <t>Equity Weight</t>
        </is>
      </c>
      <c r="B12" s="4" t="inlineStr">
        <is>
          <t>0.9173</t>
        </is>
      </c>
      <c r="C12" s="4" t="inlineStr">
        <is>
          <t>Near 100% — company is effectively all-equity financed</t>
        </is>
      </c>
    </row>
    <row r="13">
      <c r="A13" s="4" t="inlineStr">
        <is>
          <t>Debt Weight</t>
        </is>
      </c>
      <c r="B13" s="4" t="inlineStr">
        <is>
          <t>0.0827</t>
        </is>
      </c>
      <c r="C13" s="4" t="inlineStr">
        <is>
          <t>Debt is trivial relative to MC</t>
        </is>
      </c>
    </row>
    <row r="14">
      <c r="A14" s="4" t="inlineStr">
        <is>
          <t>WACC</t>
        </is>
      </c>
      <c r="B14" s="4" t="inlineStr">
        <is>
          <t>13.28%</t>
        </is>
      </c>
      <c r="C14" s="4">
        <f> 91.73% × 14.01% + 8.27% × 6.61% × (1 - 0.21)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Scenario Analysis — Genius Sports Limited</t>
        </is>
      </c>
    </row>
    <row r="2">
      <c r="A2" s="2" t="inlineStr">
        <is>
          <t>Framework: Forward P/E (not FCF — FCF negative TTM from capex investment cycle)</t>
        </is>
      </c>
    </row>
    <row r="3">
      <c r="A3" s="5" t="inlineStr"/>
      <c r="B3" s="5" t="inlineStr">
        <is>
          <t>Bear</t>
        </is>
      </c>
      <c r="C3" s="5" t="inlineStr">
        <is>
          <t>Base</t>
        </is>
      </c>
      <c r="D3" s="5" t="inlineStr">
        <is>
          <t>Bull</t>
        </is>
      </c>
      <c r="E3" s="5" t="inlineStr">
        <is>
          <t>Weight</t>
        </is>
      </c>
      <c r="F3" s="5" t="inlineStr">
        <is>
          <t>Weighted</t>
        </is>
      </c>
      <c r="G3" s="5" t="inlineStr"/>
      <c r="H3" s="5" t="inlineStr"/>
    </row>
    <row r="4">
      <c r="A4" s="4" t="inlineStr">
        <is>
          <t>Revenue CAGR (5Y)</t>
        </is>
      </c>
      <c r="B4" s="4" t="inlineStr">
        <is>
          <t>12.0%</t>
        </is>
      </c>
      <c r="C4" s="4" t="inlineStr">
        <is>
          <t>18.0%</t>
        </is>
      </c>
      <c r="D4" s="4" t="inlineStr">
        <is>
          <t>25.0%</t>
        </is>
      </c>
      <c r="E4" s="4" t="inlineStr"/>
      <c r="F4" s="4" t="inlineStr"/>
      <c r="G4" s="4" t="inlineStr"/>
      <c r="H4" s="4" t="inlineStr"/>
    </row>
    <row r="5">
      <c r="A5" s="4" t="inlineStr">
        <is>
          <t>Terminal Revenue (5Y) from FY27 $1.29B</t>
        </is>
      </c>
      <c r="B5" s="4" t="inlineStr">
        <is>
          <t>$1895M</t>
        </is>
      </c>
      <c r="C5" s="4" t="inlineStr">
        <is>
          <t>$2709M</t>
        </is>
      </c>
      <c r="D5" s="4" t="inlineStr">
        <is>
          <t>$3486M</t>
        </is>
      </c>
      <c r="E5" s="4" t="inlineStr"/>
      <c r="F5" s="4" t="inlineStr"/>
      <c r="G5" s="4" t="inlineStr"/>
      <c r="H5" s="4" t="inlineStr"/>
    </row>
    <row r="6">
      <c r="A6" s="4" t="inlineStr">
        <is>
          <t>Terminal EPS (5Y)</t>
        </is>
      </c>
      <c r="B6" s="4" t="inlineStr">
        <is>
          <t>$0.35</t>
        </is>
      </c>
      <c r="C6" s="4" t="inlineStr">
        <is>
          <t>$1.60</t>
        </is>
      </c>
      <c r="D6" s="4" t="inlineStr">
        <is>
          <t>$2.80</t>
        </is>
      </c>
      <c r="E6" s="4" t="inlineStr"/>
      <c r="F6" s="4" t="inlineStr"/>
      <c r="G6" s="4" t="inlineStr"/>
      <c r="H6" s="4" t="inlineStr"/>
    </row>
    <row r="7">
      <c r="A7" s="4" t="inlineStr">
        <is>
          <t>Operating Margin (5Y)</t>
        </is>
      </c>
      <c r="B7" s="4" t="inlineStr">
        <is>
          <t>~5%</t>
        </is>
      </c>
      <c r="C7" s="4" t="inlineStr">
        <is>
          <t>~12%</t>
        </is>
      </c>
      <c r="D7" s="4" t="inlineStr">
        <is>
          <t>~18%</t>
        </is>
      </c>
      <c r="E7" s="4" t="inlineStr"/>
      <c r="F7" s="4" t="inlineStr"/>
      <c r="G7" s="4" t="inlineStr"/>
      <c r="H7" s="4" t="inlineStr"/>
    </row>
    <row r="8">
      <c r="A8" s="4" t="inlineStr">
        <is>
          <t>Terminal FCF Margin (5Y)</t>
        </is>
      </c>
      <c r="B8" s="4" t="inlineStr">
        <is>
          <t>~2%</t>
        </is>
      </c>
      <c r="C8" s="4" t="inlineStr">
        <is>
          <t>~8%</t>
        </is>
      </c>
      <c r="D8" s="4" t="inlineStr">
        <is>
          <t>~14%</t>
        </is>
      </c>
      <c r="E8" s="4" t="inlineStr"/>
      <c r="F8" s="4" t="inlineStr"/>
      <c r="G8" s="4" t="inlineStr"/>
      <c r="H8" s="4" t="inlineStr"/>
    </row>
    <row r="9">
      <c r="A9" s="4" t="inlineStr">
        <is>
          <t>Exit P/E Multiple</t>
        </is>
      </c>
      <c r="B9" s="4" t="inlineStr">
        <is>
          <t>12x</t>
        </is>
      </c>
      <c r="C9" s="4" t="inlineStr">
        <is>
          <t>20x</t>
        </is>
      </c>
      <c r="D9" s="4" t="inlineStr">
        <is>
          <t>28x</t>
        </is>
      </c>
      <c r="E9" s="4" t="inlineStr"/>
      <c r="F9" s="4" t="inlineStr"/>
      <c r="G9" s="4" t="inlineStr"/>
      <c r="H9" s="4" t="inlineStr"/>
    </row>
    <row r="10">
      <c r="A10" s="4" t="inlineStr">
        <is>
          <t>Target Price (5Y)</t>
        </is>
      </c>
      <c r="B10" s="4" t="inlineStr">
        <is>
          <t>$4.20</t>
        </is>
      </c>
      <c r="C10" s="4" t="inlineStr">
        <is>
          <t>$32.00</t>
        </is>
      </c>
      <c r="D10" s="4" t="inlineStr">
        <is>
          <t>$78.40</t>
        </is>
      </c>
      <c r="E10" s="4" t="inlineStr"/>
      <c r="F10" s="4" t="inlineStr"/>
      <c r="G10" s="4" t="inlineStr"/>
      <c r="H10" s="4" t="inlineStr"/>
    </row>
    <row r="11">
      <c r="A11" s="4" t="inlineStr">
        <is>
          <t>Upside from $8.08</t>
        </is>
      </c>
      <c r="B11" s="4" t="inlineStr">
        <is>
          <t>-48%</t>
        </is>
      </c>
      <c r="C11" s="4" t="inlineStr">
        <is>
          <t>296%</t>
        </is>
      </c>
      <c r="D11" s="4" t="inlineStr">
        <is>
          <t>870%</t>
        </is>
      </c>
      <c r="E11" s="4" t="inlineStr"/>
      <c r="F11" s="4" t="inlineStr"/>
      <c r="G11" s="4" t="inlineStr"/>
      <c r="H11" s="4" t="inlineStr"/>
    </row>
    <row r="12">
      <c r="A12" s="3" t="inlineStr">
        <is>
          <t>Case Weight</t>
        </is>
      </c>
      <c r="B12" s="3" t="inlineStr">
        <is>
          <t>25%</t>
        </is>
      </c>
      <c r="C12" s="3" t="inlineStr">
        <is>
          <t>50%</t>
        </is>
      </c>
      <c r="D12" s="3" t="inlineStr">
        <is>
          <t>25%</t>
        </is>
      </c>
      <c r="E12" s="3" t="inlineStr"/>
      <c r="F12" s="3" t="inlineStr"/>
      <c r="G12" s="3" t="inlineStr"/>
      <c r="H12" s="3" t="inlineStr"/>
    </row>
    <row r="13">
      <c r="A13" s="3" t="inlineStr">
        <is>
          <t>Weighted Value/Share</t>
        </is>
      </c>
      <c r="B13" s="3" t="inlineStr">
        <is>
          <t>$1.05</t>
        </is>
      </c>
      <c r="C13" s="3" t="inlineStr">
        <is>
          <t>$16.00</t>
        </is>
      </c>
      <c r="D13" s="3" t="inlineStr">
        <is>
          <t>$19.60</t>
        </is>
      </c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>
        <is>
          <t>Probability-Weighted FV</t>
        </is>
      </c>
      <c r="B15" s="3" t="inlineStr"/>
      <c r="C15" s="3" t="inlineStr"/>
      <c r="D15" s="3" t="inlineStr">
        <is>
          <t>$36.65</t>
        </is>
      </c>
      <c r="E15" s="3" t="inlineStr">
        <is>
          <t>Sum of weighted</t>
        </is>
      </c>
      <c r="F15" s="3" t="inlineStr"/>
      <c r="G15" s="3" t="inlineStr"/>
      <c r="H15" s="3" t="inlineStr"/>
    </row>
    <row r="16">
      <c r="A16" s="3" t="inlineStr">
        <is>
          <t>Current Price</t>
        </is>
      </c>
      <c r="B16" s="3" t="inlineStr"/>
      <c r="C16" s="3" t="inlineStr"/>
      <c r="D16" s="3" t="inlineStr">
        <is>
          <t>$8.08</t>
        </is>
      </c>
      <c r="E16" s="3" t="inlineStr"/>
      <c r="F16" s="3" t="inlineStr"/>
      <c r="G16" s="3" t="inlineStr"/>
      <c r="H16" s="3" t="inlineStr"/>
    </row>
    <row r="17">
      <c r="A17" s="3" t="inlineStr">
        <is>
          <t>Upside from Current</t>
        </is>
      </c>
      <c r="B17" s="3" t="inlineStr"/>
      <c r="C17" s="3" t="inlineStr"/>
      <c r="D17" s="3" t="inlineStr">
        <is>
          <t>353.6%</t>
        </is>
      </c>
      <c r="E17" s="3" t="inlineStr"/>
      <c r="F17" s="3" t="inlineStr"/>
      <c r="G17" s="3" t="inlineStr"/>
      <c r="H17" s="3" t="inlineStr"/>
    </row>
    <row r="18">
      <c r="A18" s="2" t="inlineStr">
        <is>
          <t>10-Year Extended Scenarios (P/E Framework)</t>
        </is>
      </c>
    </row>
    <row r="19">
      <c r="A19" s="5" t="inlineStr"/>
      <c r="B19" s="5" t="inlineStr">
        <is>
          <t>Bear</t>
        </is>
      </c>
      <c r="C19" s="5" t="inlineStr">
        <is>
          <t>Base</t>
        </is>
      </c>
      <c r="D19" s="5" t="inlineStr">
        <is>
          <t>Bull</t>
        </is>
      </c>
    </row>
    <row r="20">
      <c r="A20" s="4" t="inlineStr">
        <is>
          <t>Terminal EPS (10Y)</t>
        </is>
      </c>
      <c r="B20" s="4" t="inlineStr">
        <is>
          <t>$0.50</t>
        </is>
      </c>
      <c r="C20" s="4" t="inlineStr">
        <is>
          <t>$3.00</t>
        </is>
      </c>
      <c r="D20" s="4" t="inlineStr">
        <is>
          <t>$5.00</t>
        </is>
      </c>
    </row>
    <row r="21">
      <c r="A21" s="4" t="inlineStr">
        <is>
          <t>Target Price (10Y)</t>
        </is>
      </c>
      <c r="B21" s="4" t="inlineStr">
        <is>
          <t>$6.00</t>
        </is>
      </c>
      <c r="C21" s="4" t="inlineStr">
        <is>
          <t>$60.00</t>
        </is>
      </c>
      <c r="D21" s="4" t="inlineStr">
        <is>
          <t>$140.00</t>
        </is>
      </c>
    </row>
    <row r="22">
      <c r="A22" s="4" t="inlineStr">
        <is>
          <t>Upside from $8.08</t>
        </is>
      </c>
      <c r="B22" s="4" t="inlineStr">
        <is>
          <t>-26%</t>
        </is>
      </c>
      <c r="C22" s="4" t="inlineStr">
        <is>
          <t>643%</t>
        </is>
      </c>
      <c r="D22" s="4" t="inlineStr">
        <is>
          <t>1633%</t>
        </is>
      </c>
    </row>
    <row r="23">
      <c r="A23" s="4" t="inlineStr">
        <is>
          <t>10Y CAGR from $8.08</t>
        </is>
      </c>
      <c r="B23" s="4" t="inlineStr">
        <is>
          <t>-2.9%</t>
        </is>
      </c>
      <c r="C23" s="4" t="inlineStr">
        <is>
          <t>22.2%</t>
        </is>
      </c>
      <c r="D23" s="4" t="inlineStr">
        <is>
          <t>33.0%</t>
        </is>
      </c>
    </row>
    <row r="25">
      <c r="A25" s="6" t="inlineStr">
        <is>
          <t>Framework Note</t>
        </is>
      </c>
    </row>
    <row r="26">
      <c r="A26" s="7" t="inlineStr">
        <is>
          <t>Forward P/E is the primary framework because FCF is negative TTM (-$30.3M) due to a deliberate capex investment cycle in data centers and sports data infrastructure. FY2025 FCF was only $5.5M on $669.5M revenue — a 0.8% FCF margin that is not meaningful for multiple analysis. P/FCF at any exit multiple would be volatile and unanchored. Forward P/E on analyst consensus provides the most reliable calibration. P/S ratio serves as a secondary cross-check.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40" customWidth="1" min="4" max="4"/>
  </cols>
  <sheetData>
    <row r="1">
      <c r="A1" s="1" t="inlineStr">
        <is>
          <t>Actuals Source Audit — Genius Sports Limited</t>
        </is>
      </c>
    </row>
    <row r="2">
      <c r="A2" s="5" t="inlineStr">
        <is>
          <t>Data Point</t>
        </is>
      </c>
      <c r="B2" s="4" t="inlineStr">
        <is>
          <t>Value</t>
        </is>
      </c>
      <c r="C2" s="4" t="inlineStr">
        <is>
          <t>Source URL</t>
        </is>
      </c>
      <c r="D2" s="4" t="inlineStr">
        <is>
          <t>Date / Notes</t>
        </is>
      </c>
    </row>
    <row r="3">
      <c r="A3" s="4" t="inlineStr">
        <is>
          <t>Stock Price</t>
        </is>
      </c>
      <c r="B3" s="4" t="inlineStr">
        <is>
          <t>$8.08</t>
        </is>
      </c>
      <c r="C3" s="4" t="inlineStr">
        <is>
          <t>finance.yahoo.com/quote/GENI/</t>
        </is>
      </c>
      <c r="D3" s="4" t="inlineStr">
        <is>
          <t>Aug 4, 2026 close</t>
        </is>
      </c>
    </row>
    <row r="4">
      <c r="A4" s="4" t="inlineStr">
        <is>
          <t>Market Cap</t>
        </is>
      </c>
      <c r="B4" s="4" t="inlineStr">
        <is>
          <t>$1.85B</t>
        </is>
      </c>
      <c r="C4" s="4" t="inlineStr">
        <is>
          <t>Yahoo Finance Key Statistics</t>
        </is>
      </c>
      <c r="D4" s="4" t="inlineStr">
        <is>
          <t>Current</t>
        </is>
      </c>
    </row>
    <row r="5">
      <c r="A5" s="4" t="inlineStr">
        <is>
          <t>Enterprise Value</t>
        </is>
      </c>
      <c r="B5" s="4" t="inlineStr">
        <is>
          <t>$1.69B</t>
        </is>
      </c>
      <c r="C5" s="4" t="inlineStr">
        <is>
          <t>Yahoo Finance Key Statistics</t>
        </is>
      </c>
      <c r="D5" s="4" t="inlineStr">
        <is>
          <t>Current</t>
        </is>
      </c>
    </row>
    <row r="6">
      <c r="A6" s="4" t="inlineStr">
        <is>
          <t>Shares Outstanding</t>
        </is>
      </c>
      <c r="B6" s="4" t="inlineStr">
        <is>
          <t>267.34M</t>
        </is>
      </c>
      <c r="C6" s="4" t="inlineStr">
        <is>
          <t>Yahoo Finance Key Statistics</t>
        </is>
      </c>
      <c r="D6" s="4" t="inlineStr">
        <is>
          <t>Q1 FY2026 (Most Recent)</t>
        </is>
      </c>
    </row>
    <row r="7">
      <c r="A7" s="4" t="inlineStr">
        <is>
          <t>Revenue TTM</t>
        </is>
      </c>
      <c r="B7" s="4" t="inlineStr">
        <is>
          <t>$713.5M</t>
        </is>
      </c>
      <c r="C7" s="4" t="inlineStr">
        <is>
          <t>finance.yahoo.com/quote/GENI/financials/</t>
        </is>
      </c>
      <c r="D7" s="4" t="inlineStr">
        <is>
          <t>TTM, annual view</t>
        </is>
      </c>
    </row>
    <row r="8">
      <c r="A8" s="4" t="inlineStr">
        <is>
          <t>Revenue FY2025</t>
        </is>
      </c>
      <c r="B8" s="4" t="inlineStr">
        <is>
          <t>$669.5M</t>
        </is>
      </c>
      <c r="C8" s="4" t="inlineStr">
        <is>
          <t>Same</t>
        </is>
      </c>
      <c r="D8" s="4" t="inlineStr">
        <is>
          <t>Fiscal year ending Dec 31, 2025</t>
        </is>
      </c>
    </row>
    <row r="9">
      <c r="A9" s="4" t="inlineStr">
        <is>
          <t>Gross Profit TTM</t>
        </is>
      </c>
      <c r="B9" s="4" t="inlineStr">
        <is>
          <t>$162.0M</t>
        </is>
      </c>
      <c r="C9" s="4" t="inlineStr">
        <is>
          <t>Same</t>
        </is>
      </c>
      <c r="D9" s="4" t="inlineStr">
        <is>
          <t>Margin 22.7%</t>
        </is>
      </c>
    </row>
    <row r="10">
      <c r="A10" s="4" t="inlineStr">
        <is>
          <t>Gross Profit FY2025</t>
        </is>
      </c>
      <c r="B10" s="4" t="inlineStr">
        <is>
          <t>$153.8M</t>
        </is>
      </c>
      <c r="C10" s="4" t="inlineStr">
        <is>
          <t>Same</t>
        </is>
      </c>
      <c r="D10" s="4" t="inlineStr">
        <is>
          <t>Margin 22.9%</t>
        </is>
      </c>
    </row>
    <row r="11">
      <c r="A11" s="4" t="inlineStr">
        <is>
          <t>Operating Income TTM</t>
        </is>
      </c>
      <c r="B11" s="4" t="inlineStr">
        <is>
          <t>-$157.4M</t>
        </is>
      </c>
      <c r="C11" s="4" t="inlineStr">
        <is>
          <t>Same</t>
        </is>
      </c>
      <c r="D11" s="4" t="inlineStr">
        <is>
          <t>Still negative, narrowing</t>
        </is>
      </c>
    </row>
    <row r="12">
      <c r="A12" s="4" t="inlineStr">
        <is>
          <t>Net Income TTM</t>
        </is>
      </c>
      <c r="B12" s="4" t="inlineStr">
        <is>
          <t>-$158.9M</t>
        </is>
      </c>
      <c r="C12" s="4" t="inlineStr">
        <is>
          <t>Same</t>
        </is>
      </c>
      <c r="D12" s="4" t="inlineStr">
        <is>
          <t>TTM</t>
        </is>
      </c>
    </row>
    <row r="13">
      <c r="A13" s="4" t="inlineStr">
        <is>
          <t>Diluted EPS TTM</t>
        </is>
      </c>
      <c r="B13" s="4" t="inlineStr">
        <is>
          <t>-$0.62</t>
        </is>
      </c>
      <c r="C13" s="4" t="inlineStr">
        <is>
          <t>Same</t>
        </is>
      </c>
      <c r="D13" s="4" t="inlineStr">
        <is>
          <t>TTM</t>
        </is>
      </c>
    </row>
    <row r="14">
      <c r="A14" s="4" t="inlineStr">
        <is>
          <t>EBITDA TTM</t>
        </is>
      </c>
      <c r="B14" s="4" t="inlineStr">
        <is>
          <t>-$101.3M</t>
        </is>
      </c>
      <c r="C14" s="4" t="inlineStr">
        <is>
          <t>Same</t>
        </is>
      </c>
      <c r="D14" s="4" t="inlineStr">
        <is>
          <t>Negative</t>
        </is>
      </c>
    </row>
    <row r="15">
      <c r="A15" s="4" t="inlineStr">
        <is>
          <t>D&amp;A TTM</t>
        </is>
      </c>
      <c r="B15" s="4" t="inlineStr">
        <is>
          <t>$75.1M</t>
        </is>
      </c>
      <c r="C15" s="4" t="inlineStr">
        <is>
          <t>Same</t>
        </is>
      </c>
      <c r="D15" s="4" t="inlineStr">
        <is>
          <t>Heavy D&amp;A — sports data infrastructure</t>
        </is>
      </c>
    </row>
    <row r="16">
      <c r="A16" s="4" t="inlineStr">
        <is>
          <t>FCF TTM</t>
        </is>
      </c>
      <c r="B16" s="4" t="inlineStr">
        <is>
          <t>-$30.3M</t>
        </is>
      </c>
      <c r="C16" s="4" t="inlineStr">
        <is>
          <t>finance.yahoo.com/quote/GENI/cash-flow/</t>
        </is>
      </c>
      <c r="D16" s="4" t="inlineStr">
        <is>
          <t>Negative from capex cycle</t>
        </is>
      </c>
    </row>
    <row r="17">
      <c r="A17" s="4" t="inlineStr">
        <is>
          <t>OCF TTM</t>
        </is>
      </c>
      <c r="B17" s="4" t="inlineStr">
        <is>
          <t>$50.8M</t>
        </is>
      </c>
      <c r="C17" s="4" t="inlineStr">
        <is>
          <t>Same</t>
        </is>
      </c>
      <c r="D17" s="4" t="inlineStr">
        <is>
          <t>Positive — franchise generating operating cash</t>
        </is>
      </c>
    </row>
    <row r="18">
      <c r="A18" s="4" t="inlineStr">
        <is>
          <t>Capex TTM</t>
        </is>
      </c>
      <c r="B18" s="4" t="inlineStr">
        <is>
          <t>$81.1M</t>
        </is>
      </c>
      <c r="C18" s="4" t="inlineStr">
        <is>
          <t>Same</t>
        </is>
      </c>
      <c r="D18" s="4" t="inlineStr">
        <is>
          <t>200%+ of FY2022 capex — deliberate investment</t>
        </is>
      </c>
    </row>
    <row r="19">
      <c r="A19" s="4" t="inlineStr">
        <is>
          <t>Total Cash Q1 FY26</t>
        </is>
      </c>
      <c r="B19" s="4" t="inlineStr">
        <is>
          <t>$197.4M</t>
        </is>
      </c>
      <c r="C19" s="4" t="inlineStr">
        <is>
          <t>Yahoo Finance Key Statistics</t>
        </is>
      </c>
      <c r="D19" s="4" t="inlineStr">
        <is>
          <t>Most recent quarter</t>
        </is>
      </c>
    </row>
    <row r="20">
      <c r="A20" s="4" t="inlineStr">
        <is>
          <t>End Cash TTM CF</t>
        </is>
      </c>
      <c r="B20" s="4" t="inlineStr">
        <is>
          <t>$194.3M</t>
        </is>
      </c>
      <c r="C20" s="4" t="inlineStr">
        <is>
          <t>Cash flow statement TTM</t>
        </is>
      </c>
      <c r="D20" s="4" t="inlineStr">
        <is>
          <t>Consistent with stats</t>
        </is>
      </c>
    </row>
    <row r="21">
      <c r="A21" s="4" t="inlineStr">
        <is>
          <t>Total Debt</t>
        </is>
      </c>
      <c r="B21" s="4" t="inlineStr">
        <is>
          <t>$30.6M</t>
        </is>
      </c>
      <c r="C21" s="4" t="inlineStr">
        <is>
          <t>Yahoo Finance Key Statistics / BS</t>
        </is>
      </c>
      <c r="D21" s="4" t="inlineStr">
        <is>
          <t>Capital lease obligations</t>
        </is>
      </c>
    </row>
    <row r="22">
      <c r="A22" s="4" t="inlineStr">
        <is>
          <t>Capital Lease Obligations</t>
        </is>
      </c>
      <c r="B22" s="4" t="inlineStr">
        <is>
          <t>$30.5M</t>
        </is>
      </c>
      <c r="C22" s="4" t="inlineStr">
        <is>
          <t>Balance Sheet FY2025 $30.5M</t>
        </is>
      </c>
      <c r="D22" s="4" t="inlineStr">
        <is>
          <t>Up from $7.5M FY2024</t>
        </is>
      </c>
    </row>
    <row r="23">
      <c r="A23" s="4" t="inlineStr">
        <is>
          <t>Net Tangible Book Value</t>
        </is>
      </c>
      <c r="B23" s="4" t="inlineStr">
        <is>
          <t>$242.2M</t>
        </is>
      </c>
      <c r="C23" s="4" t="inlineStr">
        <is>
          <t>Balance Sheet FY2025</t>
        </is>
      </c>
      <c r="D23" s="4" t="inlineStr">
        <is>
          <t>2025</t>
        </is>
      </c>
    </row>
    <row r="24">
      <c r="A24" s="4" t="inlineStr">
        <is>
          <t>Total Common Equity</t>
        </is>
      </c>
      <c r="B24" s="4" t="inlineStr">
        <is>
          <t>$724.5M</t>
        </is>
      </c>
      <c r="C24" s="4" t="inlineStr">
        <is>
          <t>Balance Sheet FY2025</t>
        </is>
      </c>
      <c r="D24" s="4" t="inlineStr">
        <is>
          <t>2025</t>
        </is>
      </c>
    </row>
    <row r="25">
      <c r="A25" s="4" t="inlineStr">
        <is>
          <t>Beta</t>
        </is>
      </c>
      <c r="B25" s="4" t="inlineStr">
        <is>
          <t>1.88</t>
        </is>
      </c>
      <c r="C25" s="4" t="inlineStr">
        <is>
          <t>Yahoo Finance Key Statistics</t>
        </is>
      </c>
      <c r="D25" s="4" t="inlineStr">
        <is>
          <t>5Y Monthly</t>
        </is>
      </c>
    </row>
    <row r="26">
      <c r="A26" s="4" t="inlineStr">
        <is>
          <t>Forward P/E FY2026</t>
        </is>
      </c>
      <c r="B26" s="4" t="inlineStr">
        <is>
          <t>56.8x</t>
        </is>
      </c>
      <c r="C26" s="4" t="inlineStr">
        <is>
          <t>Yahoo Finance Key Statistics</t>
        </is>
      </c>
      <c r="D26" s="4" t="inlineStr">
        <is>
          <t>Using $0.52 EPS consensus</t>
        </is>
      </c>
    </row>
    <row r="27">
      <c r="A27" s="4" t="inlineStr">
        <is>
          <t>Risk-Free Rate</t>
        </is>
      </c>
      <c r="B27" s="4" t="inlineStr">
        <is>
          <t>4.611%</t>
        </is>
      </c>
      <c r="C27" s="4" t="inlineStr">
        <is>
          <t>cnbc.com/quotes/US10Y</t>
        </is>
      </c>
      <c r="D27" s="4" t="inlineStr">
        <is>
          <t>Aug 4, 2026</t>
        </is>
      </c>
    </row>
    <row r="28">
      <c r="A28" s="4" t="inlineStr">
        <is>
          <t>Analyst Revenue FY2026</t>
        </is>
      </c>
      <c r="B28" s="4" t="inlineStr">
        <is>
          <t>$1.00B</t>
        </is>
      </c>
      <c r="C28" s="4" t="inlineStr">
        <is>
          <t>finance.yahoo.com/quote/GENI/analysis/</t>
        </is>
      </c>
      <c r="D28" s="4" t="inlineStr">
        <is>
          <t>19 analysts</t>
        </is>
      </c>
    </row>
    <row r="29">
      <c r="A29" s="4" t="inlineStr">
        <is>
          <t>Analyst Revenue FY2027</t>
        </is>
      </c>
      <c r="B29" s="4" t="inlineStr">
        <is>
          <t>$1.29B</t>
        </is>
      </c>
      <c r="C29" s="4" t="inlineStr">
        <is>
          <t>Same</t>
        </is>
      </c>
      <c r="D29" s="4" t="inlineStr">
        <is>
          <t>18 analysts</t>
        </is>
      </c>
    </row>
    <row r="30">
      <c r="A30" s="4" t="inlineStr">
        <is>
          <t>Analyst EPS FY2026</t>
        </is>
      </c>
      <c r="B30" s="4" t="inlineStr">
        <is>
          <t>$0.52</t>
        </is>
      </c>
      <c r="C30" s="4" t="inlineStr">
        <is>
          <t>Same</t>
        </is>
      </c>
      <c r="D30" s="4" t="inlineStr">
        <is>
          <t>18 analysts, non-GAAP normalized</t>
        </is>
      </c>
    </row>
    <row r="31">
      <c r="A31" s="4" t="inlineStr">
        <is>
          <t>Analyst EPS FY2027</t>
        </is>
      </c>
      <c r="B31" s="4" t="inlineStr">
        <is>
          <t>$0.97</t>
        </is>
      </c>
      <c r="C31" s="4" t="inlineStr">
        <is>
          <t>Same</t>
        </is>
      </c>
      <c r="D31" s="4" t="inlineStr">
        <is>
          <t>18 analysts</t>
        </is>
      </c>
    </row>
    <row r="32">
      <c r="A32" s="4" t="inlineStr">
        <is>
          <t>Q1 FY2026 EPS Actual</t>
        </is>
      </c>
      <c r="B32" s="4" t="inlineStr">
        <is>
          <t>$0.016</t>
        </is>
      </c>
      <c r="C32" s="4" t="inlineStr">
        <is>
          <t>Same</t>
        </is>
      </c>
      <c r="D32" s="4" t="inlineStr">
        <is>
          <t>vs est $0.01 — +65% surprise</t>
        </is>
      </c>
    </row>
    <row r="33">
      <c r="A33" s="4" t="inlineStr">
        <is>
          <t>Q2 FY2026 Earnings Date</t>
        </is>
      </c>
      <c r="B33" s="4" t="inlineStr">
        <is>
          <t>Aug 6, 2026</t>
        </is>
      </c>
      <c r="C33" s="4" t="inlineStr">
        <is>
          <t>Yahoo Finance Profile</t>
        </is>
      </c>
      <c r="D33" s="4" t="inlineStr">
        <is>
          <t>2 days from model date</t>
        </is>
      </c>
    </row>
    <row r="34">
      <c r="A34" s="4" t="inlineStr">
        <is>
          <t>Capital Raise TTM</t>
        </is>
      </c>
      <c r="B34" s="4" t="inlineStr">
        <is>
          <t>$144M</t>
        </is>
      </c>
      <c r="C34" s="4" t="inlineStr">
        <is>
          <t>Cash flow statement TTM</t>
        </is>
      </c>
      <c r="D34" s="4" t="inlineStr">
        <is>
          <t>Issuance of capital stock</t>
        </is>
      </c>
    </row>
    <row r="35">
      <c r="A35" s="4" t="inlineStr">
        <is>
          <t>52-Week Range</t>
        </is>
      </c>
      <c r="B35" s="4" t="inlineStr">
        <is>
          <t>$3.83 – $13.73</t>
        </is>
      </c>
      <c r="C35" s="4" t="inlineStr">
        <is>
          <t>Yahoo Finance Key Statistics</t>
        </is>
      </c>
      <c r="D35" s="4" t="inlineStr">
        <is>
          <t>Current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60" customWidth="1" min="3" max="3"/>
  </cols>
  <sheetData>
    <row r="1">
      <c r="A1" s="1" t="inlineStr">
        <is>
          <t>Open Questions — Genius Sports Limited</t>
        </is>
      </c>
    </row>
    <row r="2">
      <c r="A2" s="5" t="inlineStr">
        <is>
          <t>#</t>
        </is>
      </c>
      <c r="B2" s="8" t="inlineStr">
        <is>
          <t>Question</t>
        </is>
      </c>
      <c r="C2" s="8" t="inlineStr">
        <is>
          <t>Implication</t>
        </is>
      </c>
    </row>
    <row r="3">
      <c r="A3" s="4" t="inlineStr">
        <is>
          <t>1</t>
        </is>
      </c>
      <c r="B3" s="8" t="inlineStr">
        <is>
          <t>Why is capex running at $81M/year (11% of revenue)? What infrastructure is being built — data centers, streaming platforms, or acquisition-related buildouts?</t>
        </is>
      </c>
      <c r="C3" s="8" t="inlineStr">
        <is>
          <t>If capex settles at $47-50M (FY2022-2023 range), FCF recovery could add $30-34M/year. If capex stays elevated, FCF framework remains invalid.</t>
        </is>
      </c>
    </row>
    <row r="4">
      <c r="A4" s="4" t="inlineStr">
        <is>
          <t>2</t>
        </is>
      </c>
      <c r="B4" s="8" t="inlineStr">
        <is>
          <t>$144M capital raise TTM — was this for acquisitions, operational expansion, or balance sheet strengthening? What valuation was the raise at?</t>
        </is>
      </c>
      <c r="C4" s="8" t="inlineStr">
        <is>
          <t>If raise was at inflated price (stock was $10-13 range), current price represents 42% decline. Dilution of 35M shares in ~1 year.</t>
        </is>
      </c>
    </row>
    <row r="5">
      <c r="A5" s="4" t="inlineStr">
        <is>
          <t>3</t>
        </is>
      </c>
      <c r="B5" s="8" t="inlineStr">
        <is>
          <t>Capital lease obligations jumped from $7.5M (FY2024) to $30.5M (FY2025). What assets are being leased — servers, offices, or betting infrastructure?</t>
        </is>
      </c>
      <c r="C5" s="8" t="inlineStr">
        <is>
          <t>Lease obligations act as quasi-debt. If these are data center leases, they support revenue infrastructure. If they are general operating leases, they may represent over-investment.</t>
        </is>
      </c>
    </row>
    <row r="6">
      <c r="A6" s="4" t="inlineStr">
        <is>
          <t>4</t>
        </is>
      </c>
      <c r="B6" s="8" t="inlineStr">
        <is>
          <t>Revenue jumped 23.8% in FY2025 TTM (from $511M to $669M) and continues at $713M TTM. Is this purely organic or acquisition-driven?</t>
        </is>
      </c>
      <c r="C6" s="8" t="inlineStr">
        <is>
          <t>GENI has made strategic acquisitions (e.g., data providers in sports betting). If revenue growth is M&amp;A-driven, quality of growth is lower than organic.</t>
        </is>
      </c>
    </row>
    <row r="7">
      <c r="A7" s="4" t="inlineStr">
        <is>
          <t>5</t>
        </is>
      </c>
      <c r="B7" s="8" t="inlineStr">
        <is>
          <t>TTM operating loss is -$157M on $713M revenue (-22% margin). Given gross margin is 22.7%, this means OpEx is 44.8% of revenue. Is OpEx structural or is there operating leverage ahead?</t>
        </is>
      </c>
      <c r="C7" s="8" t="inlineStr">
        <is>
          <t>If OpEx falls to 30-35% of revenue at $1B+ revenue level, GENI becomes profitable. If OpEx stays at 40%+, path to profitability is distant.</t>
        </is>
      </c>
    </row>
    <row r="8">
      <c r="A8" s="4" t="inlineStr">
        <is>
          <t>6</t>
        </is>
      </c>
      <c r="B8" s="8" t="inlineStr">
        <is>
          <t>Other income/expense swung from +$23.7M (FY2025) to -$6.9M (TTM). What drove the reversal — FX, investment gains/losses, or restructuring?</t>
        </is>
      </c>
      <c r="C8" s="8" t="inlineStr">
        <is>
          <t>FY2025 was buoyed by a one-time gain of $23.7M that TTM shows as a negative. This distortion makes FY2025 look better than TTM.</t>
        </is>
      </c>
    </row>
    <row r="9">
      <c r="A9" s="4" t="inlineStr">
        <is>
          <t>7</t>
        </is>
      </c>
      <c r="B9" s="8" t="inlineStr">
        <is>
          <t>Share count went from 205.8M (FY2022) to 250.4M issued / 267.3M implied outstanding (Aug 2026). 29% dilution in 3 years. Is future dilution likely?</t>
        </is>
      </c>
      <c r="C9" s="8" t="inlineStr">
        <is>
          <t>Dilution from the $144M raise + SBC. If the company needs more capital before profitability, further dilution is likely — especially with stock at $8 vs. raise price.</t>
        </is>
      </c>
    </row>
    <row r="10">
      <c r="A10" s="4" t="inlineStr">
        <is>
          <t>8</t>
        </is>
      </c>
      <c r="B10" s="8" t="inlineStr">
        <is>
          <t>How does GENI's sports betting data monopoly hold up if leagues develop proprietary data platforms or competitors emerge?</t>
        </is>
      </c>
      <c r="C10" s="8" t="inlineStr">
        <is>
          <t>Revenue concentration risk — leagues could become customers, suppliers, and competitors simultaneously.</t>
        </is>
      </c>
    </row>
    <row r="11">
      <c r="A11" s="4" t="inlineStr">
        <is>
          <t>9</t>
        </is>
      </c>
      <c r="B11" s="8" t="inlineStr">
        <is>
          <t>What percentage of revenue is from sports betting/integrity services vs. league data licensing? Which is more defensible?</t>
        </is>
      </c>
      <c r="C11" s="8" t="inlineStr">
        <is>
          <t>Betting revenue is higher growth but more regulatory risk. League data is sticky but slower growth and more leverage.</t>
        </is>
      </c>
    </row>
    <row r="12">
      <c r="A12" s="4" t="inlineStr">
        <is>
          <t>10</t>
        </is>
      </c>
      <c r="B12" s="8" t="inlineStr">
        <is>
          <t>The company is UK-domiciled (London HQ) with NYSE listing. What is the effective tax rate? Are there UK/US tax optimization or double-taxation concerns?</t>
        </is>
      </c>
      <c r="C12" s="8" t="inlineStr">
        <is>
          <t>Tax provision shows -$3.1M TTM (tax benefit on losses) and -$2.5M FY2025. Effective rate hard to pin down.</t>
        </is>
      </c>
    </row>
    <row r="13">
      <c r="A13" s="4" t="inlineStr">
        <is>
          <t>11</t>
        </is>
      </c>
      <c r="B13" s="8" t="inlineStr">
        <is>
          <t>Q2 FY2026 earnings on Aug 6, 2026 — what will this report settle? Path to profitability is the core question.</t>
        </is>
      </c>
      <c r="C13" s="8" t="inlineStr">
        <is>
          <t>This is the primary near-term catalyst and report trigger.</t>
        </is>
      </c>
    </row>
    <row r="14">
      <c r="A14" s="4" t="inlineStr">
        <is>
          <t>12</t>
        </is>
      </c>
      <c r="B14" s="8" t="inlineStr">
        <is>
          <t>Is the 52-week range of $3.83-$13.73 consistent with the analyst consensus of $0.52/FY2026 and $0.97/FY2027? At what valuation does the market think the company is worth?</t>
        </is>
      </c>
      <c r="C14" s="8" t="inlineStr">
        <is>
          <t>Reverse valuation question the entire model depends on.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60" customWidth="1" min="3" max="3"/>
  </cols>
  <sheetData>
    <row r="1">
      <c r="A1" s="1" t="inlineStr">
        <is>
          <t>Sources — Genius Sports Limited</t>
        </is>
      </c>
    </row>
    <row r="2">
      <c r="A2" s="9" t="inlineStr">
        <is>
          <t>#</t>
        </is>
      </c>
      <c r="B2" s="3" t="inlineStr">
        <is>
          <t>Source</t>
        </is>
      </c>
      <c r="C2" s="4" t="inlineStr">
        <is>
          <t>URL / Description</t>
        </is>
      </c>
    </row>
    <row r="3">
      <c r="A3" s="4" t="inlineStr">
        <is>
          <t>1</t>
        </is>
      </c>
      <c r="B3" s="4" t="inlineStr">
        <is>
          <t>Yahoo Finance — Quote / Statistics</t>
        </is>
      </c>
      <c r="C3" s="4" t="inlineStr">
        <is>
          <t>finance.yahoo.com/quote/GENI/ and /key-statistics/</t>
        </is>
      </c>
    </row>
    <row r="4">
      <c r="A4" s="4" t="inlineStr">
        <is>
          <t>2</t>
        </is>
      </c>
      <c r="B4" s="4" t="inlineStr">
        <is>
          <t>Yahoo Finance — Income Statement</t>
        </is>
      </c>
      <c r="C4" s="4" t="inlineStr">
        <is>
          <t>finance.yahoo.com/quote/GENI/financials/</t>
        </is>
      </c>
    </row>
    <row r="5">
      <c r="A5" s="4" t="inlineStr">
        <is>
          <t>3</t>
        </is>
      </c>
      <c r="B5" s="4" t="inlineStr">
        <is>
          <t>Yahoo Finance — Balance Sheet</t>
        </is>
      </c>
      <c r="C5" s="4" t="inlineStr">
        <is>
          <t>finance.yahoo.com/quote/GENI/balance-sheet/</t>
        </is>
      </c>
    </row>
    <row r="6">
      <c r="A6" s="4" t="inlineStr">
        <is>
          <t>4</t>
        </is>
      </c>
      <c r="B6" s="4" t="inlineStr">
        <is>
          <t>Yahoo Finance — Cash Flow</t>
        </is>
      </c>
      <c r="C6" s="4" t="inlineStr">
        <is>
          <t>finance.yahoo.com/quote/GENI/cash-flow/</t>
        </is>
      </c>
    </row>
    <row r="7">
      <c r="A7" s="4" t="inlineStr">
        <is>
          <t>5</t>
        </is>
      </c>
      <c r="B7" s="4" t="inlineStr">
        <is>
          <t>Yahoo Finance — Analysis / Estimates</t>
        </is>
      </c>
      <c r="C7" s="4" t="inlineStr">
        <is>
          <t>finance.yahoo.com/quote/GENI/analysis/</t>
        </is>
      </c>
    </row>
    <row r="8">
      <c r="A8" s="4" t="inlineStr">
        <is>
          <t>6</t>
        </is>
      </c>
      <c r="B8" s="4" t="inlineStr">
        <is>
          <t>Yahoo Finance — Profile</t>
        </is>
      </c>
      <c r="C8" s="4" t="inlineStr">
        <is>
          <t>finance.yahoo.com/quote/GENI/profile/</t>
        </is>
      </c>
    </row>
    <row r="9">
      <c r="A9" s="4" t="inlineStr">
        <is>
          <t>7</t>
        </is>
      </c>
      <c r="B9" s="4" t="inlineStr">
        <is>
          <t>CNBC — US 10Y Treasury</t>
        </is>
      </c>
      <c r="C9" s="4" t="inlineStr">
        <is>
          <t>cnbc.com/quotes/US10Y — yield 4.611% Aug 4, 2026</t>
        </is>
      </c>
    </row>
    <row r="10">
      <c r="A10" s="4" t="inlineStr">
        <is>
          <t>8</t>
        </is>
      </c>
      <c r="B10" s="4" t="inlineStr">
        <is>
          <t>StockAnalysis.com</t>
        </is>
      </c>
      <c r="C10" s="4" t="inlineStr">
        <is>
          <t>stockanalysis.com — returned 404 for GENI (confirmed)</t>
        </is>
      </c>
    </row>
    <row r="11">
      <c r="A11" s="4" t="inlineStr">
        <is>
          <t>9</t>
        </is>
      </c>
      <c r="B11" s="4" t="inlineStr">
        <is>
          <t>Genius Sports Corporate Website</t>
        </is>
      </c>
      <c r="C11" s="4" t="inlineStr">
        <is>
          <t>geniussports.com — HQ: London, 2000 employees</t>
        </is>
      </c>
    </row>
    <row r="12">
      <c r="A12" s="4" t="inlineStr">
        <is>
          <t>10</t>
        </is>
      </c>
      <c r="B12" s="4" t="inlineStr">
        <is>
          <t>SEC Filings (via Yahoo Profile)</t>
        </is>
      </c>
      <c r="C12" s="4" t="inlineStr">
        <is>
          <t>Multiple 6-K filings and 20-F (Mar 16, 2026) listed on Yahoo profile page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2026-08-05T03:28:46Z</dcterms:created>
  <dcterms:modified xsi:type="dcterms:W3CDTF">2026-08-05T03:28:46Z</dcterms:modified>
</cp:coreProperties>
</file>