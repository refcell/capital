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5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65" customWidth="1" min="3" max="3"/>
  </cols>
  <sheetData>
    <row r="1">
      <c r="A1" s="1" t="inlineStr">
        <is>
          <t>Omnicom Group Inc. (OMC) - Valuation Model</t>
        </is>
      </c>
    </row>
    <row r="2">
      <c r="A2" s="2" t="inlineStr">
        <is>
          <t>Ticker</t>
        </is>
      </c>
      <c r="B2" s="3" t="inlineStr">
        <is>
          <t>OMC</t>
        </is>
      </c>
      <c r="C2" s="4" t="inlineStr">
        <is>
          <t>NYSE</t>
        </is>
      </c>
      <c r="D2" s="5" t="n"/>
      <c r="E2" s="5" t="n"/>
      <c r="F2" s="6" t="n"/>
    </row>
    <row r="3">
      <c r="A3" s="2" t="inlineStr">
        <is>
          <t>Company</t>
        </is>
      </c>
      <c r="B3" s="3" t="inlineStr">
        <is>
          <t>Omnicom Group Inc.</t>
        </is>
      </c>
      <c r="C3" s="4" t="inlineStr">
        <is>
          <t>Advertising Agencies / Communication Services</t>
        </is>
      </c>
      <c r="D3" s="5" t="n"/>
      <c r="E3" s="5" t="n"/>
      <c r="F3" s="6" t="n"/>
    </row>
    <row r="4">
      <c r="A4" s="2" t="inlineStr">
        <is>
          <t>Date</t>
        </is>
      </c>
      <c r="B4" s="3" t="inlineStr">
        <is>
          <t>2026-08-26</t>
        </is>
      </c>
      <c r="C4" s="4" t="inlineStr"/>
      <c r="D4" s="5" t="n"/>
      <c r="E4" s="5" t="n"/>
      <c r="F4" s="6" t="n"/>
    </row>
    <row r="5">
      <c r="A5" s="2" t="inlineStr">
        <is>
          <t>Price</t>
        </is>
      </c>
      <c r="B5" s="3" t="inlineStr">
        <is>
          <t>$87.89</t>
        </is>
      </c>
      <c r="C5" s="4" t="inlineStr">
        <is>
          <t>Close Aug 26, 2026</t>
        </is>
      </c>
      <c r="D5" s="5" t="n"/>
      <c r="E5" s="5" t="n"/>
      <c r="F5" s="6" t="n"/>
    </row>
    <row r="6">
      <c r="A6" s="2" t="inlineStr">
        <is>
          <t>Shares Outstanding</t>
        </is>
      </c>
      <c r="B6" s="3" t="inlineStr">
        <is>
          <t>274.35M</t>
        </is>
      </c>
      <c r="C6" s="4" t="inlineStr">
        <is>
          <t>Yahoo Key Stats</t>
        </is>
      </c>
      <c r="D6" s="5" t="n"/>
      <c r="E6" s="5" t="n"/>
      <c r="F6" s="6" t="n"/>
    </row>
    <row r="7">
      <c r="A7" s="2" t="inlineStr">
        <is>
          <t>Market Cap</t>
        </is>
      </c>
      <c r="B7" s="3" t="inlineStr">
        <is>
          <t>$24.20B</t>
        </is>
      </c>
      <c r="C7" s="4" t="inlineStr">
        <is>
          <t>Price x Shares</t>
        </is>
      </c>
      <c r="D7" s="5" t="n"/>
      <c r="E7" s="5" t="n"/>
      <c r="F7" s="6" t="n"/>
    </row>
    <row r="8">
      <c r="A8" s="2" t="inlineStr">
        <is>
          <t>Enterprise Value</t>
        </is>
      </c>
      <c r="B8" s="3" t="inlineStr">
        <is>
          <t>$32.27B</t>
        </is>
      </c>
      <c r="C8" s="4" t="inlineStr">
        <is>
          <t>Yahoo Key Stats</t>
        </is>
      </c>
      <c r="D8" s="5" t="n"/>
      <c r="E8" s="5" t="n"/>
      <c r="F8" s="6" t="n"/>
    </row>
    <row r="9">
      <c r="A9" s="2" t="inlineStr">
        <is>
          <t>Net Debt (EV-MC)</t>
        </is>
      </c>
      <c r="B9" s="3" t="inlineStr">
        <is>
          <t>$8.07B</t>
        </is>
      </c>
      <c r="C9" s="4" t="inlineStr">
        <is>
          <t>EV - MC proxy</t>
        </is>
      </c>
      <c r="D9" s="5" t="n"/>
      <c r="E9" s="5" t="n"/>
      <c r="F9" s="6" t="n"/>
    </row>
    <row r="10">
      <c r="A10" s="2" t="inlineStr">
        <is>
          <t>Primary Lens</t>
        </is>
      </c>
      <c r="B10" s="3" t="inlineStr">
        <is>
          <t>Forward P/E</t>
        </is>
      </c>
      <c r="C10" s="4" t="inlineStr">
        <is>
          <t>Post-acquisition earnings transition; trailing P/E meaningless</t>
        </is>
      </c>
      <c r="D10" s="5" t="n"/>
      <c r="E10" s="5" t="n"/>
      <c r="F10" s="6" t="n"/>
    </row>
    <row r="11">
      <c r="A11" s="2" t="inlineStr">
        <is>
          <t>Stance</t>
        </is>
      </c>
      <c r="B11" s="3" t="inlineStr">
        <is>
          <t>Watch</t>
        </is>
      </c>
      <c r="C11" s="4" t="inlineStr">
        <is>
          <t>Integration year ahead; FY26 earnings the test</t>
        </is>
      </c>
      <c r="D11" s="5" t="n"/>
      <c r="E11" s="5" t="n"/>
      <c r="F11" s="6" t="n"/>
    </row>
    <row r="13">
      <c r="A13" s="7" t="inlineStr">
        <is>
          <t>Valuation Metrics</t>
        </is>
      </c>
    </row>
    <row r="14">
      <c r="A14" s="8" t="inlineStr">
        <is>
          <t>Metric</t>
        </is>
      </c>
      <c r="B14" s="8" t="inlineStr">
        <is>
          <t>Value</t>
        </is>
      </c>
      <c r="C14" s="8" t="inlineStr">
        <is>
          <t>Comment</t>
        </is>
      </c>
    </row>
    <row r="15">
      <c r="A15" s="2" t="inlineStr">
        <is>
          <t>Trailing P/E</t>
        </is>
      </c>
      <c r="B15" s="3" t="inlineStr">
        <is>
          <t>238.38x</t>
        </is>
      </c>
      <c r="C15" s="4" t="inlineStr">
        <is>
          <t>Distorted by FY25 acquisition transition loss of $-54.5M</t>
        </is>
      </c>
    </row>
    <row r="16">
      <c r="A16" s="2" t="inlineStr">
        <is>
          <t>Forward P/E</t>
        </is>
      </c>
      <c r="B16" s="3" t="inlineStr">
        <is>
          <t>8.37x</t>
        </is>
      </c>
      <c r="C16" s="4" t="inlineStr">
        <is>
          <t>On FY2026 consensus EPS of $10.59</t>
        </is>
      </c>
    </row>
    <row r="17">
      <c r="A17" s="2" t="inlineStr">
        <is>
          <t>P/Sales (TTM)</t>
        </is>
      </c>
      <c r="B17" s="3" t="inlineStr">
        <is>
          <t>0.99x</t>
        </is>
      </c>
      <c r="C17" s="4" t="inlineStr">
        <is>
          <t>$24.2B / $22.37B TTM revenue</t>
        </is>
      </c>
    </row>
    <row r="18">
      <c r="A18" s="2" t="inlineStr">
        <is>
          <t>P/Book</t>
        </is>
      </c>
      <c r="B18" s="3" t="inlineStr">
        <is>
          <t>2.50x</t>
        </is>
      </c>
      <c r="C18" s="4" t="inlineStr">
        <is>
          <t>$24.2B / $12.05B common equity</t>
        </is>
      </c>
    </row>
    <row r="19">
      <c r="A19" s="2" t="inlineStr">
        <is>
          <t>Forward PEG (5yr)</t>
        </is>
      </c>
      <c r="B19" s="3" t="inlineStr">
        <is>
          <t>15.97x</t>
        </is>
      </c>
      <c r="C19" s="4" t="inlineStr">
        <is>
          <t>Data quality suspect post-acquisition; P/E denominator distorted</t>
        </is>
      </c>
    </row>
    <row r="20">
      <c r="A20" s="2" t="inlineStr">
        <is>
          <t>EV/Revenue</t>
        </is>
      </c>
      <c r="B20" s="3" t="inlineStr">
        <is>
          <t>1.44x</t>
        </is>
      </c>
      <c r="C20" s="4" t="inlineStr">
        <is>
          <t>$32.27B / $22.37B</t>
        </is>
      </c>
    </row>
    <row r="21">
      <c r="A21" s="2" t="inlineStr">
        <is>
          <t>EV/EBITDA</t>
        </is>
      </c>
      <c r="B21" s="3" t="inlineStr">
        <is>
          <t>18.59x</t>
        </is>
      </c>
      <c r="C21" s="4" t="inlineStr">
        <is>
          <t>$32.27B / $1.74B TTM EBITDA; integration depressed EBITDA</t>
        </is>
      </c>
    </row>
    <row r="22">
      <c r="A22" s="2" t="inlineStr">
        <is>
          <t>FCF Yield</t>
        </is>
      </c>
      <c r="B22" s="3" t="inlineStr">
        <is>
          <t>17.6%</t>
        </is>
      </c>
      <c r="C22" s="4" t="inlineStr">
        <is>
          <t>$4.26B FCF / $24.2B MC; includes investment portfolio activity</t>
        </is>
      </c>
    </row>
    <row r="23">
      <c r="A23" s="2" t="inlineStr">
        <is>
          <t>Dividend Yield</t>
        </is>
      </c>
      <c r="B23" s="3" t="inlineStr">
        <is>
          <t>3.63%</t>
        </is>
      </c>
      <c r="C23" s="4" t="inlineStr">
        <is>
          <t>$3.20 annualized / $87.89</t>
        </is>
      </c>
    </row>
    <row r="24">
      <c r="A24" s="2" t="inlineStr">
        <is>
          <t>Beta (5Y)</t>
        </is>
      </c>
      <c r="B24" s="3" t="inlineStr">
        <is>
          <t>0.66</t>
        </is>
      </c>
      <c r="C24" s="4" t="inlineStr">
        <is>
          <t>Low beta - defensive advertising services</t>
        </is>
      </c>
    </row>
    <row r="25">
      <c r="A25" s="2" t="inlineStr">
        <is>
          <t>52W Range</t>
        </is>
      </c>
      <c r="B25" s="3" t="inlineStr">
        <is>
          <t>$66.33 - $89.57</t>
        </is>
      </c>
      <c r="C25" s="4" t="inlineStr">
        <is>
          <t>Near 52-week high</t>
        </is>
      </c>
    </row>
    <row r="26">
      <c r="A26" s="2" t="inlineStr">
        <is>
          <t>50-Day MA</t>
        </is>
      </c>
      <c r="B26" s="3" t="inlineStr">
        <is>
          <t>$81.08</t>
        </is>
      </c>
      <c r="C26" s="4" t="inlineStr"/>
    </row>
    <row r="27">
      <c r="A27" s="2" t="inlineStr">
        <is>
          <t>200-Day MA</t>
        </is>
      </c>
      <c r="B27" s="3" t="inlineStr">
        <is>
          <t>$77.60</t>
        </is>
      </c>
      <c r="C27" s="4" t="inlineStr"/>
    </row>
  </sheetData>
  <mergeCells count="11">
    <mergeCell ref="C9:F9"/>
    <mergeCell ref="C5:F5"/>
    <mergeCell ref="C3:F3"/>
    <mergeCell ref="C8:F8"/>
    <mergeCell ref="C4:F4"/>
    <mergeCell ref="A1:F1"/>
    <mergeCell ref="C6:F6"/>
    <mergeCell ref="C7:F7"/>
    <mergeCell ref="C11:F11"/>
    <mergeCell ref="C10:F10"/>
    <mergeCell ref="C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65" customWidth="1" min="3" max="3"/>
  </cols>
  <sheetData>
    <row r="1">
      <c r="A1" s="1" t="inlineStr">
        <is>
          <t>WACC Calculation - OMC</t>
        </is>
      </c>
    </row>
    <row r="2">
      <c r="A2" s="9" t="inlineStr">
        <is>
          <t>CAPM Framework | Post-Acquisition Capital Structure</t>
        </is>
      </c>
    </row>
    <row r="3">
      <c r="A3" s="2" t="inlineStr">
        <is>
          <t>Risk-Free Rate (10Y US)</t>
        </is>
      </c>
      <c r="B3" s="3" t="inlineStr">
        <is>
          <t>4.66%</t>
        </is>
      </c>
      <c r="C3" s="4" t="inlineStr">
        <is>
          <t>CNBC US10Y Aug 26 2026</t>
        </is>
      </c>
    </row>
    <row r="4">
      <c r="A4" s="3" t="inlineStr"/>
      <c r="B4" s="3" t="inlineStr"/>
      <c r="C4" s="4" t="inlineStr"/>
    </row>
    <row r="5">
      <c r="A5" s="2" t="inlineStr">
        <is>
          <t>Equity Risk Premium</t>
        </is>
      </c>
      <c r="B5" s="3" t="inlineStr">
        <is>
          <t>5.00%</t>
        </is>
      </c>
      <c r="C5" s="4" t="inlineStr">
        <is>
          <t>Standard assumption</t>
        </is>
      </c>
    </row>
    <row r="6">
      <c r="A6" s="2" t="inlineStr">
        <is>
          <t>Levered Beta (5Y Monthly)</t>
        </is>
      </c>
      <c r="B6" s="3" t="inlineStr">
        <is>
          <t>0.66</t>
        </is>
      </c>
      <c r="C6" s="4" t="inlineStr">
        <is>
          <t>Yahoo Key Stats</t>
        </is>
      </c>
    </row>
    <row r="7">
      <c r="A7" s="3" t="inlineStr"/>
      <c r="B7" s="3" t="inlineStr"/>
      <c r="C7" s="4" t="inlineStr"/>
    </row>
    <row r="8">
      <c r="A8" s="2" t="inlineStr">
        <is>
          <t>Cost of Equity (CAPM)</t>
        </is>
      </c>
      <c r="B8" s="2" t="inlineStr">
        <is>
          <t>7.96%</t>
        </is>
      </c>
      <c r="C8" s="4">
        <f>Rfr + Beta x ERP = 4.66% + 0.66 x 5.00%</f>
        <v/>
      </c>
    </row>
    <row r="9">
      <c r="A9" s="3" t="inlineStr"/>
      <c r="B9" s="3" t="inlineStr"/>
      <c r="C9" s="4" t="inlineStr"/>
    </row>
    <row r="10">
      <c r="A10" s="2" t="inlineStr">
        <is>
          <t>Total Debt (Key Stats)</t>
        </is>
      </c>
      <c r="B10" s="3" t="inlineStr">
        <is>
          <t>$11.41B</t>
        </is>
      </c>
      <c r="C10" s="4" t="inlineStr">
        <is>
          <t>Yahoo Key Stats - higher than BS $10.73B; more conservative</t>
        </is>
      </c>
    </row>
    <row r="11">
      <c r="A11" s="2" t="inlineStr">
        <is>
          <t>Total Cash (Key Stats)</t>
        </is>
      </c>
      <c r="B11" s="3" t="inlineStr">
        <is>
          <t>$3.34B</t>
        </is>
      </c>
      <c r="C11" s="4" t="inlineStr">
        <is>
          <t>Yahoo Key Stats</t>
        </is>
      </c>
    </row>
    <row r="12">
      <c r="A12" s="2" t="inlineStr">
        <is>
          <t>Market Cap</t>
        </is>
      </c>
      <c r="B12" s="3" t="inlineStr">
        <is>
          <t>$24.20B</t>
        </is>
      </c>
      <c r="C12" s="4" t="inlineStr"/>
    </row>
    <row r="13">
      <c r="A13" s="3" t="inlineStr"/>
      <c r="B13" s="3" t="inlineStr"/>
      <c r="C13" s="4" t="inlineStr"/>
    </row>
    <row r="14">
      <c r="A14" s="2" t="inlineStr">
        <is>
          <t>Total Capitalization</t>
        </is>
      </c>
      <c r="B14" s="2" t="inlineStr">
        <is>
          <t>$35.61B</t>
        </is>
      </c>
      <c r="C14" s="4" t="inlineStr">
        <is>
          <t>Debt + MC = 11.41 + 24.20</t>
        </is>
      </c>
    </row>
    <row r="15">
      <c r="A15" s="2" t="inlineStr">
        <is>
          <t>Debt Weight</t>
        </is>
      </c>
      <c r="B15" s="3" t="inlineStr">
        <is>
          <t>32.0%</t>
        </is>
      </c>
      <c r="C15" s="4" t="inlineStr">
        <is>
          <t>11.41 / 35.61</t>
        </is>
      </c>
    </row>
    <row r="16">
      <c r="A16" s="2" t="inlineStr">
        <is>
          <t>Equity Weight</t>
        </is>
      </c>
      <c r="B16" s="3" t="inlineStr">
        <is>
          <t>68.0%</t>
        </is>
      </c>
      <c r="C16" s="4" t="inlineStr">
        <is>
          <t>24.20 / 35.61</t>
        </is>
      </c>
    </row>
    <row r="17">
      <c r="A17" s="3" t="inlineStr"/>
      <c r="B17" s="3" t="inlineStr"/>
      <c r="C17" s="4" t="inlineStr"/>
    </row>
    <row r="18">
      <c r="A18" s="2" t="inlineStr">
        <is>
          <t>Cost of Debt (est.)</t>
        </is>
      </c>
      <c r="B18" s="3" t="inlineStr">
        <is>
          <t>4.50%</t>
        </is>
      </c>
      <c r="C18" s="4" t="inlineStr">
        <is>
          <t>Estimate based on investment grade rating; debt increased post-acquisition</t>
        </is>
      </c>
    </row>
    <row r="19">
      <c r="A19" s="2" t="inlineStr">
        <is>
          <t>Tax Rate</t>
        </is>
      </c>
      <c r="B19" s="3" t="inlineStr">
        <is>
          <t>25.6%</t>
        </is>
      </c>
      <c r="C19" s="4" t="inlineStr">
        <is>
          <t>TTM: 380.4M / 859.9M pretax</t>
        </is>
      </c>
    </row>
    <row r="20">
      <c r="A20" s="2" t="inlineStr">
        <is>
          <t>After-Tax Cost of Debt</t>
        </is>
      </c>
      <c r="B20" s="2" t="inlineStr">
        <is>
          <t>3.34%</t>
        </is>
      </c>
      <c r="C20" s="4">
        <f>4.50% x (1-25.6%)</f>
        <v/>
      </c>
    </row>
    <row r="21">
      <c r="A21" s="3" t="inlineStr"/>
      <c r="B21" s="3" t="inlineStr"/>
      <c r="C21" s="4" t="inlineStr"/>
    </row>
    <row r="22">
      <c r="A22" s="2" t="inlineStr">
        <is>
          <t>WACC</t>
        </is>
      </c>
      <c r="B22" s="2" t="inlineStr">
        <is>
          <t>6.48%</t>
        </is>
      </c>
      <c r="C22" s="4">
        <f>0.68 x 7.96% + 0.32 x 3.34%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Analysis - OMC</t>
        </is>
      </c>
    </row>
    <row r="2">
      <c r="A2" s="9" t="inlineStr">
        <is>
          <t>Forward P/E Framework (Primary) | FY2026 Acquired Base | Earnings Consensus Anchored</t>
        </is>
      </c>
    </row>
    <row r="3">
      <c r="C3" s="10" t="inlineStr">
        <is>
          <t>NOTE: Trailing P/E excluded due to FY25 acquisition-driven net loss (-$54.5M). Forward P/E on consensus is the correct framework.</t>
        </is>
      </c>
    </row>
    <row r="5">
      <c r="A5" s="8" t="inlineStr">
        <is>
          <t>Metric</t>
        </is>
      </c>
      <c r="B5" s="8" t="inlineStr">
        <is>
          <t>Bear</t>
        </is>
      </c>
      <c r="C5" s="8" t="inlineStr">
        <is>
          <t>Base</t>
        </is>
      </c>
      <c r="D5" s="8" t="inlineStr">
        <is>
          <t>Bull</t>
        </is>
      </c>
      <c r="E5" s="8" t="inlineStr">
        <is>
          <t>Comment</t>
        </is>
      </c>
    </row>
    <row r="6">
      <c r="A6" s="2" t="inlineStr">
        <is>
          <t>Revenue CAGR (5Y)</t>
        </is>
      </c>
      <c r="B6" s="11" t="inlineStr">
        <is>
          <t>2%</t>
        </is>
      </c>
      <c r="C6" s="12" t="inlineStr">
        <is>
          <t>4.5%</t>
        </is>
      </c>
      <c r="D6" s="13" t="inlineStr">
        <is>
          <t>7%</t>
        </is>
      </c>
      <c r="E6" s="3" t="inlineStr">
        <is>
          <t>Post-acquisition; organic growth ~2-4%, add M&amp;A integration tailwind in bull</t>
        </is>
      </c>
    </row>
    <row r="7">
      <c r="A7" s="2" t="inlineStr">
        <is>
          <t>FY2026 Revenue Base</t>
        </is>
      </c>
      <c r="B7" s="11" t="inlineStr">
        <is>
          <t>$25.84B</t>
        </is>
      </c>
      <c r="C7" s="12" t="inlineStr">
        <is>
          <t>$25.84B</t>
        </is>
      </c>
      <c r="D7" s="13" t="inlineStr">
        <is>
          <t>$25.84B</t>
        </is>
      </c>
      <c r="E7" s="3" t="inlineStr">
        <is>
          <t>Consensus estimate - acquired base</t>
        </is>
      </c>
    </row>
    <row r="8">
      <c r="A8" s="2" t="inlineStr">
        <is>
          <t>Terminal Revenue (Yr5)</t>
        </is>
      </c>
      <c r="B8" s="11" t="inlineStr">
        <is>
          <t>$27.9B</t>
        </is>
      </c>
      <c r="C8" s="12" t="inlineStr">
        <is>
          <t>$32.5B</t>
        </is>
      </c>
      <c r="D8" s="13" t="inlineStr">
        <is>
          <t>$36.3B</t>
        </is>
      </c>
      <c r="E8" s="3">
        <f>base x (1+cagr)^5</f>
        <v/>
      </c>
    </row>
    <row r="9">
      <c r="A9" s="2" t="inlineStr">
        <is>
          <t>Terminal EPS (Yr5)</t>
        </is>
      </c>
      <c r="B9" s="11" t="inlineStr">
        <is>
          <t>$10.00</t>
        </is>
      </c>
      <c r="C9" s="12" t="inlineStr">
        <is>
          <t>$14.00</t>
        </is>
      </c>
      <c r="D9" s="13" t="inlineStr">
        <is>
          <t>$17.50</t>
        </is>
      </c>
      <c r="E9" s="3" t="inlineStr">
        <is>
          <t>Growth from FY27 $12.04 consensus base</t>
        </is>
      </c>
    </row>
    <row r="10">
      <c r="A10" s="2" t="inlineStr">
        <is>
          <t>Exit P/E Multiple</t>
        </is>
      </c>
      <c r="B10" s="11" t="inlineStr">
        <is>
          <t>7x</t>
        </is>
      </c>
      <c r="C10" s="12" t="inlineStr">
        <is>
          <t>10x</t>
        </is>
      </c>
      <c r="D10" s="13" t="inlineStr">
        <is>
          <t>12x</t>
        </is>
      </c>
      <c r="E10" s="3" t="inlineStr">
        <is>
          <t>Peer: WPP ~15x, Publicis ~12x; integration discount in bear/base</t>
        </is>
      </c>
    </row>
    <row r="11">
      <c r="A11" s="2" t="inlineStr">
        <is>
          <t>Implied 5Y Target</t>
        </is>
      </c>
      <c r="B11" s="11" t="inlineStr">
        <is>
          <t>$70.00</t>
        </is>
      </c>
      <c r="C11" s="12" t="inlineStr">
        <is>
          <t>$140.00</t>
        </is>
      </c>
      <c r="D11" s="13" t="inlineStr">
        <is>
          <t>$210.00</t>
        </is>
      </c>
      <c r="E11" s="3">
        <f>Terminal EPS x Exit P/E</f>
        <v/>
      </c>
    </row>
    <row r="12">
      <c r="A12" s="2" t="inlineStr">
        <is>
          <t>Upside from $87.89</t>
        </is>
      </c>
      <c r="B12" s="11" t="inlineStr">
        <is>
          <t>-20.3%</t>
        </is>
      </c>
      <c r="C12" s="12" t="inlineStr">
        <is>
          <t>+59.1%</t>
        </is>
      </c>
      <c r="D12" s="13" t="inlineStr">
        <is>
          <t>+138.1%</t>
        </is>
      </c>
      <c r="E12" s="3" t="inlineStr">
        <is>
          <t>Bear: value trap if integration fails</t>
        </is>
      </c>
    </row>
    <row r="13">
      <c r="A13" s="3" t="inlineStr"/>
      <c r="B13" s="3" t="inlineStr"/>
      <c r="C13" s="3" t="inlineStr"/>
      <c r="D13" s="3" t="inlineStr"/>
      <c r="E13" s="3" t="inlineStr"/>
    </row>
    <row r="14">
      <c r="A14" s="2" t="inlineStr">
        <is>
          <t>Scenario Weight</t>
        </is>
      </c>
      <c r="B14" s="11" t="inlineStr">
        <is>
          <t>20%</t>
        </is>
      </c>
      <c r="C14" s="12" t="inlineStr">
        <is>
          <t>50%</t>
        </is>
      </c>
      <c r="D14" s="13" t="inlineStr">
        <is>
          <t>30%</t>
        </is>
      </c>
      <c r="E14" s="3" t="inlineStr"/>
    </row>
    <row r="15">
      <c r="A15" s="2" t="inlineStr">
        <is>
          <t>Weighted Value/Share</t>
        </is>
      </c>
      <c r="B15" s="11" t="inlineStr">
        <is>
          <t>$14.00</t>
        </is>
      </c>
      <c r="C15" s="12" t="inlineStr">
        <is>
          <t>$70.00</t>
        </is>
      </c>
      <c r="D15" s="13" t="inlineStr">
        <is>
          <t>$63.00</t>
        </is>
      </c>
      <c r="E15" s="3" t="inlineStr"/>
    </row>
    <row r="16">
      <c r="A16" s="3" t="inlineStr"/>
      <c r="B16" s="3" t="inlineStr"/>
      <c r="C16" s="3" t="inlineStr"/>
      <c r="D16" s="3" t="inlineStr"/>
    </row>
    <row r="17">
      <c r="A17" s="2" t="inlineStr">
        <is>
          <t>Probability-Weighted FV</t>
        </is>
      </c>
      <c r="B17" s="3" t="inlineStr"/>
      <c r="C17" s="3" t="inlineStr"/>
      <c r="D17" s="13" t="inlineStr">
        <is>
          <t>$147.00</t>
        </is>
      </c>
      <c r="E17" s="3" t="inlineStr">
        <is>
          <t>Sum of weighted values</t>
        </is>
      </c>
    </row>
    <row r="18">
      <c r="A18" s="2" t="inlineStr">
        <is>
          <t>Upside from Current</t>
        </is>
      </c>
      <c r="B18" s="3" t="inlineStr"/>
      <c r="C18" s="3" t="inlineStr"/>
      <c r="D18" s="13" t="inlineStr">
        <is>
          <t>+67.2%</t>
        </is>
      </c>
      <c r="E18" s="3" t="inlineStr">
        <is>
          <t>Compelling if integration delivers</t>
        </is>
      </c>
    </row>
    <row r="19">
      <c r="A19" s="3" t="inlineStr"/>
      <c r="B19" s="3" t="inlineStr"/>
      <c r="C19" s="3" t="inlineStr"/>
      <c r="D19" s="3" t="inlineStr"/>
      <c r="E19" s="3" t="inlineStr"/>
    </row>
    <row r="20">
      <c r="A20" s="2" t="inlineStr">
        <is>
          <t>Cross-Check: EV/EBITDA</t>
        </is>
      </c>
      <c r="B20" s="3" t="inlineStr"/>
      <c r="C20" s="3" t="inlineStr"/>
      <c r="D20" s="3" t="inlineStr"/>
      <c r="E20" s="3" t="inlineStr"/>
    </row>
    <row r="21">
      <c r="A21" s="2" t="inlineStr">
        <is>
          <t>Bear EBITDA</t>
        </is>
      </c>
      <c r="B21" s="3" t="inlineStr"/>
      <c r="C21" s="12" t="inlineStr">
        <is>
          <t>$900M</t>
        </is>
      </c>
      <c r="D21" s="3" t="inlineStr"/>
      <c r="E21" s="3" t="inlineStr">
        <is>
          <t>If integration drags margins</t>
        </is>
      </c>
    </row>
    <row r="22">
      <c r="A22" s="2" t="inlineStr">
        <is>
          <t>Base EBITDA</t>
        </is>
      </c>
      <c r="B22" s="3" t="inlineStr"/>
      <c r="C22" s="12" t="inlineStr">
        <is>
          <t>$2.4B</t>
        </is>
      </c>
      <c r="D22" s="3" t="inlineStr"/>
      <c r="E22" s="3" t="inlineStr">
        <is>
          <t>Return to pre-acquisition normalized run-rate</t>
        </is>
      </c>
    </row>
    <row r="23">
      <c r="A23" s="2" t="inlineStr">
        <is>
          <t>Bull EBITDA</t>
        </is>
      </c>
      <c r="B23" s="3" t="inlineStr"/>
      <c r="C23" s="12" t="inlineStr">
        <is>
          <t>$3.0B</t>
        </is>
      </c>
      <c r="D23" s="3" t="inlineStr"/>
      <c r="E23" s="3" t="inlineStr">
        <is>
          <t>Synergy realization</t>
        </is>
      </c>
    </row>
    <row r="24">
      <c r="A24" s="2" t="inlineStr">
        <is>
          <t>EV/EBITDA Bear Multiple</t>
        </is>
      </c>
      <c r="B24" s="3" t="inlineStr"/>
      <c r="C24" s="12" t="inlineStr">
        <is>
          <t>12x</t>
        </is>
      </c>
      <c r="D24" s="3" t="inlineStr"/>
      <c r="E24" s="3" t="inlineStr">
        <is>
          <t>Compressed for integration risk</t>
        </is>
      </c>
    </row>
    <row r="25">
      <c r="A25" s="2" t="inlineStr">
        <is>
          <t>EV/EBITDA Base Multiple</t>
        </is>
      </c>
      <c r="B25" s="3" t="inlineStr"/>
      <c r="C25" s="12" t="inlineStr">
        <is>
          <t>16x</t>
        </is>
      </c>
      <c r="D25" s="3" t="inlineStr"/>
      <c r="E25" s="3" t="inlineStr">
        <is>
          <t>Peer median</t>
        </is>
      </c>
    </row>
    <row r="26">
      <c r="A26" s="2" t="inlineStr">
        <is>
          <t>EV/EBITDA Bull Multiple</t>
        </is>
      </c>
      <c r="B26" s="3" t="inlineStr"/>
      <c r="C26" s="12" t="inlineStr">
        <is>
          <t>20x</t>
        </is>
      </c>
      <c r="D26" s="3" t="inlineStr"/>
      <c r="E26" s="3" t="inlineStr">
        <is>
          <t>Premium for proven synergies</t>
        </is>
      </c>
    </row>
    <row r="27">
      <c r="A27" s="2" t="inlineStr">
        <is>
          <t>Implied EV (Bear)</t>
        </is>
      </c>
      <c r="B27" s="3" t="inlineStr"/>
      <c r="C27" s="12" t="inlineStr">
        <is>
          <t>$10.8B</t>
        </is>
      </c>
      <c r="D27" s="3" t="inlineStr"/>
      <c r="E27" s="3" t="inlineStr">
        <is>
          <t>Below current $32.3B EV - bear EV/EBITDA unrealistic</t>
        </is>
      </c>
    </row>
    <row r="28">
      <c r="A28" s="2" t="inlineStr">
        <is>
          <t>Implied EV (Base)</t>
        </is>
      </c>
      <c r="B28" s="3" t="inlineStr"/>
      <c r="C28" s="12" t="inlineStr">
        <is>
          <t>$38.4B</t>
        </is>
      </c>
      <c r="D28" s="3" t="inlineStr"/>
      <c r="E28" s="3" t="inlineStr">
        <is>
          <t>Near current</t>
        </is>
      </c>
    </row>
    <row r="29">
      <c r="A29" s="2" t="inlineStr">
        <is>
          <t>Implied EV (Bull)</t>
        </is>
      </c>
      <c r="B29" s="3" t="inlineStr"/>
      <c r="C29" s="12" t="inlineStr">
        <is>
          <t>$60.0B</t>
        </is>
      </c>
      <c r="D29" s="3" t="inlineStr"/>
      <c r="E29" s="3" t="inlineStr">
        <is>
          <t>Synergies proven</t>
        </is>
      </c>
    </row>
  </sheetData>
  <mergeCells count="2">
    <mergeCell ref="A1:I1"/>
    <mergeCell ref="C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15" customWidth="1" min="4" max="4"/>
    <col width="55" customWidth="1" min="5" max="5"/>
  </cols>
  <sheetData>
    <row r="1">
      <c r="A1" s="1" t="inlineStr">
        <is>
          <t>Actuals Source Audit - OMC</t>
        </is>
      </c>
    </row>
    <row r="2">
      <c r="A2" s="9" t="inlineStr">
        <is>
          <t>Every data point with source URL and extraction date</t>
        </is>
      </c>
    </row>
    <row r="4">
      <c r="A4" s="8" t="inlineStr">
        <is>
          <t>Data Point</t>
        </is>
      </c>
      <c r="B4" s="8" t="inlineStr">
        <is>
          <t>Value</t>
        </is>
      </c>
      <c r="C4" s="8" t="inlineStr">
        <is>
          <t>Source</t>
        </is>
      </c>
      <c r="D4" s="8" t="inlineStr">
        <is>
          <t>Date</t>
        </is>
      </c>
      <c r="E4" s="8" t="inlineStr">
        <is>
          <t>Notes</t>
        </is>
      </c>
    </row>
    <row r="5">
      <c r="A5" s="3" t="inlineStr">
        <is>
          <t>Stock Price</t>
        </is>
      </c>
      <c r="B5" s="3" t="inlineStr">
        <is>
          <t>$87.89</t>
        </is>
      </c>
      <c r="C5" s="3" t="inlineStr">
        <is>
          <t>Yahoo Finance Key Stats</t>
        </is>
      </c>
      <c r="D5" s="3" t="inlineStr">
        <is>
          <t>2026-08-26</t>
        </is>
      </c>
      <c r="E5" s="3" t="inlineStr">
        <is>
          <t>Close price</t>
        </is>
      </c>
    </row>
    <row r="6">
      <c r="A6" s="3" t="inlineStr">
        <is>
          <t>Market Cap</t>
        </is>
      </c>
      <c r="B6" s="3" t="inlineStr">
        <is>
          <t>$24.20B</t>
        </is>
      </c>
      <c r="C6" s="3" t="inlineStr">
        <is>
          <t>Yahoo Finance Key Stats</t>
        </is>
      </c>
      <c r="D6" s="3" t="inlineStr">
        <is>
          <t>2026-08-26</t>
        </is>
      </c>
      <c r="E6" s="3" t="inlineStr"/>
    </row>
    <row r="7">
      <c r="A7" s="3" t="inlineStr">
        <is>
          <t>Enterprise Value</t>
        </is>
      </c>
      <c r="B7" s="3" t="inlineStr">
        <is>
          <t>$32.27B</t>
        </is>
      </c>
      <c r="C7" s="3" t="inlineStr">
        <is>
          <t>Yahoo Finance Key Stats</t>
        </is>
      </c>
      <c r="D7" s="3" t="inlineStr">
        <is>
          <t>2026-08-26</t>
        </is>
      </c>
      <c r="E7" s="3" t="inlineStr"/>
    </row>
    <row r="8">
      <c r="A8" s="3" t="inlineStr">
        <is>
          <t>Shares Outstanding</t>
        </is>
      </c>
      <c r="B8" s="3" t="inlineStr">
        <is>
          <t>274.35M</t>
        </is>
      </c>
      <c r="C8" s="3" t="inlineStr">
        <is>
          <t>Yahoo Finance Key Stats</t>
        </is>
      </c>
      <c r="D8" s="3" t="inlineStr">
        <is>
          <t>2026-08-26</t>
        </is>
      </c>
      <c r="E8" s="3" t="inlineStr">
        <is>
          <t>Significant increase post-acquisition (~196M pre)</t>
        </is>
      </c>
    </row>
    <row r="9">
      <c r="A9" s="3" t="inlineStr">
        <is>
          <t>Beta (5Y Monthly)</t>
        </is>
      </c>
      <c r="B9" s="3" t="inlineStr">
        <is>
          <t>0.66</t>
        </is>
      </c>
      <c r="C9" s="3" t="inlineStr">
        <is>
          <t>Yahoo Finance Key Stats</t>
        </is>
      </c>
      <c r="D9" s="3" t="inlineStr">
        <is>
          <t>2026-08-26</t>
        </is>
      </c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>
        <is>
          <t>TTM Revenue</t>
        </is>
      </c>
      <c r="B11" s="3" t="inlineStr">
        <is>
          <t>$22,371M</t>
        </is>
      </c>
      <c r="C11" s="3" t="inlineStr">
        <is>
          <t>Yahoo Finance Income Statement</t>
        </is>
      </c>
      <c r="D11" s="3" t="inlineStr">
        <is>
          <t>2026-08-26</t>
        </is>
      </c>
      <c r="E11" s="3" t="inlineStr">
        <is>
          <t>In thousands; acquired base</t>
        </is>
      </c>
    </row>
    <row r="12">
      <c r="A12" s="3" t="inlineStr">
        <is>
          <t>FY2025 Revenue</t>
        </is>
      </c>
      <c r="B12" s="3" t="inlineStr">
        <is>
          <t>$17,272M</t>
        </is>
      </c>
      <c r="C12" s="3" t="inlineStr">
        <is>
          <t>Yahoo Finance Income Statement</t>
        </is>
      </c>
      <c r="D12" s="3" t="inlineStr">
        <is>
          <t>2026-08-26</t>
        </is>
      </c>
      <c r="E12" s="3" t="inlineStr">
        <is>
          <t>Acquisition year</t>
        </is>
      </c>
    </row>
    <row r="13">
      <c r="A13" s="3" t="inlineStr">
        <is>
          <t>FY2024 Revenue</t>
        </is>
      </c>
      <c r="B13" s="3" t="inlineStr">
        <is>
          <t>$15,689M</t>
        </is>
      </c>
      <c r="C13" s="3" t="inlineStr">
        <is>
          <t>Yahoo Finance Income Statement</t>
        </is>
      </c>
      <c r="D13" s="3" t="inlineStr">
        <is>
          <t>2026-08-26</t>
        </is>
      </c>
      <c r="E13" s="3" t="inlineStr">
        <is>
          <t>Pre-acquisition comparable</t>
        </is>
      </c>
    </row>
    <row r="14">
      <c r="A14" s="3" t="inlineStr">
        <is>
          <t>TTM Gross Profit</t>
        </is>
      </c>
      <c r="B14" s="3" t="inlineStr">
        <is>
          <t>$2,505M</t>
        </is>
      </c>
      <c r="C14" s="3" t="inlineStr">
        <is>
          <t>Yahoo Finance Income Statement</t>
        </is>
      </c>
      <c r="D14" s="3" t="inlineStr">
        <is>
          <t>2026-08-26</t>
        </is>
      </c>
      <c r="E14" s="3" t="inlineStr"/>
    </row>
    <row r="15">
      <c r="A15" s="3" t="inlineStr">
        <is>
          <t>TTM Operating Income</t>
        </is>
      </c>
      <c r="B15" s="3" t="inlineStr">
        <is>
          <t>$1,122M</t>
        </is>
      </c>
      <c r="C15" s="3" t="inlineStr">
        <is>
          <t>Yahoo Finance Income Statement</t>
        </is>
      </c>
      <c r="D15" s="3" t="inlineStr">
        <is>
          <t>2026-08-26</t>
        </is>
      </c>
      <c r="E15" s="3" t="inlineStr">
        <is>
          <t>Suppressed by integration costs</t>
        </is>
      </c>
    </row>
    <row r="16">
      <c r="A16" s="3" t="inlineStr">
        <is>
          <t>FY2025 Operating Income</t>
        </is>
      </c>
      <c r="B16" s="3" t="inlineStr">
        <is>
          <t>$445M</t>
        </is>
      </c>
      <c r="C16" s="3" t="inlineStr">
        <is>
          <t>Yahoo Finance Income Statement</t>
        </is>
      </c>
      <c r="D16" s="3" t="inlineStr">
        <is>
          <t>2026-08-26</t>
        </is>
      </c>
      <c r="E16" s="3" t="inlineStr">
        <is>
          <t>Collapsed from $2,275M FY24</t>
        </is>
      </c>
    </row>
    <row r="17">
      <c r="A17" s="3" t="inlineStr">
        <is>
          <t>TTM Net Income</t>
        </is>
      </c>
      <c r="B17" s="3" t="inlineStr">
        <is>
          <t>$390M</t>
        </is>
      </c>
      <c r="C17" s="3" t="inlineStr">
        <is>
          <t>Yahoo Finance Income Statement</t>
        </is>
      </c>
      <c r="D17" s="3" t="inlineStr">
        <is>
          <t>2026-08-26</t>
        </is>
      </c>
      <c r="E17" s="3" t="inlineStr"/>
    </row>
    <row r="18">
      <c r="A18" s="3" t="inlineStr">
        <is>
          <t>FY2025 Net Income</t>
        </is>
      </c>
      <c r="B18" s="3" t="inlineStr">
        <is>
          <t>$-55M</t>
        </is>
      </c>
      <c r="C18" s="3" t="inlineStr">
        <is>
          <t>Yahoo Finance Income Statement</t>
        </is>
      </c>
      <c r="D18" s="3" t="inlineStr">
        <is>
          <t>2026-08-26</t>
        </is>
      </c>
      <c r="E18" s="3" t="inlineStr">
        <is>
          <t>Loss in acquisition year</t>
        </is>
      </c>
    </row>
    <row r="19">
      <c r="A19" s="3" t="inlineStr">
        <is>
          <t>TTM Diluted EPS</t>
        </is>
      </c>
      <c r="B19" s="3" t="inlineStr">
        <is>
          <t>$0.37</t>
        </is>
      </c>
      <c r="C19" s="3" t="inlineStr">
        <is>
          <t>Yahoo Finance Income Statement</t>
        </is>
      </c>
      <c r="D19" s="3" t="inlineStr">
        <is>
          <t>2026-08-26</t>
        </is>
      </c>
      <c r="E19" s="3" t="inlineStr">
        <is>
          <t>Distorted by mix of FY25 loss + H1 FY26</t>
        </is>
      </c>
    </row>
    <row r="20">
      <c r="A20" s="3" t="inlineStr">
        <is>
          <t>TTM EBITDA</t>
        </is>
      </c>
      <c r="B20" s="3" t="inlineStr">
        <is>
          <t>$1,736M</t>
        </is>
      </c>
      <c r="C20" s="3" t="inlineStr">
        <is>
          <t>Yahoo Finance Income Statement</t>
        </is>
      </c>
      <c r="D20" s="3" t="inlineStr">
        <is>
          <t>2026-08-26</t>
        </is>
      </c>
      <c r="E20" s="3" t="inlineStr">
        <is>
          <t>Calculated by Yahoo/Refinitiv</t>
        </is>
      </c>
    </row>
    <row r="21">
      <c r="A21" s="3" t="inlineStr">
        <is>
          <t>TTM EBIT</t>
        </is>
      </c>
      <c r="B21" s="3" t="inlineStr">
        <is>
          <t>$1,244M</t>
        </is>
      </c>
      <c r="C21" s="3" t="inlineStr">
        <is>
          <t>Yahoo Finance Income Statement</t>
        </is>
      </c>
      <c r="D21" s="3" t="inlineStr">
        <is>
          <t>2026-08-26</t>
        </is>
      </c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>
        <is>
          <t>Total Assets</t>
        </is>
      </c>
      <c r="B23" s="3" t="inlineStr">
        <is>
          <t>$54,415M</t>
        </is>
      </c>
      <c r="C23" s="3" t="inlineStr">
        <is>
          <t>Yahoo Finance Balance Sheet</t>
        </is>
      </c>
      <c r="D23" s="3" t="inlineStr">
        <is>
          <t>2026-08-26</t>
        </is>
      </c>
      <c r="E23" s="3" t="inlineStr">
        <is>
          <t>Doubled from $29,621M FY25 - acquisition</t>
        </is>
      </c>
    </row>
    <row r="24">
      <c r="A24" s="3" t="inlineStr">
        <is>
          <t>Total Debt (BS)</t>
        </is>
      </c>
      <c r="B24" s="3" t="inlineStr">
        <is>
          <t>$10,734M</t>
        </is>
      </c>
      <c r="C24" s="3" t="inlineStr">
        <is>
          <t>Yahoo Finance Balance Sheet</t>
        </is>
      </c>
      <c r="D24" s="3" t="inlineStr">
        <is>
          <t>2026-08-26</t>
        </is>
      </c>
      <c r="E24" s="3" t="inlineStr">
        <is>
          <t>FY25 figure</t>
        </is>
      </c>
    </row>
    <row r="25">
      <c r="A25" s="3" t="inlineStr">
        <is>
          <t>Total Debt (Key Stats)</t>
        </is>
      </c>
      <c r="B25" s="3" t="inlineStr">
        <is>
          <t>$11,410M</t>
        </is>
      </c>
      <c r="C25" s="3" t="inlineStr">
        <is>
          <t>Yahoo Finance Key Stats</t>
        </is>
      </c>
      <c r="D25" s="3" t="inlineStr">
        <is>
          <t>2026-08-26</t>
        </is>
      </c>
      <c r="E25" s="3" t="inlineStr">
        <is>
          <t>MRQ; may include capital leases</t>
        </is>
      </c>
    </row>
    <row r="26">
      <c r="A26" s="3" t="inlineStr">
        <is>
          <t>Total Cash</t>
        </is>
      </c>
      <c r="B26" s="3" t="inlineStr">
        <is>
          <t>$3,340M</t>
        </is>
      </c>
      <c r="C26" s="3" t="inlineStr">
        <is>
          <t>Yahoo Finance Key Stats</t>
        </is>
      </c>
      <c r="D26" s="3" t="inlineStr">
        <is>
          <t>2026-08-26</t>
        </is>
      </c>
      <c r="E26" s="3" t="inlineStr">
        <is>
          <t>MRQ</t>
        </is>
      </c>
    </row>
    <row r="27">
      <c r="A27" s="3" t="inlineStr">
        <is>
          <t>Net Debt (BS)</t>
        </is>
      </c>
      <c r="B27" s="3" t="inlineStr">
        <is>
          <t>$2,235M</t>
        </is>
      </c>
      <c r="C27" s="3" t="inlineStr">
        <is>
          <t>Calculated from BS</t>
        </is>
      </c>
      <c r="D27" s="3" t="inlineStr">
        <is>
          <t>2026-08-26</t>
        </is>
      </c>
      <c r="E27" s="3" t="inlineStr">
        <is>
          <t>Debt - Cash</t>
        </is>
      </c>
    </row>
    <row r="28">
      <c r="A28" s="3" t="inlineStr">
        <is>
          <t>Common Stock Equity</t>
        </is>
      </c>
      <c r="B28" s="3" t="inlineStr">
        <is>
          <t>$12,046M</t>
        </is>
      </c>
      <c r="C28" s="3" t="inlineStr">
        <is>
          <t>Yahoo Finance Balance Sheet</t>
        </is>
      </c>
      <c r="D28" s="3" t="inlineStr">
        <is>
          <t>2026-08-26</t>
        </is>
      </c>
      <c r="E28" s="3" t="inlineStr">
        <is>
          <t>FY25 figure</t>
        </is>
      </c>
    </row>
    <row r="29">
      <c r="A29" s="3" t="inlineStr"/>
      <c r="B29" s="3" t="inlineStr"/>
      <c r="C29" s="3" t="inlineStr"/>
      <c r="D29" s="3" t="inlineStr"/>
      <c r="E29" s="3" t="inlineStr"/>
    </row>
    <row r="30">
      <c r="A30" s="3" t="inlineStr">
        <is>
          <t>TTM Operating Cash Flow</t>
        </is>
      </c>
      <c r="B30" s="3" t="inlineStr">
        <is>
          <t>$2,583M</t>
        </is>
      </c>
      <c r="C30" s="3" t="inlineStr">
        <is>
          <t>Yahoo Finance Cash Flow</t>
        </is>
      </c>
      <c r="D30" s="3" t="inlineStr">
        <is>
          <t>2026-08-26</t>
        </is>
      </c>
      <c r="E30" s="3" t="inlineStr"/>
    </row>
    <row r="31">
      <c r="A31" s="3" t="inlineStr">
        <is>
          <t>TTM Levered FCF</t>
        </is>
      </c>
      <c r="B31" s="3" t="inlineStr">
        <is>
          <t>$4,260M</t>
        </is>
      </c>
      <c r="C31" s="3" t="inlineStr">
        <is>
          <t>Yahoo Finance Key Stats</t>
        </is>
      </c>
      <c r="D31" s="3" t="inlineStr">
        <is>
          <t>2026-08-26</t>
        </is>
      </c>
      <c r="E31" s="3" t="inlineStr">
        <is>
          <t>Includes investment portfolio activity</t>
        </is>
      </c>
    </row>
    <row r="32">
      <c r="A32" s="3" t="inlineStr"/>
      <c r="B32" s="3" t="inlineStr"/>
      <c r="C32" s="3" t="inlineStr"/>
      <c r="D32" s="3" t="inlineStr"/>
      <c r="E32" s="3" t="inlineStr"/>
    </row>
    <row r="33">
      <c r="A33" s="3" t="inlineStr">
        <is>
          <t>Forward P/E</t>
        </is>
      </c>
      <c r="B33" s="3" t="inlineStr">
        <is>
          <t>8.37x</t>
        </is>
      </c>
      <c r="C33" s="3" t="inlineStr">
        <is>
          <t>Yahoo Finance Key Stats</t>
        </is>
      </c>
      <c r="D33" s="3" t="inlineStr">
        <is>
          <t>2026-08-26</t>
        </is>
      </c>
      <c r="E33" s="3" t="inlineStr">
        <is>
          <t>On FY2026 consensus</t>
        </is>
      </c>
    </row>
    <row r="34">
      <c r="A34" s="3" t="inlineStr">
        <is>
          <t>Fwd P/E (Current Qtr)</t>
        </is>
      </c>
      <c r="B34" s="3" t="inlineStr">
        <is>
          <t>N/A</t>
        </is>
      </c>
      <c r="C34" s="3" t="inlineStr">
        <is>
          <t>Yahoo Finance Key Stats</t>
        </is>
      </c>
      <c r="D34" s="3" t="inlineStr">
        <is>
          <t>2026-08-26</t>
        </is>
      </c>
      <c r="E34" s="3" t="inlineStr">
        <is>
          <t>Not separately listed</t>
        </is>
      </c>
    </row>
    <row r="35">
      <c r="A35" s="3" t="inlineStr">
        <is>
          <t>P/S Ratio</t>
        </is>
      </c>
      <c r="B35" s="3" t="inlineStr">
        <is>
          <t>0.99x</t>
        </is>
      </c>
      <c r="C35" s="3" t="inlineStr">
        <is>
          <t>Yahoo Finance Key Stats</t>
        </is>
      </c>
      <c r="D35" s="3" t="inlineStr">
        <is>
          <t>2026-08-26</t>
        </is>
      </c>
      <c r="E35" s="3" t="inlineStr"/>
    </row>
    <row r="36">
      <c r="A36" s="3" t="inlineStr">
        <is>
          <t>P/B Ratio</t>
        </is>
      </c>
      <c r="B36" s="3" t="inlineStr">
        <is>
          <t>2.50x</t>
        </is>
      </c>
      <c r="C36" s="3" t="inlineStr">
        <is>
          <t>Yahoo Finance Key Stats</t>
        </is>
      </c>
      <c r="D36" s="3" t="inlineStr">
        <is>
          <t>2026-08-26</t>
        </is>
      </c>
      <c r="E36" s="3" t="inlineStr"/>
    </row>
    <row r="37">
      <c r="A37" s="3" t="inlineStr">
        <is>
          <t>EV/Revenue</t>
        </is>
      </c>
      <c r="B37" s="3" t="inlineStr">
        <is>
          <t>1.44x</t>
        </is>
      </c>
      <c r="C37" s="3" t="inlineStr">
        <is>
          <t>Yahoo Finance Key Stats</t>
        </is>
      </c>
      <c r="D37" s="3" t="inlineStr">
        <is>
          <t>2026-08-26</t>
        </is>
      </c>
      <c r="E37" s="3" t="inlineStr"/>
    </row>
    <row r="38">
      <c r="A38" s="3" t="inlineStr">
        <is>
          <t>EV/EBITDA</t>
        </is>
      </c>
      <c r="B38" s="3" t="inlineStr">
        <is>
          <t>18.59x</t>
        </is>
      </c>
      <c r="C38" s="3" t="inlineStr">
        <is>
          <t>Yahoo Finance Key Stats</t>
        </is>
      </c>
      <c r="D38" s="3" t="inlineStr">
        <is>
          <t>2026-08-26</t>
        </is>
      </c>
      <c r="E38" s="3" t="inlineStr">
        <is>
          <t>S&amp;P Global EBITDA calc</t>
        </is>
      </c>
    </row>
    <row r="39">
      <c r="A39" s="3" t="inlineStr"/>
      <c r="B39" s="3" t="inlineStr"/>
      <c r="C39" s="3" t="inlineStr"/>
      <c r="D39" s="3" t="inlineStr"/>
      <c r="E39" s="3" t="inlineStr"/>
    </row>
    <row r="40">
      <c r="A40" s="3" t="inlineStr">
        <is>
          <t>Analyst EPS Consensus FY26</t>
        </is>
      </c>
      <c r="B40" s="3" t="inlineStr">
        <is>
          <t>$10.59</t>
        </is>
      </c>
      <c r="C40" s="3" t="inlineStr">
        <is>
          <t>Yahoo Finance Analysis</t>
        </is>
      </c>
      <c r="D40" s="3" t="inlineStr">
        <is>
          <t>2026-08-26</t>
        </is>
      </c>
      <c r="E40" s="3" t="inlineStr">
        <is>
          <t>12 analysts; Normalised/Non-GAAP</t>
        </is>
      </c>
    </row>
    <row r="41">
      <c r="A41" s="3" t="inlineStr">
        <is>
          <t>Analyst EPS Consensus FY27</t>
        </is>
      </c>
      <c r="B41" s="3" t="inlineStr">
        <is>
          <t>$12.04</t>
        </is>
      </c>
      <c r="C41" s="3" t="inlineStr">
        <is>
          <t>Yahoo Finance Analysis</t>
        </is>
      </c>
      <c r="D41" s="3" t="inlineStr">
        <is>
          <t>2026-08-26</t>
        </is>
      </c>
      <c r="E41" s="3" t="inlineStr">
        <is>
          <t>12 analysts</t>
        </is>
      </c>
    </row>
    <row r="42">
      <c r="A42" s="3" t="inlineStr">
        <is>
          <t>Analyst Revenue FY26</t>
        </is>
      </c>
      <c r="B42" s="3" t="inlineStr">
        <is>
          <t>$25,840M</t>
        </is>
      </c>
      <c r="C42" s="3" t="inlineStr">
        <is>
          <t>Yahoo Finance Analysis</t>
        </is>
      </c>
      <c r="D42" s="3" t="inlineStr">
        <is>
          <t>2026-08-26</t>
        </is>
      </c>
      <c r="E42" s="3" t="inlineStr">
        <is>
          <t>11 analysts</t>
        </is>
      </c>
    </row>
    <row r="43">
      <c r="A43" s="3" t="inlineStr">
        <is>
          <t>Analyst Revenue FY27</t>
        </is>
      </c>
      <c r="B43" s="3" t="inlineStr">
        <is>
          <t>$25,110M</t>
        </is>
      </c>
      <c r="C43" s="3" t="inlineStr">
        <is>
          <t>Yahoo Finance Analysis</t>
        </is>
      </c>
      <c r="D43" s="3" t="inlineStr">
        <is>
          <t>2026-08-26</t>
        </is>
      </c>
      <c r="E43" s="3" t="inlineStr">
        <is>
          <t>11 analysts - slight decline expected</t>
        </is>
      </c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>
        <is>
          <t>Next Earnings Date</t>
        </is>
      </c>
      <c r="B45" s="3" t="inlineStr">
        <is>
          <t>Oct 20, 2026</t>
        </is>
      </c>
      <c r="C45" s="3" t="inlineStr">
        <is>
          <t>Yahoo Finance Profile</t>
        </is>
      </c>
      <c r="D45" s="3" t="inlineStr">
        <is>
          <t>2026-08-26</t>
        </is>
      </c>
      <c r="E45" s="3" t="inlineStr"/>
    </row>
    <row r="46">
      <c r="A46" s="3" t="inlineStr">
        <is>
          <t>Dividend Ex-Date</t>
        </is>
      </c>
      <c r="B46" s="3" t="inlineStr">
        <is>
          <t>Sep 18, 2026</t>
        </is>
      </c>
      <c r="C46" s="3" t="inlineStr">
        <is>
          <t>Yahoo Finance Profile</t>
        </is>
      </c>
      <c r="D46" s="3" t="inlineStr">
        <is>
          <t>2026-08-26</t>
        </is>
      </c>
      <c r="E46" s="3" t="inlineStr">
        <is>
          <t>$0.80 quarterly</t>
        </is>
      </c>
    </row>
    <row r="47">
      <c r="A47" s="3" t="inlineStr">
        <is>
          <t>10Y Treasury Rate</t>
        </is>
      </c>
      <c r="B47" s="3" t="inlineStr">
        <is>
          <t>4.656%</t>
        </is>
      </c>
      <c r="C47" s="3" t="inlineStr">
        <is>
          <t>CNBC US10Y</t>
        </is>
      </c>
      <c r="D47" s="3" t="inlineStr">
        <is>
          <t>2026-08-26</t>
        </is>
      </c>
      <c r="E47" s="3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  <col width="20" customWidth="1" min="3" max="3"/>
  </cols>
  <sheetData>
    <row r="1">
      <c r="A1" s="1" t="inlineStr">
        <is>
          <t>Open Questions - OMC</t>
        </is>
      </c>
    </row>
    <row r="3">
      <c r="A3" s="8" t="inlineStr">
        <is>
          <t>#</t>
        </is>
      </c>
      <c r="B3" s="8" t="inlineStr">
        <is>
          <t>Question</t>
        </is>
      </c>
      <c r="C3" s="8" t="inlineStr">
        <is>
          <t>Category</t>
        </is>
      </c>
    </row>
    <row r="4">
      <c r="A4" s="2" t="inlineStr">
        <is>
          <t>1</t>
        </is>
      </c>
      <c r="B4" s="3" t="inlineStr">
        <is>
          <t>Revenue jumped 29.5% YoY (FY25 $17.3B to TTM $22.4B) and assets nearly doubled ($29.6B to $54.4B). What is the size and identity of the acquisition? Was it the Entertainment One (EONE) acquisition announced in January 2025 for ~$830M net cash?</t>
        </is>
      </c>
      <c r="C4" s="3" t="inlineStr">
        <is>
          <t>Acquisition</t>
        </is>
      </c>
    </row>
    <row r="5">
      <c r="A5" s="2" t="inlineStr">
        <is>
          <t>2</t>
        </is>
      </c>
      <c r="B5" s="3" t="inlineStr">
        <is>
          <t>Oper. Income collapsed from $2.27B (FY24) to $445M (FY25) and net income flipped to -$55M loss. Is this entirely acquisition integration, or does it signal organic margin weakness in the advertising franchise?</t>
        </is>
      </c>
      <c r="C5" s="3" t="inlineStr">
        <is>
          <t>Earnings Quality</t>
        </is>
      </c>
    </row>
    <row r="6">
      <c r="A6" s="2" t="inlineStr">
        <is>
          <t>3</t>
        </is>
      </c>
      <c r="B6" s="3" t="inlineStr">
        <is>
          <t>Debt on Key Stats ($11.41B) vs Balance Sheet ($10.73B) - what accounts for the $680M difference? Capital lease obligations now $1.62B (up from $814M FY24) - does the Key Stats figure include these?</t>
        </is>
      </c>
      <c r="C6" s="3" t="inlineStr">
        <is>
          <t>Capital Structure</t>
        </is>
      </c>
    </row>
    <row r="7">
      <c r="A7" s="2" t="inlineStr">
        <is>
          <t>4</t>
        </is>
      </c>
      <c r="B7" s="3" t="inlineStr">
        <is>
          <t>Share count expanded from ~196M (FY24) to 274.35M (current) - a 40% increase. Was this all acquisition-related stock consideration? Any PIPE financing or debt-to-equity swaps?</t>
        </is>
      </c>
      <c r="C7" s="3" t="inlineStr">
        <is>
          <t>Dilution</t>
        </is>
      </c>
    </row>
    <row r="8">
      <c r="A8" s="2" t="inlineStr">
        <is>
          <t>5</t>
        </is>
      </c>
      <c r="B8" s="3" t="inlineStr">
        <is>
          <t>Payout ratio of 837.84% is a mathematical artifact of depressed TTM earnings. What is the normalised payout ratio against forward earnings? At $10.59 FY26 EPS and $3.20 dividend, the ratio is ~30%.</t>
        </is>
      </c>
      <c r="C8" s="3" t="inlineStr">
        <is>
          <t>Dividends</t>
        </is>
      </c>
    </row>
    <row r="9">
      <c r="A9" s="2" t="inlineStr">
        <is>
          <t>6</t>
        </is>
      </c>
      <c r="B9" s="3" t="inlineStr">
        <is>
          <t>Capital lease obligations doubled from $814M to $1.62B. This signals new office space, production facilities, or fleet commitments. What are the terms?</t>
        </is>
      </c>
      <c r="C9" s="3" t="inlineStr">
        <is>
          <t>Capital Lease</t>
        </is>
      </c>
    </row>
    <row r="10">
      <c r="A10" s="2" t="inlineStr">
        <is>
          <t>7</t>
        </is>
      </c>
      <c r="B10" s="3" t="inlineStr">
        <is>
          <t>TTM levered FCF of $4.26B appears dramatically higher than OCF of $2.58B - the $1.68B gap likely represents investment portfolio mark-to-market or asset sales, not operating cash flow.</t>
        </is>
      </c>
      <c r="C10" s="3" t="inlineStr">
        <is>
          <t>Cash Flow Quality</t>
        </is>
      </c>
    </row>
    <row r="11">
      <c r="A11" s="2" t="inlineStr">
        <is>
          <t>8</t>
        </is>
      </c>
      <c r="B11" s="3" t="inlineStr">
        <is>
          <t>FY25 gross profit was only $1.47B (8.5% margin) vs $2.92B (18.6%) in FY24. The acquired entity has lower margins than the existing portfolio - what is the blended margin trajectory?</t>
        </is>
      </c>
      <c r="C11" s="3" t="inlineStr">
        <is>
          <t>Margin Profile</t>
        </is>
      </c>
    </row>
    <row r="12">
      <c r="A12" s="2" t="inlineStr">
        <is>
          <t>9</t>
        </is>
      </c>
      <c r="B12" s="3" t="inlineStr">
        <is>
          <t>EV/EBITDA of 18.59x is substantially above the 10-12x peer range for advertising agencies. Does the market think integration synergies will return EBITDA to FY24 levels?</t>
        </is>
      </c>
      <c r="C12" s="3" t="inlineStr">
        <is>
          <t>Valuation Calibration</t>
        </is>
      </c>
    </row>
    <row r="13">
      <c r="A13" s="2" t="inlineStr">
        <is>
          <t>10</t>
        </is>
      </c>
      <c r="B13" s="3" t="inlineStr">
        <is>
          <t>What is the entertainment segment's contribution to revenue growth vs. organic advertising growth? If the acquisition was EONE, how does that change the risk profile given global entertainment industry headwinds?</t>
        </is>
      </c>
      <c r="C13" s="3" t="inlineStr">
        <is>
          <t>Segment Mix</t>
        </is>
      </c>
    </row>
    <row r="14">
      <c r="A14" s="2" t="inlineStr">
        <is>
          <t>11</t>
        </is>
      </c>
      <c r="B14" s="3" t="inlineStr">
        <is>
          <t>Next earnings date is Oct 20, 2026 (Q3 FY26). Will this be the first post-acquisition quarter with comparables? Full year of combined results would be FY26.</t>
        </is>
      </c>
      <c r="C14" s="3" t="inlineStr">
        <is>
          <t>Catalyst</t>
        </is>
      </c>
    </row>
    <row r="15">
      <c r="A15" s="2" t="inlineStr">
        <is>
          <t>12</t>
        </is>
      </c>
      <c r="B15" s="3" t="inlineStr">
        <is>
          <t>Management guidance: Has John Wren or the co-CEOs provided revenue or margin guidance for the combined entity? Any synergy target language in Q2 FY26 earnings?</t>
        </is>
      </c>
      <c r="C15" s="3" t="inlineStr">
        <is>
          <t>Management Guidance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65" customWidth="1" min="3" max="3"/>
  </cols>
  <sheetData>
    <row r="1">
      <c r="A1" s="1" t="inlineStr">
        <is>
          <t>Sources - OMC</t>
        </is>
      </c>
    </row>
    <row r="3">
      <c r="A3" s="8" t="inlineStr">
        <is>
          <t>#</t>
        </is>
      </c>
      <c r="B3" s="8" t="inlineStr">
        <is>
          <t>Source</t>
        </is>
      </c>
      <c r="C3" s="8" t="inlineStr">
        <is>
          <t>URL</t>
        </is>
      </c>
    </row>
    <row r="4">
      <c r="A4" s="3" t="inlineStr">
        <is>
          <t>1</t>
        </is>
      </c>
      <c r="B4" s="3" t="inlineStr">
        <is>
          <t>Yahoo Finance - Key Statistics</t>
        </is>
      </c>
      <c r="C4" s="3" t="inlineStr">
        <is>
          <t>https://finance.yahoo.com/quote/OMC/key-statistics/</t>
        </is>
      </c>
    </row>
    <row r="5">
      <c r="A5" s="3" t="inlineStr">
        <is>
          <t>2</t>
        </is>
      </c>
      <c r="B5" s="3" t="inlineStr">
        <is>
          <t>Yahoo Finance - Income Statement</t>
        </is>
      </c>
      <c r="C5" s="3" t="inlineStr">
        <is>
          <t>https://finance.yahoo.com/quote/OMC/financials/</t>
        </is>
      </c>
    </row>
    <row r="6">
      <c r="A6" s="3" t="inlineStr">
        <is>
          <t>3</t>
        </is>
      </c>
      <c r="B6" s="3" t="inlineStr">
        <is>
          <t>Yahoo Finance - Balance Sheet</t>
        </is>
      </c>
      <c r="C6" s="3" t="inlineStr">
        <is>
          <t>https://finance.yahoo.com/quote/OMC/balance-sheet/</t>
        </is>
      </c>
    </row>
    <row r="7">
      <c r="A7" s="3" t="inlineStr">
        <is>
          <t>4</t>
        </is>
      </c>
      <c r="B7" s="3" t="inlineStr">
        <is>
          <t>Yahoo Finance - Cash Flow</t>
        </is>
      </c>
      <c r="C7" s="3" t="inlineStr">
        <is>
          <t>https://finance.yahoo.com/quote/OMC/cash-flow/</t>
        </is>
      </c>
    </row>
    <row r="8">
      <c r="A8" s="3" t="inlineStr">
        <is>
          <t>5</t>
        </is>
      </c>
      <c r="B8" s="3" t="inlineStr">
        <is>
          <t>Yahoo Finance - Analyst Estimates</t>
        </is>
      </c>
      <c r="C8" s="3" t="inlineStr">
        <is>
          <t>https://finance.yahoo.com/quote/OMC/analysis/</t>
        </is>
      </c>
    </row>
    <row r="9">
      <c r="A9" s="3" t="inlineStr">
        <is>
          <t>6</t>
        </is>
      </c>
      <c r="B9" s="3" t="inlineStr">
        <is>
          <t>Yahoo Finance - Company Profile</t>
        </is>
      </c>
      <c r="C9" s="3" t="inlineStr">
        <is>
          <t>https://finance.yahoo.com/quote/OMC/profile/</t>
        </is>
      </c>
    </row>
    <row r="10">
      <c r="A10" s="3" t="inlineStr">
        <is>
          <t>7</t>
        </is>
      </c>
      <c r="B10" s="3" t="inlineStr">
        <is>
          <t>CNBC - 10Y Treasury Yield</t>
        </is>
      </c>
      <c r="C10" s="3" t="inlineStr">
        <is>
          <t>https://www.cnbc.com/quotes/US10Y</t>
        </is>
      </c>
    </row>
    <row r="11">
      <c r="A11" s="3" t="inlineStr">
        <is>
          <t>8</t>
        </is>
      </c>
      <c r="B11" s="3" t="inlineStr">
        <is>
          <t>StockAnalysis (404 - unavailable for OMC)</t>
        </is>
      </c>
      <c r="C11" s="3" t="inlineStr">
        <is>
          <t>https://stockanalysis.com/quote/OMC/</t>
        </is>
      </c>
    </row>
    <row r="12">
      <c r="A12" s="3" t="inlineStr">
        <is>
          <t>9</t>
        </is>
      </c>
      <c r="B12" s="3" t="inlineStr">
        <is>
          <t>Omnicom Group Official Website</t>
        </is>
      </c>
      <c r="C12" s="3" t="inlineStr">
        <is>
          <t>https://www.omc.com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2026-08-27T03:12:10Z</dcterms:created>
  <dcterms:modified xsi:type="dcterms:W3CDTF">2026-08-27T03:12:10Z</dcterms:modified>
</cp:coreProperties>
</file>