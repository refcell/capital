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workbookPr/>
  <bookViews>
    <workbookView xWindow="0" yWindow="0" windowWidth="20000" windowHeight="12000"/>
  </bookViews>
  <sheets>
    <sheet name="Valuation" sheetId="1" r:id="rId1"/>
    <sheet name="WACC" sheetId="2" r:id="rId2"/>
    <sheet name="Scenarios" sheetId="3" r:id="rId3"/>
    <sheet name="Actuals Source Audit" sheetId="4" r:id="rId4"/>
    <sheet name="Questions" sheetId="5" r:id="rId5"/>
    <sheet name="Sources" sheetId="6" r:id="rId6"/>
  </sheets>
  <calcPr calcId="171027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#,##0.0"/>
    <numFmt numFmtId="165" formatCode="0.0%"/>
    <numFmt numFmtId="166" formatCode="$#,##0.00"/>
    <numFmt numFmtId="167" formatCode="$#,##0.0"/>
    <numFmt numFmtId="168" formatCode="0.0x"/>
    <numFmt numFmtId="169" formatCode="yyyy-mm-dd"/>
  </numFmts>
  <fonts count="4">
    <font>
      <sz val="11"/>
      <name val="Calibri"/>
    </font>
    <font>
      <b/>
      <sz val="15"/>
      <name val="Calibri"/>
    </font>
    <font>
      <b/>
      <sz val="11"/>
      <name val="Calibri"/>
    </font>
    <font>
      <color rgb="FFFFFFFF"/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3" fillId="3" borderId="1" xfId="0" applyFont="1" applyFill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0" fillId="0" borderId="1" xfId="0" applyAlignment="1" applyBorder="1">
      <alignment wrapText="1" vertical="top"/>
    </xf>
    <xf numFmtId="164" fontId="0" fillId="4" borderId="1" xfId="0" applyNumberFormat="1" applyFill="1" applyBorder="1"/>
    <xf numFmtId="165" fontId="0" fillId="4" borderId="1" xfId="0" applyNumberFormat="1" applyFill="1" applyBorder="1"/>
    <xf numFmtId="166" fontId="0" fillId="4" borderId="1" xfId="0" applyNumberFormat="1" applyFill="1" applyBorder="1"/>
    <xf numFmtId="0" fontId="2" fillId="4" borderId="1" xfId="0" applyFont="1" applyFill="1" applyBorder="1" applyAlignment="1">
      <alignment wrapText="1"/>
    </xf>
    <xf numFmtId="168" fontId="0" fillId="0" borderId="1" xfId="0" applyNumberFormat="1" applyBorder="1"/>
    <xf numFmtId="16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styles" Target="styles.xml"/>
<Relationship Id="rId8" Type="http://schemas.openxmlformats.org/officeDocument/2006/relationships/theme" Target="theme/theme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E78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</a:majorFont>
      <a:minorFont>
        <a:latin typeface="Calibri"/>
      </a:minorFont>
    </a:fontScheme>
    <a:fmtScheme name="Office">
      <a:fillStyleLst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</a:ln>
      </a:lnStyleLst>
      <a:effectStyleLst>
        <a:effectStyle>
          <a:effectLst/>
        </a:effectStyle>
      </a:effectStyleLst>
      <a:bgFillStyleLst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9"/>
  <sheetViews>
    <sheetView workbookViewId="0">
      <pane xSplit="1" ySplit="7" topLeftCell="B8" activePane="bottomRight" state="frozen"/>
    </sheetView>
  </sheetViews>
  <sheetFormatPr defaultRowHeight="15"/>
  <cols>
    <col min="1" max="1" width="34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</cols>
  <sheetData>
    <row r="1">
      <c r="A1" t="inlineStr" s="1">
        <is>
          <t>UP Fintech Holding Limited (NASDAQ: TIGR) DCF / Broker Valuation Model</t>
        </is>
      </c>
    </row>
    <row r="2">
      <c r="A2" t="inlineStr" s="2">
        <is>
          <t>Model date</t>
        </is>
      </c>
      <c r="B2" t="inlineStr">
        <is>
          <t>2026-05-27</t>
        </is>
      </c>
      <c r="C2" t="inlineStr" s="2">
        <is>
          <t>Reporting currency</t>
        </is>
      </c>
      <c r="D2" t="inlineStr">
        <is>
          <t>USD millions except per ADS data</t>
        </is>
      </c>
      <c r="E2" t="inlineStr" s="2">
        <is>
          <t>Valuation method</t>
        </is>
      </c>
      <c r="F2" t="inlineStr">
        <is>
          <t>Residual income + earnings/book scenarios</t>
        </is>
      </c>
    </row>
    <row r="3">
      <c r="A3" t="inlineStr" s="2">
        <is>
          <t>Ticker</t>
        </is>
      </c>
      <c r="B3" t="inlineStr">
        <is>
          <t>NASDAQ: TIGR</t>
        </is>
      </c>
      <c r="C3" t="inlineStr" s="2">
        <is>
          <t>CIK</t>
        </is>
      </c>
      <c r="D3" t="inlineStr">
        <is>
          <t>0001756699</t>
        </is>
      </c>
      <c r="E3" t="inlineStr" s="2">
        <is>
          <t>ADR ratio</t>
        </is>
      </c>
      <c r="F3" t="inlineStr">
        <is>
          <t>1 ADS = 15 Class A ordinary shares</t>
        </is>
      </c>
    </row>
    <row r="4">
      <c r="A4" t="inlineStr" s="2">
        <is>
          <t>Current stance</t>
        </is>
      </c>
      <c r="B4" t="inlineStr" s="8">
        <is>
          <t>Watch / speculative only if CSRC operating restrictions prove finite</t>
        </is>
      </c>
    </row>
    <row r="6">
      <c r="A6" t="inlineStr" s="3">
        <is>
          <t>Historical Actuals And Base Forecast</t>
        </is>
      </c>
    </row>
    <row r="7">
      <c r="A7" t="inlineStr" s="4">
        <is>
          <t>USD millions except per ADS/count rows</t>
        </is>
      </c>
      <c r="B7" t="inlineStr" s="4">
        <is>
          <t>FY2021A</t>
        </is>
      </c>
      <c r="C7" t="inlineStr" s="4">
        <is>
          <t>FY2022A</t>
        </is>
      </c>
      <c r="D7" t="inlineStr" s="4">
        <is>
          <t>FY2023A</t>
        </is>
      </c>
      <c r="E7" t="inlineStr" s="4">
        <is>
          <t>FY2024A</t>
        </is>
      </c>
      <c r="F7" t="inlineStr" s="4">
        <is>
          <t>FY2025A</t>
        </is>
      </c>
      <c r="G7" t="inlineStr" s="4">
        <is>
          <t>FY2026E</t>
        </is>
      </c>
      <c r="H7" t="inlineStr" s="4">
        <is>
          <t>FY2027E</t>
        </is>
      </c>
      <c r="I7" t="inlineStr" s="4">
        <is>
          <t>FY2028E</t>
        </is>
      </c>
      <c r="J7" t="inlineStr" s="4">
        <is>
          <t>FY2029E</t>
        </is>
      </c>
      <c r="K7" t="inlineStr" s="4">
        <is>
          <t>FY2030E</t>
        </is>
      </c>
    </row>
    <row r="8">
      <c r="A8" t="inlineStr" s="2">
        <is>
          <t>Total revenue</t>
        </is>
      </c>
      <c r="B8" s="5">
        <v>264.5</v>
      </c>
      <c r="C8" s="5">
        <v>225.4</v>
      </c>
      <c r="D8" s="5">
        <v>272.5</v>
      </c>
      <c r="E8" s="5">
        <v>391.5</v>
      </c>
      <c r="F8" s="5">
        <v>612.1</v>
      </c>
      <c r="G8" s="9">
        <f>F8*(1+G9)</f>
        <v>599.8580000000001</v>
      </c>
      <c r="H8" s="9">
        <f>G8*(1+H9)</f>
        <v>611.8551600000001</v>
      </c>
      <c r="I8" s="9">
        <f>H8*(1+I9)</f>
        <v>636.3293664000001</v>
      </c>
      <c r="J8" s="9">
        <f>I8*(1+J9)</f>
        <v>668.1458347200002</v>
      </c>
      <c r="K8" s="9">
        <f>J8*(1+K9)</f>
        <v>701.5531264560002</v>
      </c>
    </row>
    <row r="9">
      <c r="A9" t="inlineStr" s="2">
        <is>
          <t>Revenue growth</t>
        </is>
      </c>
      <c r="C9" s="6">
        <f>C8/B8-1</f>
        <v>-0.14782608695652166</v>
      </c>
      <c r="D9" s="6">
        <f>D8/C8-1</f>
        <v>0.2089618456078084</v>
      </c>
      <c r="E9" s="6">
        <f>E8/D8-1</f>
        <v>0.43669724770642193</v>
      </c>
      <c r="F9" s="6">
        <f>F8/E8-1</f>
        <v>0.5634738186462325</v>
      </c>
      <c r="G9" s="6">
        <v>-0.02</v>
      </c>
      <c r="H9" s="6">
        <v>0.02</v>
      </c>
      <c r="I9" s="6">
        <v>0.04</v>
      </c>
      <c r="J9" s="6">
        <v>0.05</v>
      </c>
      <c r="K9" s="6">
        <v>0.05</v>
      </c>
    </row>
    <row r="10">
      <c r="A10" t="inlineStr" s="2">
        <is>
          <t>Commissions</t>
        </is>
      </c>
      <c r="B10" s="5">
        <v>147.2</v>
      </c>
      <c r="C10" s="5">
        <v>108.1</v>
      </c>
      <c r="D10" s="5">
        <v>92.6</v>
      </c>
      <c r="E10" s="5">
        <v>159.0</v>
      </c>
      <c r="F10" s="5">
        <v>266.8</v>
      </c>
    </row>
    <row r="11">
      <c r="A11" t="inlineStr" s="2">
        <is>
          <t>Financing service fees</t>
        </is>
      </c>
      <c r="B11" s="5">
        <v>9.3</v>
      </c>
      <c r="C11" s="5">
        <v>7.9</v>
      </c>
      <c r="D11" s="5">
        <v>12.2</v>
      </c>
      <c r="E11" s="5">
        <v>11.3</v>
      </c>
      <c r="F11" s="5">
        <v>10.7</v>
      </c>
    </row>
    <row r="12">
      <c r="A12" t="inlineStr" s="2">
        <is>
          <t>Interest income</t>
        </is>
      </c>
      <c r="B12" s="5">
        <v>70.3</v>
      </c>
      <c r="C12" s="5">
        <v>85.2</v>
      </c>
      <c r="D12" s="5">
        <v>149.3</v>
      </c>
      <c r="E12" s="5">
        <v>191.8</v>
      </c>
      <c r="F12" s="5">
        <v>257.0</v>
      </c>
    </row>
    <row r="13">
      <c r="A13" t="inlineStr" s="2">
        <is>
          <t>Other revenue</t>
        </is>
      </c>
      <c r="B13" s="5">
        <v>37.7</v>
      </c>
      <c r="C13" s="5">
        <v>24.2</v>
      </c>
      <c r="D13" s="5">
        <v>18.4</v>
      </c>
      <c r="E13" s="5">
        <v>29.4</v>
      </c>
      <c r="F13" s="5">
        <v>77.5</v>
      </c>
    </row>
    <row r="14">
      <c r="A14" t="inlineStr" s="2">
        <is>
          <t>Interest expense</t>
        </is>
      </c>
      <c r="B14" s="5">
        <v>-18.4</v>
      </c>
      <c r="C14" s="5">
        <v>-18.7</v>
      </c>
      <c r="D14" s="5">
        <v>-47.0</v>
      </c>
      <c r="E14" s="5">
        <v>-60.8</v>
      </c>
      <c r="F14" s="5">
        <v>-73.4</v>
      </c>
    </row>
    <row r="15">
      <c r="A15" t="inlineStr" s="2">
        <is>
          <t>Net revenue</t>
        </is>
      </c>
      <c r="B15" s="5">
        <v>246.1</v>
      </c>
      <c r="C15" s="5">
        <v>206.7</v>
      </c>
      <c r="D15" s="5">
        <v>225.5</v>
      </c>
      <c r="E15" s="5">
        <v>330.7</v>
      </c>
      <c r="F15" s="5">
        <v>538.7</v>
      </c>
    </row>
    <row r="16">
      <c r="A16" t="inlineStr" s="2">
        <is>
          <t>Operating income</t>
        </is>
      </c>
      <c r="B16" s="5">
        <v>17.6</v>
      </c>
      <c r="C16" s="5">
        <v>1.7</v>
      </c>
      <c r="D16" s="5">
        <v>32.8</v>
      </c>
      <c r="E16" s="5">
        <v>78.5</v>
      </c>
      <c r="F16" s="5">
        <v>208.4</v>
      </c>
    </row>
    <row r="17">
      <c r="A17" t="inlineStr" s="2">
        <is>
          <t>Net income attributable</t>
        </is>
      </c>
      <c r="B17" s="5">
        <v>14.7</v>
      </c>
      <c r="C17" s="5">
        <v>-2.2</v>
      </c>
      <c r="D17" s="5">
        <v>32.6</v>
      </c>
      <c r="E17" s="5">
        <v>60.7</v>
      </c>
      <c r="F17" s="5">
        <v>170.9</v>
      </c>
      <c r="G17" s="9">
        <f>G8*G16</f>
        <v>119.97160000000002</v>
      </c>
      <c r="H17" s="9">
        <f>H8*H16</f>
        <v>128.4895836</v>
      </c>
      <c r="I17" s="9">
        <f>I8*I16</f>
        <v>139.99246060800004</v>
      </c>
      <c r="J17" s="9">
        <f>J8*J16</f>
        <v>153.67354198560005</v>
      </c>
      <c r="K17" s="9">
        <f>K8*K16</f>
        <v>168.37275034944005</v>
      </c>
    </row>
    <row r="18">
      <c r="A18" t="inlineStr" s="2">
        <is>
          <t>Net margin</t>
        </is>
      </c>
      <c r="B18" s="6">
        <f>B15/B8</f>
        <v>0.0555765595463138</v>
      </c>
      <c r="C18" s="6">
        <f>C15/C8</f>
        <v>-0.009760425909494233</v>
      </c>
      <c r="D18" s="6">
        <f>D15/D8</f>
        <v>0.11963302752293578</v>
      </c>
      <c r="E18" s="6">
        <f>E15/E8</f>
        <v>0.15504469987228608</v>
      </c>
      <c r="F18" s="6">
        <f>F15/F8</f>
        <v>0.27920274464956707</v>
      </c>
      <c r="G18" s="6">
        <v>0.2</v>
      </c>
      <c r="H18" s="6">
        <v>0.21</v>
      </c>
      <c r="I18" s="6">
        <v>0.22</v>
      </c>
      <c r="J18" s="6">
        <v>0.23</v>
      </c>
      <c r="K18" s="6">
        <v>0.24</v>
      </c>
    </row>
    <row r="19">
      <c r="A19" t="inlineStr" s="2">
        <is>
          <t>Diluted ADSs / valuation ADSs</t>
        </is>
      </c>
      <c r="B19" s="5">
        <v>155.7</v>
      </c>
      <c r="C19" s="5">
        <v>153.0</v>
      </c>
      <c r="D19" s="5">
        <v>161.8</v>
      </c>
      <c r="E19" s="5">
        <v>168.9</v>
      </c>
      <c r="F19" s="5">
        <v>187.2</v>
      </c>
      <c r="G19" s="5">
        <v>190</v>
      </c>
      <c r="H19" s="5">
        <v>192</v>
      </c>
      <c r="I19" s="5">
        <v>194</v>
      </c>
      <c r="J19" s="5">
        <v>196</v>
      </c>
      <c r="K19" s="5">
        <v>198</v>
      </c>
    </row>
    <row r="20">
      <c r="A20" t="inlineStr" s="2">
        <is>
          <t>Diluted GAAP EPS / ADS</t>
        </is>
      </c>
      <c r="B20" s="7">
        <v>0.08</v>
      </c>
      <c r="C20" s="7">
        <v>-0.01</v>
      </c>
      <c r="D20" s="7">
        <v>0.2</v>
      </c>
      <c r="E20" s="7">
        <v>0.37</v>
      </c>
      <c r="F20" s="7">
        <v>0.93</v>
      </c>
      <c r="G20" s="11">
        <f>G15/G17</f>
        <v>0.6314294736842107</v>
      </c>
      <c r="H20" s="11">
        <f>H15/H17</f>
        <v>0.66921658125</v>
      </c>
      <c r="I20" s="11">
        <f>I15/I17</f>
        <v>0.7216106216907219</v>
      </c>
      <c r="J20" s="11">
        <f>J15/J17</f>
        <v>0.7840486836000002</v>
      </c>
      <c r="K20" s="11">
        <f>K15/K17</f>
        <v>0.850367426007273</v>
      </c>
    </row>
    <row r="21">
      <c r="A21" t="inlineStr" s="2">
        <is>
          <t>Shareholders equity / book value</t>
        </is>
      </c>
      <c r="E21" s="5">
        <v>655.2</v>
      </c>
      <c r="F21" s="5">
        <v>865.5</v>
      </c>
      <c r="G21" s="9">
        <f>F19+G15*$B$49-$B$38</f>
        <v>884.68154</v>
      </c>
      <c r="H21" s="9">
        <f>G19+H15*$B$49</f>
        <v>968.1997693400001</v>
      </c>
      <c r="I21" s="9">
        <f>H19+I15*$B$49</f>
        <v>1059.1948687352</v>
      </c>
      <c r="J21" s="9">
        <f>I19+J15*$B$49</f>
        <v>1159.0826710258402</v>
      </c>
      <c r="K21" s="9">
        <f>J19+K15*$B$49</f>
        <v>1268.5249587529763</v>
      </c>
    </row>
    <row r="22">
      <c r="A22" t="inlineStr" s="2">
        <is>
          <t>Operating cash flow</t>
        </is>
      </c>
      <c r="B22" s="5">
        <v>413.2</v>
      </c>
      <c r="C22" s="5">
        <v>258.1</v>
      </c>
      <c r="D22" s="5">
        <v>-6.6</v>
      </c>
      <c r="E22" s="5">
        <v>828.0</v>
      </c>
      <c r="F22" s="5">
        <v>1316.7</v>
      </c>
    </row>
    <row r="23">
      <c r="A23" t="inlineStr" s="2">
        <is>
          <t>Capex / productive asset purchases</t>
        </is>
      </c>
      <c r="B23" s="5">
        <v>-5.0</v>
      </c>
      <c r="C23" s="5">
        <v>-4.9</v>
      </c>
      <c r="D23" s="5">
        <v>-2.8</v>
      </c>
      <c r="E23" s="5">
        <v>-1.6</v>
      </c>
      <c r="F23" s="5">
        <v>-5.5</v>
      </c>
    </row>
    <row r="24">
      <c r="A24" t="inlineStr" s="2">
        <is>
          <t>Reported FCF</t>
        </is>
      </c>
      <c r="B24" s="9">
        <f>B20+B21</f>
        <v>408.2</v>
      </c>
      <c r="C24" s="9">
        <f>C20+C21</f>
        <v>253.20000000000002</v>
      </c>
      <c r="D24" s="9">
        <f>D20+D21</f>
        <v>-9.399999999999999</v>
      </c>
      <c r="E24" s="9">
        <f>E20+E21</f>
        <v>826.4</v>
      </c>
      <c r="F24" s="9">
        <f>F20+F21</f>
        <v>1311.2</v>
      </c>
      <c r="G24" t="inlineStr" s="8">
        <is>
          <t>Not used for owner earnings</t>
        </is>
      </c>
    </row>
    <row r="25">
      <c r="A25" t="inlineStr" s="2">
        <is>
          <t>Share-based compensation</t>
        </is>
      </c>
      <c r="B25" s="5">
        <v>13.4</v>
      </c>
      <c r="C25" s="5">
        <v>14.2</v>
      </c>
      <c r="D25" s="5">
        <v>10.1</v>
      </c>
      <c r="E25" s="5">
        <v>9.7</v>
      </c>
      <c r="F25" s="5">
        <v>15.6</v>
      </c>
    </row>
    <row r="26">
      <c r="A26" t="inlineStr" s="2">
        <is>
          <t>Customers with deposits (m)</t>
        </is>
      </c>
      <c r="E26" s="5">
        <v>1.092</v>
      </c>
      <c r="F26" s="5">
        <v>1.254</v>
      </c>
    </row>
    <row r="27">
      <c r="A27" t="inlineStr" s="2">
        <is>
          <t>Total account balance</t>
        </is>
      </c>
      <c r="E27" s="5">
        <v>41725.2</v>
      </c>
      <c r="F27" s="5">
        <v>60806.7</v>
      </c>
    </row>
    <row r="28">
      <c r="A28" t="inlineStr" s="2">
        <is>
          <t>Margin financing and securities lending balance</t>
        </is>
      </c>
      <c r="E28" s="5">
        <v>4444.4</v>
      </c>
      <c r="F28" s="5">
        <v>5400.0</v>
      </c>
    </row>
    <row r="30">
      <c r="A30" t="inlineStr" s="3">
        <is>
          <t>Market Snapshot And Capital Structure</t>
        </is>
      </c>
    </row>
    <row r="31">
      <c r="A31" t="inlineStr" s="4">
        <is>
          <t>Input</t>
        </is>
      </c>
      <c r="B31" t="inlineStr" s="4">
        <is>
          <t>Value</t>
        </is>
      </c>
      <c r="C31" t="inlineStr" s="4">
        <is>
          <t>Source / Note</t>
        </is>
      </c>
    </row>
    <row r="32">
      <c r="A32" t="inlineStr" s="2">
        <is>
          <t>Share price / ADS</t>
        </is>
      </c>
      <c r="B32" s="7">
        <v>5.01</v>
      </c>
      <c r="C32" t="inlineStr" s="8">
        <is>
          <t>Stooq TIGR.US daily CSV, 2026-05-26 close</t>
        </is>
      </c>
    </row>
    <row r="33">
      <c r="A33" t="inlineStr" s="2">
        <is>
          <t>Valuation ADS denominator</t>
        </is>
      </c>
      <c r="B33" s="5">
        <v>190.0</v>
      </c>
      <c r="C33" t="inlineStr" s="8">
        <is>
          <t>Conservative rounded ADS denominator from 20-F cover shares / 15</t>
        </is>
      </c>
    </row>
    <row r="34">
      <c r="A34" t="inlineStr" s="2">
        <is>
          <t>Market capitalization</t>
        </is>
      </c>
      <c r="B34" s="9">
        <f>B30*B31</f>
        <v>951.9</v>
      </c>
      <c r="C34" t="inlineStr" s="8">
        <is>
          <t>Formula: price x valuation ADS denominator</t>
        </is>
      </c>
    </row>
    <row r="35">
      <c r="A35" t="inlineStr" s="2">
        <is>
          <t>Cash and cash equivalents</t>
        </is>
      </c>
      <c r="B35" s="5">
        <v>791.0</v>
      </c>
      <c r="C35" t="inlineStr" s="8">
        <is>
          <t>FY2025 20-F / Q4 2025 release</t>
        </is>
      </c>
    </row>
    <row r="36">
      <c r="A36" t="inlineStr" s="2">
        <is>
          <t>Term deposits</t>
        </is>
      </c>
      <c r="B36" s="5">
        <v>2.1</v>
      </c>
      <c r="C36" t="inlineStr" s="8">
        <is>
          <t>FY2025 20-F / Q4 2025 release</t>
        </is>
      </c>
    </row>
    <row r="37">
      <c r="A37" t="inlineStr" s="2">
        <is>
          <t>Convertible bonds</t>
        </is>
      </c>
      <c r="B37" s="5">
        <v>162.2</v>
      </c>
      <c r="C37" t="inlineStr" s="8">
        <is>
          <t>Current + non-current convertible bonds, 2025-12-31</t>
        </is>
      </c>
    </row>
    <row r="38">
      <c r="A38" t="inlineStr" s="2">
        <is>
          <t>CSRC penalty + confiscation</t>
        </is>
      </c>
      <c r="B38" s="5">
        <v>58.8</v>
      </c>
      <c r="C38" t="inlineStr" s="8">
        <is>
          <t>RMB411.2M / 6.9931 FX = approx $58.8M</t>
        </is>
      </c>
    </row>
    <row r="39">
      <c r="A39" t="inlineStr" s="2">
        <is>
          <t>Shareholders equity</t>
        </is>
      </c>
      <c r="B39" s="5">
        <v>865.5</v>
      </c>
      <c r="C39" t="inlineStr" s="8">
        <is>
          <t>UP Fintech shareholders equity at 2025-12-31</t>
        </is>
      </c>
    </row>
    <row r="40">
      <c r="A40" t="inlineStr" s="2">
        <is>
          <t>Segregated cash</t>
        </is>
      </c>
      <c r="B40" s="5">
        <v>3401.9</v>
      </c>
      <c r="C40" t="inlineStr" s="8">
        <is>
          <t>Customer/regulatory cash; excluded from excess cash</t>
        </is>
      </c>
    </row>
    <row r="41">
      <c r="A41" t="inlineStr" s="2">
        <is>
          <t>Broker-dealer net capital</t>
        </is>
      </c>
      <c r="B41" s="5">
        <v>633.4</v>
      </c>
      <c r="C41" t="inlineStr" s="8">
        <is>
          <t>Aggregate broker-dealer net capital</t>
        </is>
      </c>
    </row>
    <row r="42">
      <c r="A42" t="inlineStr" s="2">
        <is>
          <t>Broker-dealer regulatory requirement</t>
        </is>
      </c>
      <c r="B42" s="5">
        <v>85.3</v>
      </c>
      <c r="C42" t="inlineStr" s="8">
        <is>
          <t>Aggregate broker-dealer minimum requirement</t>
        </is>
      </c>
    </row>
    <row r="43">
      <c r="A43" t="inlineStr" s="2">
        <is>
          <t>FY2025 trailing P/E</t>
        </is>
      </c>
      <c r="B43" s="13">
        <f>B32/F15</f>
        <v>5.569923932124049</v>
      </c>
      <c r="C43" t="inlineStr" s="8">
        <is>
          <t>Uses 190M ADS denominator</t>
        </is>
      </c>
    </row>
    <row r="44">
      <c r="A44" t="inlineStr" s="2">
        <is>
          <t>Price / book</t>
        </is>
      </c>
      <c r="B44" s="13">
        <f>B32/B39</f>
        <v>1.0998266897746967</v>
      </c>
      <c r="C44" t="inlineStr" s="8">
        <is>
          <t>Uses UP Fintech shareholders equity</t>
        </is>
      </c>
    </row>
    <row r="46">
      <c r="A46" t="inlineStr" s="3">
        <is>
          <t>Base Residual-Income Valuation</t>
        </is>
      </c>
    </row>
    <row r="47">
      <c r="A47" t="inlineStr" s="2">
        <is>
          <t>Cost of equity / required return</t>
        </is>
      </c>
      <c r="B47" s="6">
        <v>0.13</v>
      </c>
      <c r="C47" t="inlineStr" s="8">
        <is>
          <t>Risk-free 4.56% + ERP 5.5% x beta 1.10 + ADR/regulatory premium 2.4%</t>
        </is>
      </c>
    </row>
    <row r="48">
      <c r="A48" t="inlineStr" s="2">
        <is>
          <t>Terminal growth</t>
        </is>
      </c>
      <c r="B48" s="6">
        <v>0.025</v>
      </c>
      <c r="C48" t="inlineStr" s="8">
        <is>
          <t>Conservative long-run nominal growth assumption</t>
        </is>
      </c>
    </row>
    <row r="49">
      <c r="A49" t="inlineStr" s="2">
        <is>
          <t>Capital retention ratio</t>
        </is>
      </c>
      <c r="B49" s="6">
        <v>0.65</v>
      </c>
      <c r="C49" t="inlineStr" s="8">
        <is>
          <t>Assumes meaningful capital retained for broker growth/regulatory needs</t>
        </is>
      </c>
    </row>
    <row r="50">
      <c r="A50" t="inlineStr" s="2">
        <is>
          <t>Beginning book value</t>
        </is>
      </c>
      <c r="G50" s="9">
        <f>F19-$B$38</f>
        <v>806.7</v>
      </c>
      <c r="H50" s="9">
        <f>G19</f>
        <v>884.68154</v>
      </c>
      <c r="I50" s="9">
        <f>H19</f>
        <v>968.1997693400001</v>
      </c>
      <c r="J50" s="9">
        <f>I19</f>
        <v>1059.1948687352</v>
      </c>
      <c r="K50" s="9">
        <f>J19</f>
        <v>1159.0826710258402</v>
      </c>
    </row>
    <row r="51">
      <c r="A51" t="inlineStr" s="2">
        <is>
          <t>Residual income</t>
        </is>
      </c>
      <c r="G51" s="9">
        <f>G15-$B$47*G50</f>
        <v>15.100600000000014</v>
      </c>
      <c r="H51" s="9">
        <f>H15-$B$47*H50</f>
        <v>13.4809834</v>
      </c>
      <c r="I51" s="9">
        <f>I15-$B$47*I50</f>
        <v>14.126490593800028</v>
      </c>
      <c r="J51" s="9">
        <f>J15-$B$47*J50</f>
        <v>15.978209050024049</v>
      </c>
      <c r="K51" s="9">
        <f>K15-$B$47*K50</f>
        <v>17.692003116080826</v>
      </c>
    </row>
    <row r="52">
      <c r="A52" t="inlineStr" s="2">
        <is>
          <t>Discount factor</t>
        </is>
      </c>
      <c r="G52" s="9">
        <f>1/(1+$B$47)^1</f>
        <v>0.8849557522123894</v>
      </c>
      <c r="H52" s="9">
        <f>1/(1+$B$47)^2</f>
        <v>0.7831466833737961</v>
      </c>
      <c r="I52" s="9">
        <f>1/(1+$B$47)^3</f>
        <v>0.6930501622776957</v>
      </c>
      <c r="J52" s="9">
        <f>1/(1+$B$47)^4</f>
        <v>0.6133187276793768</v>
      </c>
      <c r="K52" s="9">
        <f>1/(1+$B$47)^5</f>
        <v>0.5427599359994485</v>
      </c>
    </row>
    <row r="53">
      <c r="A53" t="inlineStr" s="2">
        <is>
          <t>PV residual income</t>
        </is>
      </c>
      <c r="G53" s="9">
        <f>G51*G52</f>
        <v>13.36336283185842</v>
      </c>
      <c r="H53" s="9">
        <f>H51*H52</f>
        <v>10.557587438327202</v>
      </c>
      <c r="I53" s="9">
        <f>I51*I52</f>
        <v>9.79036659844745</v>
      </c>
      <c r="J53" s="9">
        <f>J51*J52</f>
        <v>9.799734845155854</v>
      </c>
      <c r="K53" s="9">
        <f>K51*K52</f>
        <v>9.602510478986073</v>
      </c>
    </row>
    <row r="54">
      <c r="A54" t="inlineStr" s="2">
        <is>
          <t>Terminal residual income</t>
        </is>
      </c>
      <c r="K54" s="9">
        <f>K51*(1+$B$48)/($B$47-$B$48)</f>
        <v>172.70764946650326</v>
      </c>
    </row>
    <row r="55">
      <c r="A55" t="inlineStr" s="2">
        <is>
          <t>PV terminal residual income</t>
        </is>
      </c>
      <c r="K55" s="9">
        <f>K54*K52</f>
        <v>93.73879277105449</v>
      </c>
    </row>
    <row r="56">
      <c r="A56" t="inlineStr" s="2">
        <is>
          <t>Equity value</t>
        </is>
      </c>
      <c r="B56" s="9">
        <f>F19-$B$38+SUM(G53:K53)+K55</f>
        <v>953.5523549638295</v>
      </c>
      <c r="C56" t="inlineStr" s="8">
        <is>
          <t>Starting book less CSRC charge plus PV of residual income</t>
        </is>
      </c>
    </row>
    <row r="57">
      <c r="A57" t="inlineStr" s="2">
        <is>
          <t>Implied price / ADS</t>
        </is>
      </c>
      <c r="B57" s="11">
        <f>B56/B31</f>
        <v>5.018696605072787</v>
      </c>
      <c r="C57" t="inlineStr" s="8">
        <is>
          <t>Residual-income base case output</t>
        </is>
      </c>
    </row>
    <row r="58">
      <c r="A58" t="inlineStr" s="2">
        <is>
          <t>Upside / downside to current price</t>
        </is>
      </c>
      <c r="B58" s="10">
        <f>B57/B30-1</f>
        <v>0.0017358493159256305</v>
      </c>
      <c r="C58" t="inlineStr" s="8">
        <is>
          <t>Excludes dividends</t>
        </is>
      </c>
    </row>
    <row r="59">
      <c r="A59" t="inlineStr" s="2">
        <is>
          <t>5-year CAGR to implied price</t>
        </is>
      </c>
      <c r="B59" s="10">
        <f>POWER(B57/B30,1/5)-1</f>
        <v>0.0003469290601125774</v>
      </c>
      <c r="C59" t="inlineStr" s="8">
        <is>
          <t>Excludes dividends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cols>
    <col min="1" max="1" width="36" customWidth="1"/>
    <col min="2" max="2" width="16" customWidth="1"/>
    <col min="3" max="3" width="72" customWidth="1"/>
  </cols>
  <sheetData>
    <row r="1">
      <c r="A1" t="inlineStr" s="1">
        <is>
          <t>Required Return / WACC Framework</t>
        </is>
      </c>
    </row>
    <row r="2">
      <c r="A2" t="inlineStr" s="8">
        <is>
          <t>UP Fintech is modeled primarily on cost of equity / residual income because broker customer balances and regulatory capital make generic EV/FCF misleading.</t>
        </is>
      </c>
    </row>
    <row r="4">
      <c r="A4" t="inlineStr" s="4">
        <is>
          <t>Input</t>
        </is>
      </c>
      <c r="B4" t="inlineStr" s="4">
        <is>
          <t>Value</t>
        </is>
      </c>
      <c r="C4" t="inlineStr" s="4">
        <is>
          <t>Source / Rationale</t>
        </is>
      </c>
    </row>
    <row r="5">
      <c r="A5" t="inlineStr" s="2">
        <is>
          <t>10-year U.S. Treasury</t>
        </is>
      </c>
      <c r="B5" s="6">
        <v>0.0456</v>
      </c>
      <c r="C5" t="inlineStr" s="8">
        <is>
          <t>FRED DGS10, 2026-05-22 latest available in pull</t>
        </is>
      </c>
    </row>
    <row r="6">
      <c r="A6" t="inlineStr" s="2">
        <is>
          <t>Equity risk premium</t>
        </is>
      </c>
      <c r="B6" s="6">
        <v>0.055</v>
      </c>
      <c r="C6" t="inlineStr" s="8">
        <is>
          <t>Assumption for U.S. equity market risk premium</t>
        </is>
      </c>
    </row>
    <row r="7">
      <c r="A7" t="inlineStr" s="2">
        <is>
          <t>Beta</t>
        </is>
      </c>
      <c r="B7" s="5">
        <v>1.1</v>
      </c>
      <c r="C7" t="inlineStr" s="8">
        <is>
          <t>Rounded market-data beta / business-risk sanity check</t>
        </is>
      </c>
    </row>
    <row r="8">
      <c r="A8" t="inlineStr" s="2">
        <is>
          <t>ADR / China regulatory premium</t>
        </is>
      </c>
      <c r="B8" s="6">
        <v>0.024</v>
      </c>
      <c r="C8" t="inlineStr" s="8">
        <is>
          <t>Explicit premium for VIE, CSRC, ADR, and broker regulatory risk</t>
        </is>
      </c>
    </row>
    <row r="9">
      <c r="A9" t="inlineStr" s="2">
        <is>
          <t>Cost of equity / required return</t>
        </is>
      </c>
      <c r="B9" s="10">
        <f>B5+B6*B7+B8</f>
        <v>0.13</v>
      </c>
      <c r="C9" t="inlineStr" s="8">
        <is>
          <t>Used for base residual-income model</t>
        </is>
      </c>
    </row>
    <row r="10">
      <c r="A10" t="inlineStr" s="2">
        <is>
          <t>Cost of debt</t>
        </is>
      </c>
      <c r="C10" t="inlineStr" s="8">
        <is>
          <t>Not used mechanically; convertibles and broker funding are handled in earnings/capital assumptions</t>
        </is>
      </c>
    </row>
    <row r="11">
      <c r="A11" t="inlineStr" s="2">
        <is>
          <t>Tax rate</t>
        </is>
      </c>
      <c r="B11" s="6">
        <v>0.18</v>
      </c>
      <c r="C11" t="inlineStr" s="8">
        <is>
          <t>FY2025 tax expense / pre-tax income approx 17%; normalized at 18%</t>
        </is>
      </c>
    </row>
    <row r="13">
      <c r="A13" t="inlineStr" s="3">
        <is>
          <t>Why Not A Standard Unlevered WACC DCF?</t>
        </is>
      </c>
    </row>
    <row r="14">
      <c r="A14" t="inlineStr" s="4">
        <is>
          <t>Issue</t>
        </is>
      </c>
      <c r="B14" t="inlineStr" s="4">
        <is>
          <t>Treatment</t>
        </is>
      </c>
    </row>
    <row r="15">
      <c r="A15" t="inlineStr" s="2">
        <is>
          <t>Customer/regulatory cash and payables dominate balance sheet</t>
        </is>
      </c>
      <c r="B15" t="inlineStr" s="8">
        <is>
          <t>Do not treat segregated cash as excess cash or payables as ordinary debt.</t>
        </is>
      </c>
    </row>
    <row r="16">
      <c r="A16" t="inlineStr" s="2">
        <is>
          <t>Broker cash flow is distorted by receivable/payable swings</t>
        </is>
      </c>
      <c r="B16" t="inlineStr" s="8">
        <is>
          <t>Use earnings, book value, residual income, and scenario multiples.</t>
        </is>
      </c>
    </row>
    <row r="17">
      <c r="A17" t="inlineStr" s="2">
        <is>
          <t>CSRC action can impair activity rather than only create a one-time charge</t>
        </is>
      </c>
      <c r="B17" t="inlineStr" s="8">
        <is>
          <t>Scenario assumptions explicitly haircut growth, margin, and multiple.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xSplit="1" ySplit="6" topLeftCell="B7" activePane="bottomRight" state="frozen"/>
    </sheetView>
  </sheetViews>
  <sheetFormatPr defaultRowHeight="15"/>
  <cols>
    <col min="1" max="1" width="22" customWidth="1"/>
    <col min="2" max="2" width="14" customWidth="1"/>
    <col min="3" max="3" width="12" customWidth="1"/>
    <col min="4" max="4" width="16" customWidth="1"/>
    <col min="5" max="5" width="10" customWidth="1"/>
    <col min="6" max="6" width="18" customWidth="1"/>
    <col min="7" max="7" width="14" customWidth="1"/>
    <col min="8" max="8" width="10" customWidth="1"/>
    <col min="9" max="9" width="16" customWidth="1"/>
    <col min="10" max="10" width="16" customWidth="1"/>
    <col min="11" max="11" width="12" customWidth="1"/>
    <col min="12" max="12" width="72" customWidth="1"/>
  </cols>
  <sheetData>
    <row r="1">
      <c r="A1" t="inlineStr" s="1">
        <is>
          <t>Scenario Summary And Sensitivity</t>
        </is>
      </c>
    </row>
    <row r="2">
      <c r="A2" t="inlineStr" s="2">
        <is>
          <t>Current price / ADS</t>
        </is>
      </c>
      <c r="B2" s="7">
        <v>5.01</v>
      </c>
      <c r="C2" t="inlineStr" s="8">
        <is>
          <t>Stooq 2026-05-26 close</t>
        </is>
      </c>
    </row>
    <row r="3">
      <c r="A3" t="inlineStr" s="2">
        <is>
          <t>Valuation ADS denominator</t>
        </is>
      </c>
      <c r="B3" s="5">
        <v>190.0</v>
      </c>
      <c r="C3" t="inlineStr" s="8">
        <is>
          <t>Conservative rounded denominator</t>
        </is>
      </c>
    </row>
    <row r="4">
      <c r="A4" t="inlineStr" s="2">
        <is>
          <t>CAGR horizon</t>
        </is>
      </c>
      <c r="B4" s="5">
        <v>5</v>
      </c>
      <c r="C4" t="inlineStr" s="8">
        <is>
          <t>Years, excluding dividends</t>
        </is>
      </c>
    </row>
    <row r="6">
      <c r="A6" t="inlineStr" s="4">
        <is>
          <t>Scenario</t>
        </is>
      </c>
      <c r="B6" t="inlineStr" s="4">
        <is>
          <t>2030 Revenue</t>
        </is>
      </c>
      <c r="C6" t="inlineStr" s="4">
        <is>
          <t>Net Margin</t>
        </is>
      </c>
      <c r="D6" t="inlineStr" s="4">
        <is>
          <t>Norm. Net Income</t>
        </is>
      </c>
      <c r="E6" t="inlineStr" s="4">
        <is>
          <t>P/E</t>
        </is>
      </c>
      <c r="F6" t="inlineStr" s="4">
        <is>
          <t>Earnings Value / ADS</t>
        </is>
      </c>
      <c r="G6" t="inlineStr" s="4">
        <is>
          <t>Ending Book</t>
        </is>
      </c>
      <c r="H6" t="inlineStr" s="4">
        <is>
          <t>P/B</t>
        </is>
      </c>
      <c r="I6" t="inlineStr" s="4">
        <is>
          <t>Book Value / ADS</t>
        </is>
      </c>
      <c r="J6" t="inlineStr" s="4">
        <is>
          <t>Fair Value / ADS</t>
        </is>
      </c>
      <c r="K6" t="inlineStr" s="4">
        <is>
          <t>5Y CAGR</t>
        </is>
      </c>
      <c r="L6" t="inlineStr" s="4">
        <is>
          <t>Narrative</t>
        </is>
      </c>
    </row>
    <row r="7">
      <c r="A7" t="inlineStr" s="2">
        <is>
          <t>Bear</t>
        </is>
      </c>
      <c r="B7" s="5">
        <v>560.0</v>
      </c>
      <c r="C7" s="6">
        <v>0.175</v>
      </c>
      <c r="D7" s="9">
        <f>B7*C7</f>
        <v>98.0</v>
      </c>
      <c r="E7" s="13">
        <v>7.0</v>
      </c>
      <c r="F7" s="11">
        <f>D7*E7/$B$3</f>
        <v>3.610526315789474</v>
      </c>
      <c r="G7" s="5">
        <v>850.0</v>
      </c>
      <c r="H7" s="13">
        <v>0.75</v>
      </c>
      <c r="I7" s="11">
        <f>G7*H7/$B$3</f>
        <v>3.3552631578947367</v>
      </c>
      <c r="J7" s="11">
        <f>F7*0.65+I7*0.35</f>
        <v>3.5211842105263154</v>
      </c>
      <c r="K7" s="10">
        <f>POWER(J7/$B$2,1/$B$4)-1</f>
        <v>-0.06809808544057772</v>
      </c>
      <c r="L7" t="inlineStr" s="8">
        <is>
          <t>Mainland wind-down hurts assets/activity; earnings normalize near $100M and multiple remains compressed.</t>
        </is>
      </c>
    </row>
    <row r="8">
      <c r="A8" t="inlineStr" s="2">
        <is>
          <t>Base</t>
        </is>
      </c>
      <c r="B8" s="5">
        <v>650.0</v>
      </c>
      <c r="C8" s="6">
        <v>0.23</v>
      </c>
      <c r="D8" s="9">
        <f>B8*C8</f>
        <v>149.5</v>
      </c>
      <c r="E8" s="13">
        <v>8.5</v>
      </c>
      <c r="F8" s="11">
        <f>D8*E8/$B$3</f>
        <v>6.688157894736842</v>
      </c>
      <c r="G8" s="5">
        <v>950.0</v>
      </c>
      <c r="H8" s="13">
        <v>1.15</v>
      </c>
      <c r="I8" s="11">
        <f>G8*H8/$B$3</f>
        <v>5.75</v>
      </c>
      <c r="J8" s="11">
        <f>F8*0.7+I8*0.3</f>
        <v>6.406710526315789</v>
      </c>
      <c r="K8" s="10">
        <f>POWER(J8/$B$2,1/$B$4)-1</f>
        <v>0.05041151783792008</v>
      </c>
      <c r="L8" t="inlineStr" s="8">
        <is>
          <t>Regulatory charge/rectification contained, non-mainland growth offsets part of mainland drag.</t>
        </is>
      </c>
    </row>
    <row r="9">
      <c r="A9" t="inlineStr" s="2">
        <is>
          <t>Bull</t>
        </is>
      </c>
      <c r="B9" s="5">
        <v>780.0</v>
      </c>
      <c r="C9" s="6">
        <v>0.29</v>
      </c>
      <c r="D9" s="9">
        <f>B9*C9</f>
        <v>226.2</v>
      </c>
      <c r="E9" s="13">
        <v>11.5</v>
      </c>
      <c r="F9" s="11">
        <f>D9*E9/$B$3</f>
        <v>13.691052631578946</v>
      </c>
      <c r="G9" s="5">
        <v>1100.0</v>
      </c>
      <c r="H9" s="13">
        <v>1.4</v>
      </c>
      <c r="I9" s="11">
        <f>G9*H9/$B$3</f>
        <v>8.105263157894736</v>
      </c>
      <c r="J9" s="11">
        <f>F9*0.75+I9*0.25</f>
        <v>12.294605263157894</v>
      </c>
      <c r="K9" s="10">
        <f>POWER(J9/$B$2,1/$B$4)-1</f>
        <v>0.19667267045853287</v>
      </c>
      <c r="L9" t="inlineStr" s="8">
        <is>
          <t>Finite regulatory hit, international growth compounds, self-clearing economics prove durable.</t>
        </is>
      </c>
    </row>
    <row r="11">
      <c r="A11" t="inlineStr" s="3">
        <is>
          <t>Sensitivity: Normalized Net Income x P/E / 190M ADS</t>
        </is>
      </c>
    </row>
    <row r="12">
      <c r="A12" t="inlineStr" s="4">
        <is>
          <t>Net Income / P/E</t>
        </is>
      </c>
      <c r="B12" t="inlineStr" s="4">
        <is>
          <t>6x</t>
        </is>
      </c>
      <c r="C12" t="inlineStr" s="4">
        <is>
          <t>8x</t>
        </is>
      </c>
      <c r="D12" t="inlineStr" s="4">
        <is>
          <t>10x</t>
        </is>
      </c>
      <c r="E12" t="inlineStr" s="4">
        <is>
          <t>12x</t>
        </is>
      </c>
    </row>
    <row r="13">
      <c r="A13" s="5">
        <v>75</v>
      </c>
      <c r="B13" s="11">
        <f>$A13*6/$B$3</f>
        <v>2.3684210526315788</v>
      </c>
      <c r="C13" s="11">
        <f>$A13*8/$B$3</f>
        <v>3.1578947368421053</v>
      </c>
      <c r="D13" s="11">
        <f>$A13*10/$B$3</f>
        <v>3.9473684210526314</v>
      </c>
      <c r="E13" s="11">
        <f>$A13*12/$B$3</f>
        <v>4.7368421052631575</v>
      </c>
    </row>
    <row r="14">
      <c r="A14" s="5">
        <v>100</v>
      </c>
      <c r="B14" s="11">
        <f>$A14*6/$B$3</f>
        <v>3.1578947368421053</v>
      </c>
      <c r="C14" s="11">
        <f>$A14*8/$B$3</f>
        <v>4.2105263157894735</v>
      </c>
      <c r="D14" s="11">
        <f>$A14*10/$B$3</f>
        <v>5.2631578947368425</v>
      </c>
      <c r="E14" s="11">
        <f>$A14*12/$B$3</f>
        <v>6.315789473684211</v>
      </c>
    </row>
    <row r="15">
      <c r="A15" s="5">
        <v>125</v>
      </c>
      <c r="B15" s="11">
        <f>$A15*6/$B$3</f>
        <v>3.9473684210526314</v>
      </c>
      <c r="C15" s="11">
        <f>$A15*8/$B$3</f>
        <v>5.2631578947368425</v>
      </c>
      <c r="D15" s="11">
        <f>$A15*10/$B$3</f>
        <v>6.578947368421052</v>
      </c>
      <c r="E15" s="11">
        <f>$A15*12/$B$3</f>
        <v>7.894736842105263</v>
      </c>
    </row>
    <row r="16">
      <c r="A16" s="5">
        <v>150</v>
      </c>
      <c r="B16" s="11">
        <f>$A16*6/$B$3</f>
        <v>4.7368421052631575</v>
      </c>
      <c r="C16" s="11">
        <f>$A16*8/$B$3</f>
        <v>6.315789473684211</v>
      </c>
      <c r="D16" s="11">
        <f>$A16*10/$B$3</f>
        <v>7.894736842105263</v>
      </c>
      <c r="E16" s="11">
        <f>$A16*12/$B$3</f>
        <v>9.473684210526315</v>
      </c>
    </row>
    <row r="17">
      <c r="A17" s="5">
        <v>175</v>
      </c>
      <c r="B17" s="11">
        <f>$A17*6/$B$3</f>
        <v>5.526315789473684</v>
      </c>
      <c r="C17" s="11">
        <f>$A17*8/$B$3</f>
        <v>7.368421052631579</v>
      </c>
      <c r="D17" s="11">
        <f>$A17*10/$B$3</f>
        <v>9.210526315789474</v>
      </c>
      <c r="E17" s="11">
        <f>$A17*12/$B$3</f>
        <v>11.052631578947368</v>
      </c>
    </row>
    <row r="18">
      <c r="A18" s="5">
        <v>200</v>
      </c>
      <c r="B18" s="11">
        <f>$A18*6/$B$3</f>
        <v>6.315789473684211</v>
      </c>
      <c r="C18" s="11">
        <f>$A18*8/$B$3</f>
        <v>8.421052631578947</v>
      </c>
      <c r="D18" s="11">
        <f>$A18*10/$B$3</f>
        <v>10.526315789473685</v>
      </c>
      <c r="E18" s="11">
        <f>$A18*12/$B$3</f>
        <v>12.631578947368421</v>
      </c>
    </row>
    <row r="20">
      <c r="A20" t="inlineStr" s="12">
        <is>
          <t>Key Model Warning</t>
        </is>
      </c>
      <c r="B20" t="inlineStr" s="12">
        <is>
          <t>Reported operating cash flow is not used as owner earnings because customer receivable/payable swings and segregated cash dominate broker cash flow.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1"/>
  <sheetViews>
    <sheetView workbookViewId="0">
      <pane xSplit="0" ySplit="2" topLeftCell="A3" activePane="bottomRight" state="frozen"/>
    </sheetView>
  </sheetViews>
  <sheetFormatPr defaultRowHeight="15"/>
  <cols>
    <col min="1" max="1" width="34" customWidth="1"/>
    <col min="2" max="2" width="16" customWidth="1"/>
    <col min="3" max="3" width="14" customWidth="1"/>
    <col min="4" max="4" width="14" customWidth="1"/>
    <col min="5" max="5" width="80" customWidth="1"/>
    <col min="6" max="6" width="30" customWidth="1"/>
    <col min="7" max="7" width="60" customWidth="1"/>
    <col min="8" max="8" width="60" customWidth="1"/>
    <col min="9" max="9" width="60" customWidth="1"/>
    <col min="10" max="10" width="28" customWidth="1"/>
  </cols>
  <sheetData>
    <row r="1">
      <c r="A1" t="inlineStr" s="1">
        <is>
          <t>Actuals / Source Audit</t>
        </is>
      </c>
    </row>
    <row r="2">
      <c r="A2" t="inlineStr" s="4">
        <is>
          <t>Line item</t>
        </is>
      </c>
      <c r="B2" t="inlineStr" s="4">
        <is>
          <t>Period</t>
        </is>
      </c>
      <c r="C2" t="inlineStr" s="4">
        <is>
          <t>Model value</t>
        </is>
      </c>
      <c r="D2" t="inlineStr" s="4">
        <is>
          <t>Unit</t>
        </is>
      </c>
      <c r="E2" t="inlineStr" s="4">
        <is>
          <t>Primary source</t>
        </is>
      </c>
      <c r="F2" t="inlineStr" s="4">
        <is>
          <t>Primary value</t>
        </is>
      </c>
      <c r="G2" t="inlineStr" s="4">
        <is>
          <t>Secondary source 1</t>
        </is>
      </c>
      <c r="H2" t="inlineStr" s="4">
        <is>
          <t>Secondary source 2</t>
        </is>
      </c>
      <c r="I2" t="inlineStr" s="4">
        <is>
          <t>Difference / Resolution</t>
        </is>
      </c>
      <c r="J2" t="inlineStr" s="4">
        <is>
          <t>Model mapping</t>
        </is>
      </c>
    </row>
    <row r="3">
      <c r="A3" t="inlineStr" s="2">
        <is>
          <t>Total revenue FY2025</t>
        </is>
      </c>
      <c r="B3" t="inlineStr">
        <is>
          <t>FY2025</t>
        </is>
      </c>
      <c r="C3" s="5">
        <v>612.1</v>
      </c>
      <c r="D3" t="inlineStr">
        <is>
          <t>USD millions</t>
        </is>
      </c>
      <c r="E3" t="inlineStr" s="8">
        <is>
          <t>FY2025 Form 20-F / Q4 2025 release: https://www.sec.gov/Archives/edgar/data/1756699/000119312526174855/tigr-20251231.htm</t>
        </is>
      </c>
      <c r="F3" t="inlineStr" s="8">
        <is>
          <t>612.1</t>
        </is>
      </c>
      <c r="G3" t="inlineStr" s="8">
        <is>
          <t>StockAnalysis financials: https://stockanalysis.com/stocks/tigr/financials/</t>
        </is>
      </c>
      <c r="H3" t="inlineStr" s="8">
        <is>
          <t>Company Q4/FY2025 6-K exhibit</t>
        </is>
      </c>
      <c r="I3" t="inlineStr" s="8">
        <is>
          <t>SEC/company filing used as source of truth; secondary used as directional cross-check.</t>
        </is>
      </c>
      <c r="J3" t="inlineStr" s="8">
        <is>
          <t>Valuation historical actuals</t>
        </is>
      </c>
    </row>
    <row r="4">
      <c r="A4" t="inlineStr" s="2">
        <is>
          <t>Net revenue FY2025</t>
        </is>
      </c>
      <c r="B4" t="inlineStr">
        <is>
          <t>FY2025</t>
        </is>
      </c>
      <c r="C4" s="5">
        <v>538.7</v>
      </c>
      <c r="D4" t="inlineStr">
        <is>
          <t>USD millions</t>
        </is>
      </c>
      <c r="E4" t="inlineStr" s="8">
        <is>
          <t>FY2025 Form 20-F / Q4 2025 release: https://www.sec.gov/Archives/edgar/data/1756699/000119312526174855/tigr-20251231.htm</t>
        </is>
      </c>
      <c r="F4" t="inlineStr" s="8">
        <is>
          <t>538.7</t>
        </is>
      </c>
      <c r="G4" t="inlineStr" s="8">
        <is>
          <t>StockAnalysis financials: https://stockanalysis.com/stocks/tigr/financials/</t>
        </is>
      </c>
      <c r="H4" t="inlineStr" s="8">
        <is>
          <t>Company Q4/FY2025 6-K exhibit</t>
        </is>
      </c>
      <c r="I4" t="inlineStr" s="8">
        <is>
          <t>SEC/company filing used as source of truth; secondary used as directional cross-check.</t>
        </is>
      </c>
      <c r="J4" t="inlineStr" s="8">
        <is>
          <t>Valuation historical actuals</t>
        </is>
      </c>
    </row>
    <row r="5">
      <c r="A5" t="inlineStr" s="2">
        <is>
          <t>Commissions FY2025</t>
        </is>
      </c>
      <c r="B5" t="inlineStr">
        <is>
          <t>FY2025</t>
        </is>
      </c>
      <c r="C5" s="5">
        <v>266.8</v>
      </c>
      <c r="D5" t="inlineStr">
        <is>
          <t>USD millions</t>
        </is>
      </c>
      <c r="E5" t="inlineStr" s="8">
        <is>
          <t>FY2025 Form 20-F / Q4 2025 release: https://www.sec.gov/Archives/edgar/data/1756699/000119312526174855/tigr-20251231.htm</t>
        </is>
      </c>
      <c r="F5" t="inlineStr" s="8">
        <is>
          <t>266.8</t>
        </is>
      </c>
      <c r="G5" t="inlineStr" s="8">
        <is>
          <t>StockAnalysis financials: https://stockanalysis.com/stocks/tigr/financials/</t>
        </is>
      </c>
      <c r="H5" t="inlineStr" s="8">
        <is>
          <t>Company Q4/FY2025 6-K exhibit</t>
        </is>
      </c>
      <c r="I5" t="inlineStr" s="8">
        <is>
          <t>SEC/company filing used as source of truth; secondary used as directional cross-check.</t>
        </is>
      </c>
      <c r="J5" t="inlineStr" s="8">
        <is>
          <t>Valuation historical actuals</t>
        </is>
      </c>
    </row>
    <row r="6">
      <c r="A6" t="inlineStr" s="2">
        <is>
          <t>Interest income FY2025</t>
        </is>
      </c>
      <c r="B6" t="inlineStr">
        <is>
          <t>FY2025</t>
        </is>
      </c>
      <c r="C6" s="5">
        <v>257.0</v>
      </c>
      <c r="D6" t="inlineStr">
        <is>
          <t>USD millions</t>
        </is>
      </c>
      <c r="E6" t="inlineStr" s="8">
        <is>
          <t>FY2025 Form 20-F / Q4 2025 release: https://www.sec.gov/Archives/edgar/data/1756699/000119312526174855/tigr-20251231.htm</t>
        </is>
      </c>
      <c r="F6" t="inlineStr" s="8">
        <is>
          <t>257.0</t>
        </is>
      </c>
      <c r="G6" t="inlineStr" s="8">
        <is>
          <t>StockAnalysis financials: https://stockanalysis.com/stocks/tigr/financials/</t>
        </is>
      </c>
      <c r="H6" t="inlineStr" s="8">
        <is>
          <t>Company Q4/FY2025 6-K exhibit</t>
        </is>
      </c>
      <c r="I6" t="inlineStr" s="8">
        <is>
          <t>SEC/company filing used as source of truth; secondary used as directional cross-check.</t>
        </is>
      </c>
      <c r="J6" t="inlineStr" s="8">
        <is>
          <t>Valuation historical actuals</t>
        </is>
      </c>
    </row>
    <row r="7">
      <c r="A7" t="inlineStr" s="2">
        <is>
          <t>Interest expense FY2025</t>
        </is>
      </c>
      <c r="B7" t="inlineStr">
        <is>
          <t>FY2025</t>
        </is>
      </c>
      <c r="C7" s="5">
        <v>-73.4</v>
      </c>
      <c r="D7" t="inlineStr">
        <is>
          <t>USD millions</t>
        </is>
      </c>
      <c r="E7" t="inlineStr" s="8">
        <is>
          <t>FY2025 Form 20-F / Q4 2025 release: https://www.sec.gov/Archives/edgar/data/1756699/000119312526174855/tigr-20251231.htm</t>
        </is>
      </c>
      <c r="F7" t="inlineStr" s="8">
        <is>
          <t>-73.4</t>
        </is>
      </c>
      <c r="G7" t="inlineStr" s="8">
        <is>
          <t>StockAnalysis financials: https://stockanalysis.com/stocks/tigr/financials/</t>
        </is>
      </c>
      <c r="H7" t="inlineStr" s="8">
        <is>
          <t>Company Q4/FY2025 6-K exhibit</t>
        </is>
      </c>
      <c r="I7" t="inlineStr" s="8">
        <is>
          <t>SEC/company filing used as source of truth; secondary used as directional cross-check.</t>
        </is>
      </c>
      <c r="J7" t="inlineStr" s="8">
        <is>
          <t>Valuation historical actuals</t>
        </is>
      </c>
    </row>
    <row r="8">
      <c r="A8" t="inlineStr" s="2">
        <is>
          <t>Operating income FY2025</t>
        </is>
      </c>
      <c r="B8" t="inlineStr">
        <is>
          <t>FY2025</t>
        </is>
      </c>
      <c r="C8" s="5">
        <v>208.4</v>
      </c>
      <c r="D8" t="inlineStr">
        <is>
          <t>USD millions</t>
        </is>
      </c>
      <c r="E8" t="inlineStr" s="8">
        <is>
          <t>FY2025 Form 20-F / Q4 2025 release: https://www.sec.gov/Archives/edgar/data/1756699/000119312526174855/tigr-20251231.htm</t>
        </is>
      </c>
      <c r="F8" t="inlineStr" s="8">
        <is>
          <t>208.4</t>
        </is>
      </c>
      <c r="G8" t="inlineStr" s="8">
        <is>
          <t>StockAnalysis financials: https://stockanalysis.com/stocks/tigr/financials/</t>
        </is>
      </c>
      <c r="H8" t="inlineStr" s="8">
        <is>
          <t>Company Q4/FY2025 6-K exhibit</t>
        </is>
      </c>
      <c r="I8" t="inlineStr" s="8">
        <is>
          <t>SEC/company filing used as source of truth; secondary used as directional cross-check.</t>
        </is>
      </c>
      <c r="J8" t="inlineStr" s="8">
        <is>
          <t>Valuation historical actuals</t>
        </is>
      </c>
    </row>
    <row r="9">
      <c r="A9" t="inlineStr" s="2">
        <is>
          <t>Net income attributable FY2025</t>
        </is>
      </c>
      <c r="B9" t="inlineStr">
        <is>
          <t>FY2025</t>
        </is>
      </c>
      <c r="C9" s="5">
        <v>170.9</v>
      </c>
      <c r="D9" t="inlineStr">
        <is>
          <t>USD millions</t>
        </is>
      </c>
      <c r="E9" t="inlineStr" s="8">
        <is>
          <t>FY2025 Form 20-F / Q4 2025 release: https://www.sec.gov/Archives/edgar/data/1756699/000119312526174855/tigr-20251231.htm</t>
        </is>
      </c>
      <c r="F9" t="inlineStr" s="8">
        <is>
          <t>170.9</t>
        </is>
      </c>
      <c r="G9" t="inlineStr" s="8">
        <is>
          <t>StockAnalysis financials: https://stockanalysis.com/stocks/tigr/financials/</t>
        </is>
      </c>
      <c r="H9" t="inlineStr" s="8">
        <is>
          <t>Company Q4/FY2025 6-K exhibit</t>
        </is>
      </c>
      <c r="I9" t="inlineStr" s="8">
        <is>
          <t>SEC/company filing used as source of truth; secondary used as directional cross-check.</t>
        </is>
      </c>
      <c r="J9" t="inlineStr" s="8">
        <is>
          <t>Valuation historical actuals</t>
        </is>
      </c>
    </row>
    <row r="10">
      <c r="A10" t="inlineStr" s="2">
        <is>
          <t>Operating cash flow FY2025</t>
        </is>
      </c>
      <c r="B10" t="inlineStr">
        <is>
          <t>FY2025</t>
        </is>
      </c>
      <c r="C10" s="5">
        <v>1316.7</v>
      </c>
      <c r="D10" t="inlineStr">
        <is>
          <t>USD millions</t>
        </is>
      </c>
      <c r="E10" t="inlineStr" s="8">
        <is>
          <t>FY2025 Form 20-F / Q4 2025 release: https://www.sec.gov/Archives/edgar/data/1756699/000119312526174855/tigr-20251231.htm</t>
        </is>
      </c>
      <c r="F10" t="inlineStr" s="8">
        <is>
          <t>1316.7</t>
        </is>
      </c>
      <c r="G10" t="inlineStr" s="8">
        <is>
          <t>StockAnalysis financials: https://stockanalysis.com/stocks/tigr/financials/</t>
        </is>
      </c>
      <c r="H10" t="inlineStr" s="8">
        <is>
          <t>Company Q4/FY2025 6-K exhibit</t>
        </is>
      </c>
      <c r="I10" t="inlineStr" s="8">
        <is>
          <t>SEC/company filing used as source of truth; secondary used as directional cross-check.</t>
        </is>
      </c>
      <c r="J10" t="inlineStr" s="8">
        <is>
          <t>Valuation historical actuals</t>
        </is>
      </c>
    </row>
    <row r="11">
      <c r="A11" t="inlineStr" s="2">
        <is>
          <t>Capex / productive asset purchases FY2025</t>
        </is>
      </c>
      <c r="B11" t="inlineStr">
        <is>
          <t>FY2025</t>
        </is>
      </c>
      <c r="C11" s="5">
        <v>-5.5</v>
      </c>
      <c r="D11" t="inlineStr">
        <is>
          <t>USD millions</t>
        </is>
      </c>
      <c r="E11" t="inlineStr" s="8">
        <is>
          <t>FY2025 Form 20-F / Q4 2025 release: https://www.sec.gov/Archives/edgar/data/1756699/000119312526174855/tigr-20251231.htm</t>
        </is>
      </c>
      <c r="F11" t="inlineStr" s="8">
        <is>
          <t>-5.5</t>
        </is>
      </c>
      <c r="G11" t="inlineStr" s="8">
        <is>
          <t>StockAnalysis financials: https://stockanalysis.com/stocks/tigr/financials/</t>
        </is>
      </c>
      <c r="H11" t="inlineStr" s="8">
        <is>
          <t>Company Q4/FY2025 6-K exhibit</t>
        </is>
      </c>
      <c r="I11" t="inlineStr" s="8">
        <is>
          <t>SEC/company filing used as source of truth; secondary used as directional cross-check.</t>
        </is>
      </c>
      <c r="J11" t="inlineStr" s="8">
        <is>
          <t>Valuation historical actuals</t>
        </is>
      </c>
    </row>
    <row r="12">
      <c r="A12" t="inlineStr" s="2">
        <is>
          <t>Share-based compensation FY2025</t>
        </is>
      </c>
      <c r="B12" t="inlineStr">
        <is>
          <t>FY2025</t>
        </is>
      </c>
      <c r="C12" s="5">
        <v>15.6</v>
      </c>
      <c r="D12" t="inlineStr">
        <is>
          <t>USD millions</t>
        </is>
      </c>
      <c r="E12" t="inlineStr" s="8">
        <is>
          <t>FY2025 Form 20-F / Q4 2025 release: https://www.sec.gov/Archives/edgar/data/1756699/000119312526174855/tigr-20251231.htm</t>
        </is>
      </c>
      <c r="F12" t="inlineStr" s="8">
        <is>
          <t>15.6</t>
        </is>
      </c>
      <c r="G12" t="inlineStr" s="8">
        <is>
          <t>StockAnalysis financials: https://stockanalysis.com/stocks/tigr/financials/</t>
        </is>
      </c>
      <c r="H12" t="inlineStr" s="8">
        <is>
          <t>Company Q4/FY2025 6-K exhibit</t>
        </is>
      </c>
      <c r="I12" t="inlineStr" s="8">
        <is>
          <t>SEC/company filing used as source of truth; secondary used as directional cross-check.</t>
        </is>
      </c>
      <c r="J12" t="inlineStr" s="8">
        <is>
          <t>Valuation historical actuals</t>
        </is>
      </c>
    </row>
    <row r="13">
      <c r="A13" t="inlineStr" s="2">
        <is>
          <t>Diluted ADSs used for EPS</t>
        </is>
      </c>
      <c r="B13" t="inlineStr">
        <is>
          <t>FY2025</t>
        </is>
      </c>
      <c r="C13" s="5">
        <v>187.2</v>
      </c>
      <c r="D13" t="inlineStr">
        <is>
          <t>ADS millions</t>
        </is>
      </c>
      <c r="E13" t="inlineStr" s="8">
        <is>
          <t>Q4/FY2025 6-K: https://www.sec.gov/Archives/edgar/data/1756699/000119312526115048/tigr-ex99_1.htm</t>
        </is>
      </c>
      <c r="F13" t="inlineStr" s="8">
        <is>
          <t>187.182M</t>
        </is>
      </c>
      <c r="G13" t="inlineStr" s="8">
        <is>
          <t>MarketBeat / vendor share counts: https://www.marketbeat.com/stocks/NASDAQ/TIGR/</t>
        </is>
      </c>
      <c r="H13" t="inlineStr" s="8">
        <is>
          <t>20-F cover ordinary shares / 15 = 189.7M ADS</t>
        </is>
      </c>
      <c r="I13" t="inlineStr" s="8">
        <is>
          <t>Model uses 190M ADS for valuation; EPS row uses reported diluted ADSs.</t>
        </is>
      </c>
      <c r="J13" t="inlineStr" s="8">
        <is>
          <t>Valuation rows 17 / 31</t>
        </is>
      </c>
    </row>
    <row r="14">
      <c r="A14" t="inlineStr" s="2">
        <is>
          <t>Share price</t>
        </is>
      </c>
      <c r="B14" t="inlineStr">
        <is>
          <t>2026-05-26 close</t>
        </is>
      </c>
      <c r="C14" s="5">
        <v>5.01</v>
      </c>
      <c r="D14" t="inlineStr">
        <is>
          <t>USD / ADS</t>
        </is>
      </c>
      <c r="E14" t="inlineStr" s="8">
        <is>
          <t>Stooq daily CSV: https://stooq.com/q/l/?s=tigr.us&amp;i=d</t>
        </is>
      </c>
      <c r="F14" t="inlineStr" s="8">
        <is>
          <t>5.01 close</t>
        </is>
      </c>
      <c r="G14" t="inlineStr" s="8">
        <is>
          <t>Yahoo/MarketBeat checked for quote context</t>
        </is>
      </c>
      <c r="H14" t="inlineStr" s="8">
        <is>
          <t>StockAnalysis quote page checked for market-cap/share count differences</t>
        </is>
      </c>
      <c r="I14" t="inlineStr" s="8">
        <is>
          <t>Static close used; no live spreadsheet quote dependency.</t>
        </is>
      </c>
      <c r="J14" t="inlineStr" s="8">
        <is>
          <t>Valuation row 30 / Scenarios row 2</t>
        </is>
      </c>
    </row>
    <row r="15">
      <c r="A15" t="inlineStr" s="2">
        <is>
          <t>Cash and cash equivalents</t>
        </is>
      </c>
      <c r="B15" t="inlineStr">
        <is>
          <t>2025-12-31</t>
        </is>
      </c>
      <c r="C15" s="5">
        <v>791.0</v>
      </c>
      <c r="D15" t="inlineStr">
        <is>
          <t>USD millions</t>
        </is>
      </c>
      <c r="E15" t="inlineStr" s="8">
        <is>
          <t>FY2025 20-F: https://www.sec.gov/Archives/edgar/data/1756699/000119312526174855/tigr-20251231.htm</t>
        </is>
      </c>
      <c r="F15" t="inlineStr" s="8">
        <is>
          <t>791.0</t>
        </is>
      </c>
      <c r="G15" t="inlineStr" s="8">
        <is>
          <t>StockAnalysis balance sheet: https://stockanalysis.com/stocks/tigr/financials/</t>
        </is>
      </c>
      <c r="H15" t="inlineStr" s="8">
        <is>
          <t>Q4/FY2025 6-K</t>
        </is>
      </c>
      <c r="I15" t="inlineStr" s="8">
        <is>
          <t>Filing value used; segregated cash not treated as excess cash.</t>
        </is>
      </c>
      <c r="J15" t="inlineStr" s="8">
        <is>
          <t>Valuation row 33</t>
        </is>
      </c>
    </row>
    <row r="16">
      <c r="A16" t="inlineStr" s="2">
        <is>
          <t>Convertible bonds</t>
        </is>
      </c>
      <c r="B16" t="inlineStr">
        <is>
          <t>2025-12-31</t>
        </is>
      </c>
      <c r="C16" s="5">
        <v>162.2</v>
      </c>
      <c r="D16" t="inlineStr">
        <is>
          <t>USD millions</t>
        </is>
      </c>
      <c r="E16" t="inlineStr" s="8">
        <is>
          <t>FY2025 20-F: https://www.sec.gov/Archives/edgar/data/1756699/000119312526174855/tigr-20251231.htm</t>
        </is>
      </c>
      <c r="F16" t="inlineStr" s="8">
        <is>
          <t>111.2 current + 51.0 non-current</t>
        </is>
      </c>
      <c r="G16" t="inlineStr" s="8">
        <is>
          <t>Company Q4/FY2025 6-K</t>
        </is>
      </c>
      <c r="H16" t="inlineStr" s="8">
        <is>
          <t>StockAnalysis balance sheet</t>
        </is>
      </c>
      <c r="I16" t="inlineStr" s="8">
        <is>
          <t>Used as capital-structure risk and dilution item, not simple net debt subtraction.</t>
        </is>
      </c>
      <c r="J16" t="inlineStr" s="8">
        <is>
          <t>Valuation row 35</t>
        </is>
      </c>
    </row>
    <row r="17">
      <c r="A17" t="inlineStr" s="2">
        <is>
          <t>Shareholders equity</t>
        </is>
      </c>
      <c r="B17" t="inlineStr">
        <is>
          <t>2025-12-31</t>
        </is>
      </c>
      <c r="C17" s="5">
        <v>865.5</v>
      </c>
      <c r="D17" t="inlineStr">
        <is>
          <t>USD millions</t>
        </is>
      </c>
      <c r="E17" t="inlineStr" s="8">
        <is>
          <t>FY2025 20-F: https://www.sec.gov/Archives/edgar/data/1756699/000119312526174855/tigr-20251231.htm</t>
        </is>
      </c>
      <c r="F17" t="inlineStr" s="8">
        <is>
          <t>865.5</t>
        </is>
      </c>
      <c r="G17" t="inlineStr" s="8">
        <is>
          <t>StockAnalysis balance sheet: https://stockanalysis.com/stocks/tigr/financials/</t>
        </is>
      </c>
      <c r="H17" t="inlineStr" s="8">
        <is>
          <t>Company Q4/FY2025 6-K</t>
        </is>
      </c>
      <c r="I17" t="inlineStr" s="8">
        <is>
          <t>Book value anchor for residual income and P/B cross-checks.</t>
        </is>
      </c>
      <c r="J17" t="inlineStr" s="8">
        <is>
          <t>Valuation row 37</t>
        </is>
      </c>
    </row>
    <row r="18">
      <c r="A18" t="inlineStr" s="2">
        <is>
          <t>Customers with deposits</t>
        </is>
      </c>
      <c r="B18" t="inlineStr">
        <is>
          <t>2025-12-31</t>
        </is>
      </c>
      <c r="C18" s="5">
        <v>1.2539</v>
      </c>
      <c r="D18" t="inlineStr">
        <is>
          <t>millions</t>
        </is>
      </c>
      <c r="E18" t="inlineStr" s="8">
        <is>
          <t>Q4/FY2025 6-K: https://www.sec.gov/Archives/edgar/data/1756699/000119312526115048/tigr-ex99_1.htm</t>
        </is>
      </c>
      <c r="F18" t="inlineStr" s="8">
        <is>
          <t>1,253.9 thousand</t>
        </is>
      </c>
      <c r="G18" t="inlineStr" s="8">
        <is>
          <t>Company release / IR</t>
        </is>
      </c>
      <c r="H18" t="inlineStr" s="8">
        <is>
          <t>Research report source cross-check</t>
        </is>
      </c>
      <c r="I18" t="inlineStr" s="8">
        <is>
          <t>Operating KPI, not a direct valuation input.</t>
        </is>
      </c>
      <c r="J18" t="inlineStr" s="8">
        <is>
          <t>Valuation row 24</t>
        </is>
      </c>
    </row>
    <row r="19">
      <c r="A19" t="inlineStr" s="2">
        <is>
          <t>Total account balance</t>
        </is>
      </c>
      <c r="B19" t="inlineStr">
        <is>
          <t>2025-12-31</t>
        </is>
      </c>
      <c r="C19" s="5">
        <v>60806.7</v>
      </c>
      <c r="D19" t="inlineStr">
        <is>
          <t>USD millions</t>
        </is>
      </c>
      <c r="E19" t="inlineStr" s="8">
        <is>
          <t>Q4/FY2025 6-K: https://www.sec.gov/Archives/edgar/data/1756699/000119312526115048/tigr-ex99_1.htm</t>
        </is>
      </c>
      <c r="F19" t="inlineStr" s="8">
        <is>
          <t>60,806.7</t>
        </is>
      </c>
      <c r="G19" t="inlineStr" s="8">
        <is>
          <t>Company release / IR</t>
        </is>
      </c>
      <c r="H19" t="inlineStr" s="8">
        <is>
          <t>Research report source cross-check</t>
        </is>
      </c>
      <c r="I19" t="inlineStr" s="8">
        <is>
          <t>Important for spread/commission durability.</t>
        </is>
      </c>
      <c r="J19" t="inlineStr" s="8">
        <is>
          <t>Valuation row 25</t>
        </is>
      </c>
    </row>
    <row r="20">
      <c r="A20" t="inlineStr" s="2">
        <is>
          <t>Margin financing and securities-lending balance</t>
        </is>
      </c>
      <c r="B20" t="inlineStr">
        <is>
          <t>2025-12-31</t>
        </is>
      </c>
      <c r="C20" s="5">
        <v>5400.0</v>
      </c>
      <c r="D20" t="inlineStr">
        <is>
          <t>USD millions</t>
        </is>
      </c>
      <c r="E20" t="inlineStr" s="8">
        <is>
          <t>Q4/FY2025 6-K: https://www.sec.gov/Archives/edgar/data/1756699/000119312526115048/tigr-ex99_1.htm</t>
        </is>
      </c>
      <c r="F20" t="inlineStr" s="8">
        <is>
          <t>5.4B</t>
        </is>
      </c>
      <c r="G20" t="inlineStr" s="8">
        <is>
          <t>Company release / IR</t>
        </is>
      </c>
      <c r="H20" t="inlineStr" s="8">
        <is>
          <t>Research report source cross-check</t>
        </is>
      </c>
      <c r="I20" t="inlineStr" s="8">
        <is>
          <t>Major net interest driver and risk item.</t>
        </is>
      </c>
      <c r="J20" t="inlineStr" s="8">
        <is>
          <t>Valuation row 26</t>
        </is>
      </c>
    </row>
    <row r="21">
      <c r="A21" t="inlineStr" s="2">
        <is>
          <t>CSRC penalty and confiscation</t>
        </is>
      </c>
      <c r="B21" t="inlineStr">
        <is>
          <t>2026-05-22</t>
        </is>
      </c>
      <c r="C21" s="5">
        <v>58.8</v>
      </c>
      <c r="D21" t="inlineStr">
        <is>
          <t>USD millions</t>
        </is>
      </c>
      <c r="E21" t="inlineStr" s="8">
        <is>
          <t>UP Fintech 6-K: https://www.sec.gov/Archives/edgar/data/1756699/000119312526235622/tigr-ex99.htm</t>
        </is>
      </c>
      <c r="F21" t="inlineStr" s="8">
        <is>
          <t>RMB308.1M penalty + RMB103.1M confiscation</t>
        </is>
      </c>
      <c r="G21" t="inlineStr" s="8">
        <is>
          <t>CSRC release: https://www.csrc.gov.cn/csrc/c100028/c7634330/content.shtml</t>
        </is>
      </c>
      <c r="H21" t="inlineStr" s="8">
        <is>
          <t>Xinhua operating restriction coverage: https://english.news.cn/20260522/a9d1956ab6c345ce9a12bd4d44c6fc80/c.html</t>
        </is>
      </c>
      <c r="I21" t="inlineStr" s="8">
        <is>
          <t>Converted at 20-F FX rate RMB6.9931/USD; operating restrictions modeled separately via scenario haircuts.</t>
        </is>
      </c>
      <c r="J21" t="inlineStr" s="8">
        <is>
          <t>Valuation row 36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90" customWidth="1"/>
    <col min="2" max="2" width="70" customWidth="1"/>
  </cols>
  <sheetData>
    <row r="1">
      <c r="A1" t="inlineStr" s="1">
        <is>
          <t>Questions / Underwriting Checklist</t>
        </is>
      </c>
    </row>
    <row r="2">
      <c r="A2" t="inlineStr" s="4">
        <is>
          <t>Question</t>
        </is>
      </c>
      <c r="B2" t="inlineStr" s="4">
        <is>
          <t>Why It Matters</t>
        </is>
      </c>
    </row>
    <row r="3">
      <c r="A3" t="inlineStr" s="8">
        <is>
          <t>Can management quantify mainland-China retail assets, revenue, and trading contribution after the CSRC action?</t>
        </is>
      </c>
      <c r="B3" t="inlineStr" s="8">
        <is>
          <t>Defines the revenue and asset pool at risk.</t>
        </is>
      </c>
    </row>
    <row r="4">
      <c r="A4" t="inlineStr" s="8">
        <is>
          <t>Do Q1/Q2 2026 funded customers and net asset inflows remain positive outside mainland China?</t>
        </is>
      </c>
      <c r="B4" t="inlineStr" s="8">
        <is>
          <t>Tests whether international growth can offset the mainland reset.</t>
        </is>
      </c>
    </row>
    <row r="5">
      <c r="A5" t="inlineStr" s="8">
        <is>
          <t>Does the two-year rectification period reduce buy orders, capital inflows, margin balances, or trading volume faster than modeled?</t>
        </is>
      </c>
      <c r="B5" t="inlineStr" s="8">
        <is>
          <t>Key downside risk that a fine turns into an operating impairment.</t>
        </is>
      </c>
    </row>
    <row r="6">
      <c r="A6" t="inlineStr" s="8">
        <is>
          <t>How much of FY2025 net interest contribution is sustainable if rates fall or margin balances shrink?</t>
        </is>
      </c>
      <c r="B6" t="inlineStr" s="8">
        <is>
          <t>Net interest was a major FY2025 profit driver.</t>
        </is>
      </c>
    </row>
    <row r="7">
      <c r="A7" t="inlineStr" s="8">
        <is>
          <t>Does self-clearing continue to lower execution/clearing costs without adding capital/liquidity stress?</t>
        </is>
      </c>
      <c r="B7" t="inlineStr" s="8">
        <is>
          <t>Self-clearing is both a margin opportunity and risk concentration.</t>
        </is>
      </c>
    </row>
    <row r="8">
      <c r="A8" t="inlineStr" s="8">
        <is>
          <t>Can wealth, ESOP, IPO distribution, and Hong Kong virtual asset services offset brokerage cyclicality?</t>
        </is>
      </c>
      <c r="B8" t="inlineStr" s="8">
        <is>
          <t>Higher-quality recurring revenue would improve valuation durability.</t>
        </is>
      </c>
    </row>
    <row r="9">
      <c r="A9" t="inlineStr" s="8">
        <is>
          <t>Does share count continue drifting higher through RSUs, convertibles, or capital raises?</t>
        </is>
      </c>
      <c r="B9" t="inlineStr" s="8">
        <is>
          <t>Per-ADS value is sensitive to denominator drift.</t>
        </is>
      </c>
    </row>
    <row r="10">
      <c r="A10" t="inlineStr" s="8">
        <is>
          <t>Are related-party brokerage-account balances stable and adequately explained each quarter?</t>
        </is>
      </c>
      <c r="B10" t="inlineStr" s="8">
        <is>
          <t>Sharp related-party balance movement deserves monitoring even if ordinary-course.</t>
        </is>
      </c>
    </row>
    <row r="11">
      <c r="A11" t="inlineStr" s="8">
        <is>
          <t>Does the company provide enough disclosure for regulatory capital and segregated cash to audit excess capital?</t>
        </is>
      </c>
      <c r="B11" t="inlineStr" s="8">
        <is>
          <t>Prevents treating restricted/customer cash as excess cash.</t>
        </is>
      </c>
    </row>
    <row r="12">
      <c r="A12" t="inlineStr" s="8">
        <is>
          <t>What evidence would justify moving from a mid/high-single-digit P/E to a double-digit multiple?</t>
        </is>
      </c>
      <c r="B12" t="inlineStr" s="8">
        <is>
          <t>Multiple expansion requires proof that regulatory and cyclicality risks are contained.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2"/>
  <sheetViews>
    <sheetView workbookViewId="0">
      <pane xSplit="0" ySplit="2" topLeftCell="A3" activePane="bottomRight" state="frozen"/>
    </sheetView>
  </sheetViews>
  <sheetFormatPr defaultRowHeight="15"/>
  <cols>
    <col min="1" max="1" width="34" customWidth="1"/>
    <col min="2" max="2" width="86" customWidth="1"/>
    <col min="3" max="3" width="62" customWidth="1"/>
    <col min="4" max="4" width="62" customWidth="1"/>
  </cols>
  <sheetData>
    <row r="1">
      <c r="A1" t="inlineStr" s="1">
        <is>
          <t>Sources</t>
        </is>
      </c>
    </row>
    <row r="2">
      <c r="A2" t="inlineStr" s="4">
        <is>
          <t>Source</t>
        </is>
      </c>
      <c r="B2" t="inlineStr" s="4">
        <is>
          <t>URL / Location</t>
        </is>
      </c>
      <c r="C2" t="inlineStr" s="4">
        <is>
          <t>Used For</t>
        </is>
      </c>
      <c r="D2" t="inlineStr" s="4">
        <is>
          <t>Notes</t>
        </is>
      </c>
    </row>
    <row r="3">
      <c r="A3" t="inlineStr" s="2">
        <is>
          <t>UP Fintech FY2025 Form 20-F</t>
        </is>
      </c>
      <c r="B3" t="inlineStr" s="8">
        <is>
          <t>https://www.sec.gov/Archives/edgar/data/1756699/000119312526174855/tigr-20251231.htm</t>
        </is>
      </c>
      <c r="C3" t="inlineStr" s="8">
        <is>
          <t>Annual actuals, balance sheet, share count, regulatory capital, related parties</t>
        </is>
      </c>
      <c r="D3" t="inlineStr" s="8">
        <is>
          <t>Primary source of truth for reported actuals.</t>
        </is>
      </c>
    </row>
    <row r="4">
      <c r="A4" t="inlineStr" s="2">
        <is>
          <t>UP Fintech Q4/FY2025 6-K Exhibit 99.1</t>
        </is>
      </c>
      <c r="B4" t="inlineStr" s="8">
        <is>
          <t>https://www.sec.gov/Archives/edgar/data/1756699/000119312526115048/tigr-ex99_1.htm</t>
        </is>
      </c>
      <c r="C4" t="inlineStr" s="8">
        <is>
          <t>FY2025 operating KPIs, Q4 data, shares, earnings release</t>
        </is>
      </c>
      <c r="D4" t="inlineStr" s="8">
        <is>
          <t>Primary company release for operating metrics.</t>
        </is>
      </c>
    </row>
    <row r="5">
      <c r="A5" t="inlineStr" s="2">
        <is>
          <t>UP Fintech CSRC penalty 6-K Exhibit 99</t>
        </is>
      </c>
      <c r="B5" t="inlineStr" s="8">
        <is>
          <t>https://www.sec.gov/Archives/edgar/data/1756699/000119312526235622/tigr-ex99.htm</t>
        </is>
      </c>
      <c r="C5" t="inlineStr" s="8">
        <is>
          <t>Penalty, confiscation, mainland client asset disclosure</t>
        </is>
      </c>
      <c r="D5" t="inlineStr" s="8">
        <is>
          <t>Company-filed regulatory event source.</t>
        </is>
      </c>
    </row>
    <row r="6">
      <c r="A6" t="inlineStr" s="2">
        <is>
          <t>CSRC May 22 2026 release</t>
        </is>
      </c>
      <c r="B6" t="inlineStr" s="8">
        <is>
          <t>https://www.csrc.gov.cn/csrc/c100028/c7634330/content.shtml</t>
        </is>
      </c>
      <c r="C6" t="inlineStr" s="8">
        <is>
          <t>Regulatory context on illegal cross-border securities activity</t>
        </is>
      </c>
      <c r="D6" t="inlineStr" s="8">
        <is>
          <t>Chinese-language regulator source.</t>
        </is>
      </c>
    </row>
    <row r="7">
      <c r="A7" t="inlineStr" s="2">
        <is>
          <t>Xinhua May 22 2026 article</t>
        </is>
      </c>
      <c r="B7" t="inlineStr" s="8">
        <is>
          <t>https://english.news.cn/20260522/a9d1956ab6c345ce9a12bd4d44c6fc80/c.html</t>
        </is>
      </c>
      <c r="C7" t="inlineStr" s="8">
        <is>
          <t>Two-year rectification / wind-down operating restriction context</t>
        </is>
      </c>
      <c r="D7" t="inlineStr" s="8">
        <is>
          <t>Secondary state-media source; operating details not all in company 6-K.</t>
        </is>
      </c>
    </row>
    <row r="8">
      <c r="A8" t="inlineStr" s="2">
        <is>
          <t>Stooq TIGR.US daily CSV</t>
        </is>
      </c>
      <c r="B8" t="inlineStr" s="8">
        <is>
          <t>https://stooq.com/q/l/?s=tigr.us&amp;i=d</t>
        </is>
      </c>
      <c r="C8" t="inlineStr" s="8">
        <is>
          <t>2026-05-26 close and quote date</t>
        </is>
      </c>
      <c r="D8" t="inlineStr" s="8">
        <is>
          <t>Static market snapshot, not live function.</t>
        </is>
      </c>
    </row>
    <row r="9">
      <c r="A9" t="inlineStr" s="2">
        <is>
          <t>FRED DGS10</t>
        </is>
      </c>
      <c r="B9" t="inlineStr" s="8">
        <is>
          <t>https://fred.stlouisfed.org/series/DGS10</t>
        </is>
      </c>
      <c r="C9" t="inlineStr" s="8">
        <is>
          <t>Risk-free rate input</t>
        </is>
      </c>
      <c r="D9" t="inlineStr" s="8">
        <is>
          <t>Latest pulled value: 4.56% on 2026-05-22.</t>
        </is>
      </c>
    </row>
    <row r="10">
      <c r="A10" t="inlineStr" s="2">
        <is>
          <t>StockAnalysis TIGR pages</t>
        </is>
      </c>
      <c r="B10" t="inlineStr" s="8">
        <is>
          <t>https://stockanalysis.com/stocks/tigr/</t>
        </is>
      </c>
      <c r="C10" t="inlineStr" s="8">
        <is>
          <t>Secondary financials, estimates, market-cap cross-check</t>
        </is>
      </c>
      <c r="D10" t="inlineStr" s="8">
        <is>
          <t>Used as secondary cross-check; filings control reported actuals.</t>
        </is>
      </c>
    </row>
    <row r="11">
      <c r="A11" t="inlineStr" s="2">
        <is>
          <t>MarketBeat TIGR pages</t>
        </is>
      </c>
      <c r="B11" t="inlineStr" s="8">
        <is>
          <t>https://www.marketbeat.com/stocks/NASDAQ/TIGR/</t>
        </is>
      </c>
      <c r="C11" t="inlineStr" s="8">
        <is>
          <t>Analyst sentiment, ownership, short-interest, market-cap discrepancy</t>
        </is>
      </c>
      <c r="D11" t="inlineStr" s="8">
        <is>
          <t>Vendor data may use different share-count basis.</t>
        </is>
      </c>
    </row>
    <row r="12">
      <c r="A12" t="inlineStr" s="2">
        <is>
          <t>Local research report</t>
        </is>
      </c>
      <c r="B12" t="inlineStr" s="8">
        <is>
          <t>research/TIGR.md</t>
        </is>
      </c>
      <c r="C12" t="inlineStr" s="8">
        <is>
          <t>Business narrative, scenario framing, risks, source list</t>
        </is>
      </c>
      <c r="D12" t="inlineStr" s="8">
        <is>
          <t>Same-day research artifact generated before workbook.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Valuation</vt:lpstr>
      <vt:lpstr>WACC</vt:lpstr>
      <vt:lpstr>Scenarios</vt:lpstr>
      <vt:lpstr>Actuals Source Audit</vt:lpstr>
      <vt:lpstr>Questions</vt:lpstr>
      <vt:lpstr>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UP Fintech TIGR DCF Model</dc:title>
  <dc:subject>DCF workbook</dc:subject>
  <dc:creator>Codex</dc:creator>
  <cp:keywords>TIGR, UP Fintech, DCF, residual income</cp:keywords>
  <dcterms:created xsi:type="dcterms:W3CDTF">2026-05-27T13:00:07+00:00</dcterms:created>
  <dcterms:modified xsi:type="dcterms:W3CDTF">2026-05-27T13:00:07+00:00</dcterms:modified>
</cp:coreProperties>
</file>