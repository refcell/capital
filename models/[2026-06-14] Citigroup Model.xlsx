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333333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50" customWidth="1" min="4" max="4"/>
  </cols>
  <sheetData>
    <row r="1">
      <c r="A1" s="1" t="inlineStr">
        <is>
          <t>Citigroup Inc. (NYSE: C) Valuation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Price</t>
        </is>
      </c>
      <c r="B4" s="3" t="inlineStr">
        <is>
          <t>$139.83</t>
        </is>
      </c>
      <c r="C4" s="3" t="inlineStr">
        <is>
          <t>Jun 12, 2026 close</t>
        </is>
      </c>
    </row>
    <row r="5">
      <c r="A5" s="3" t="inlineStr">
        <is>
          <t>Shares outstanding</t>
        </is>
      </c>
      <c r="B5" s="3" t="inlineStr">
        <is>
          <t>1.71B</t>
        </is>
      </c>
      <c r="C5" s="3" t="inlineStr">
        <is>
          <t>StockAnalysis</t>
        </is>
      </c>
    </row>
    <row r="6">
      <c r="A6" s="3" t="inlineStr">
        <is>
          <t>Market cap</t>
        </is>
      </c>
      <c r="B6" s="3" t="inlineStr">
        <is>
          <t>$238.49B</t>
        </is>
      </c>
      <c r="C6" s="3" t="inlineStr">
        <is>
          <t>1.71B × $139.83</t>
        </is>
      </c>
    </row>
    <row r="7">
      <c r="A7" s="3" t="inlineStr">
        <is>
          <t>Enterprise value (reported)</t>
        </is>
      </c>
      <c r="B7" s="3" t="inlineStr">
        <is>
          <t>$7.50B</t>
        </is>
      </c>
      <c r="C7" s="3" t="inlineStr">
        <is>
          <t>Misleading for bank — deposits distort EV calc</t>
        </is>
      </c>
    </row>
    <row r="8">
      <c r="A8" s="3" t="inlineStr">
        <is>
          <t>TTM Revenue (revenues b/l loan losses)</t>
        </is>
      </c>
      <c r="B8" s="3" t="inlineStr">
        <is>
          <t>$88.26B</t>
        </is>
      </c>
      <c r="C8" s="3" t="inlineStr">
        <is>
          <t>NII + NII_income</t>
        </is>
      </c>
    </row>
    <row r="9">
      <c r="A9" s="3" t="inlineStr">
        <is>
          <t>TTM Net interest income</t>
        </is>
      </c>
      <c r="B9" s="3" t="inlineStr">
        <is>
          <t>$61.52B</t>
        </is>
      </c>
      <c r="C9" s="3" t="inlineStr">
        <is>
          <t>70% of revenue</t>
        </is>
      </c>
    </row>
    <row r="10">
      <c r="A10" s="3" t="inlineStr">
        <is>
          <t>TTM Non-interest income</t>
        </is>
      </c>
      <c r="B10" s="3" t="inlineStr">
        <is>
          <t>$26.74B</t>
        </is>
      </c>
      <c r="C10" s="3" t="inlineStr">
        <is>
          <t>Fee, trading, insurance</t>
        </is>
      </c>
    </row>
    <row r="11">
      <c r="A11" s="3" t="inlineStr">
        <is>
          <t>TTM Provision for credit losses</t>
        </is>
      </c>
      <c r="B11" s="3" t="inlineStr">
        <is>
          <t>$10.35B</t>
        </is>
      </c>
      <c r="C11" s="3" t="inlineStr">
        <is>
          <t>Tripled from FY2022</t>
        </is>
      </c>
    </row>
    <row r="12">
      <c r="A12" s="3" t="inlineStr">
        <is>
          <t>TTM Net income</t>
        </is>
      </c>
      <c r="B12" s="3" t="inlineStr">
        <is>
          <t>$14.69B</t>
        </is>
      </c>
    </row>
    <row r="13">
      <c r="A13" s="4" t="inlineStr">
        <is>
          <t>Key Valuation Metrics</t>
        </is>
      </c>
      <c r="B13" s="3" t="inlineStr">
        <is>
          <t>$8.04</t>
        </is>
      </c>
    </row>
    <row r="14">
      <c r="A14" s="2" t="inlineStr">
        <is>
          <t>Metric</t>
        </is>
      </c>
      <c r="B14" s="2" t="inlineStr">
        <is>
          <t>Value</t>
        </is>
      </c>
      <c r="C14" s="2" t="inlineStr">
        <is>
          <t>Peer Comparison</t>
        </is>
      </c>
      <c r="D14" s="2" t="inlineStr">
        <is>
          <t>Notes</t>
        </is>
      </c>
    </row>
    <row r="15">
      <c r="A15" s="3" t="inlineStr">
        <is>
          <t>PE Ratio</t>
        </is>
      </c>
      <c r="B15" s="3" t="inlineStr">
        <is>
          <t>17.39</t>
        </is>
      </c>
      <c r="C15" s="3" t="inlineStr">
        <is>
          <t>Above peer median</t>
        </is>
      </c>
      <c r="D15" s="3" t="inlineStr">
        <is>
          <t>Trailing P/E</t>
        </is>
      </c>
    </row>
    <row r="16">
      <c r="A16" s="3" t="inlineStr">
        <is>
          <t>Forward PE</t>
        </is>
      </c>
      <c r="B16" s="3" t="inlineStr">
        <is>
          <t>12.59</t>
        </is>
      </c>
      <c r="C16" s="3" t="inlineStr">
        <is>
          <t>Cheap to peer median of ~11-13x</t>
        </is>
      </c>
      <c r="D16" s="3" t="inlineStr">
        <is>
          <t>Prices in 38% EPS growth</t>
        </is>
      </c>
    </row>
    <row r="17">
      <c r="A17" s="3" t="inlineStr">
        <is>
          <t>P/B Ratio</t>
        </is>
      </c>
      <c r="B17" s="3" t="inlineStr">
        <is>
          <t>1.25</t>
        </is>
      </c>
      <c r="C17" s="3" t="inlineStr">
        <is>
          <t>JPM 1.9x, BAC 1.3x, WFC 1.2x</t>
        </is>
      </c>
      <c r="D17" s="3" t="inlineStr">
        <is>
          <t>Cheap on P/B but ROE is 7.65%</t>
        </is>
      </c>
    </row>
    <row r="18">
      <c r="A18" s="3" t="inlineStr">
        <is>
          <t>ROE</t>
        </is>
      </c>
      <c r="B18" s="3" t="inlineStr">
        <is>
          <t>7.65%</t>
        </is>
      </c>
      <c r="C18" s="3" t="inlineStr">
        <is>
          <t>JPM ~15%, BAC ~12%, WFC ~10%</t>
        </is>
      </c>
      <c r="D18" s="3" t="inlineStr">
        <is>
          <t>Below historical average and peers</t>
        </is>
      </c>
    </row>
    <row r="19">
      <c r="A19" s="3" t="inlineStr">
        <is>
          <t>PEG Ratio</t>
        </is>
      </c>
      <c r="B19" s="3" t="inlineStr">
        <is>
          <t>0.50</t>
        </is>
      </c>
      <c r="C19" s="3" t="inlineStr">
        <is>
          <t>Below 1.0 = potentially undervalued</t>
        </is>
      </c>
      <c r="D19" s="3" t="inlineStr">
        <is>
          <t>Only meaningful if growth holds</t>
        </is>
      </c>
    </row>
    <row r="20">
      <c r="A20" s="3" t="inlineStr">
        <is>
          <t>Price target (avg)</t>
        </is>
      </c>
      <c r="B20" s="3" t="inlineStr">
        <is>
          <t>$146.93</t>
        </is>
      </c>
      <c r="C20" s="3" t="inlineStr">
        <is>
          <t>5.1% upside</t>
        </is>
      </c>
      <c r="D20" s="3" t="inlineStr">
        <is>
          <t>22 analysts, Buy consensus</t>
        </is>
      </c>
    </row>
    <row r="21">
      <c r="A21" s="5" t="inlineStr">
        <is>
          <t>Comment: The forward P/E of 12.59x only looks cheap if the 38% EPS growth expected by consensus actually materializes. At trailing 17.39x and 7.65% ROE, the stock is priced as if the turnaround is priced in — which it largely is. P/B of 1.25x is fair to slightly cheap given ROE of 7.65%, but if ROE improves to 10%+, 1.25x is cheap.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50" customWidth="1" min="4" max="4"/>
  </cols>
  <sheetData>
    <row r="1">
      <c r="A1" s="1" t="inlineStr">
        <is>
          <t>Citigroup WACC — CAPM Components</t>
        </is>
      </c>
    </row>
    <row r="3">
      <c r="A3" s="2" t="inlineStr">
        <is>
          <t>Component</t>
        </is>
      </c>
      <c r="B3" s="2" t="inlineStr">
        <is>
          <t>Value</t>
        </is>
      </c>
      <c r="C3" s="2" t="inlineStr">
        <is>
          <t>Source</t>
        </is>
      </c>
      <c r="D3" s="2" t="inlineStr">
        <is>
          <t>Notes</t>
        </is>
      </c>
    </row>
    <row r="4">
      <c r="A4" s="3" t="inlineStr">
        <is>
          <t>Risk-free rate (10Y US Treas)</t>
        </is>
      </c>
      <c r="B4" s="3" t="inlineStr">
        <is>
          <t>4.30%</t>
        </is>
      </c>
      <c r="C4" s="3" t="inlineStr">
        <is>
          <t>FRED DGS10, accessed 2026-06-14</t>
        </is>
      </c>
      <c r="D4" s="3" t="inlineStr">
        <is>
          <t>Approximate — rates have risen modestly</t>
        </is>
      </c>
    </row>
    <row r="5">
      <c r="A5" s="3" t="inlineStr">
        <is>
          <t>Equity risk premium</t>
        </is>
      </c>
      <c r="B5" s="3" t="inlineStr">
        <is>
          <t>5.00%</t>
        </is>
      </c>
      <c r="C5" s="3" t="inlineStr">
        <is>
          <t>Assumption</t>
        </is>
      </c>
      <c r="D5" s="3" t="inlineStr">
        <is>
          <t>Standard ERP for large-cap US equities</t>
        </is>
      </c>
    </row>
    <row r="6">
      <c r="A6" s="3" t="inlineStr">
        <is>
          <t>Beta (levered)</t>
        </is>
      </c>
      <c r="B6" s="3" t="inlineStr">
        <is>
          <t>1.11</t>
        </is>
      </c>
      <c r="C6" s="3" t="inlineStr">
        <is>
          <t>StockAnalysis</t>
        </is>
      </c>
      <c r="D6" s="3" t="inlineStr">
        <is>
          <t>Systematic risk relative to market</t>
        </is>
      </c>
    </row>
    <row r="7">
      <c r="A7" s="3" t="inlineStr">
        <is>
          <t>Cost of equity (CAPM)</t>
        </is>
      </c>
      <c r="B7" s="3" t="inlineStr">
        <is>
          <t>9.82%</t>
        </is>
      </c>
      <c r="C7" s="3">
        <f> 4.30 + 1.11 × 5.00</f>
        <v/>
      </c>
      <c r="D7" s="3" t="inlineStr">
        <is>
          <t>Re = Rf + Beta × ERP</t>
        </is>
      </c>
    </row>
    <row r="8">
      <c r="A8" s="3" t="inlineStr">
        <is>
          <t>Cost of debt</t>
        </is>
      </c>
      <c r="B8" s="3" t="inlineStr">
        <is>
          <t>3.50%</t>
        </is>
      </c>
      <c r="C8" s="3" t="inlineStr">
        <is>
          <t>Proxy</t>
        </is>
      </c>
      <c r="D8" s="3" t="inlineStr">
        <is>
          <t>Approximate bank deposit/wholesale funding rate after simplification</t>
        </is>
      </c>
    </row>
    <row r="9">
      <c r="A9" s="3" t="inlineStr">
        <is>
          <t>Tax rate</t>
        </is>
      </c>
      <c r="B9" s="3" t="inlineStr">
        <is>
          <t>21.0%</t>
        </is>
      </c>
      <c r="C9" s="3" t="inlineStr">
        <is>
          <t>US federal corporate rate</t>
        </is>
      </c>
      <c r="D9" s="3" t="inlineStr">
        <is>
          <t>State taxes are incremental but small</t>
        </is>
      </c>
    </row>
    <row r="10">
      <c r="A10" s="3" t="inlineStr">
        <is>
          <t>Market cap</t>
        </is>
      </c>
      <c r="B10" s="3" t="inlineStr">
        <is>
          <t>$238.49B</t>
        </is>
      </c>
      <c r="C10" s="3" t="inlineStr">
        <is>
          <t>StockAnalysis</t>
        </is>
      </c>
      <c r="D10" s="3" t="inlineStr"/>
    </row>
    <row r="11">
      <c r="A11" s="3" t="inlineStr">
        <is>
          <t>Total debt</t>
        </is>
      </c>
      <c r="B11" s="3" t="inlineStr">
        <is>
          <t>$385.70B</t>
        </is>
      </c>
      <c r="C11" s="3" t="inlineStr">
        <is>
          <t>StockAnalysis balance sheet</t>
        </is>
      </c>
      <c r="D11" s="3" t="inlineStr">
        <is>
          <t>Includes long-term debt and subordinated debt</t>
        </is>
      </c>
    </row>
    <row r="12">
      <c r="A12" s="3" t="inlineStr">
        <is>
          <t>Equity weight</t>
        </is>
      </c>
      <c r="B12" s="3" t="inlineStr">
        <is>
          <t>38.2%</t>
        </is>
      </c>
      <c r="C12" s="3">
        <f> MC / (MC + Debt)</f>
        <v/>
      </c>
      <c r="D12" s="3" t="inlineStr">
        <is>
          <t>Significant simplification reduces debt from $708B to $386B</t>
        </is>
      </c>
    </row>
    <row r="13">
      <c r="A13" s="3" t="inlineStr">
        <is>
          <t>Debt weight</t>
        </is>
      </c>
      <c r="B13" s="3" t="inlineStr">
        <is>
          <t>61.8%</t>
        </is>
      </c>
      <c r="C13" s="3">
        <f> Debt / (MC + Debt)</f>
        <v/>
      </c>
      <c r="D13" s="3" t="inlineStr"/>
    </row>
    <row r="14">
      <c r="A14" s="3" t="inlineStr">
        <is>
          <t>WACC</t>
        </is>
      </c>
      <c r="B14" s="3" t="inlineStr">
        <is>
          <t>8.42%</t>
        </is>
      </c>
      <c r="C14" s="3">
        <f> 0.382 × 9.82 + 0.618 × 3.50 × (1 - 0.21)</f>
        <v/>
      </c>
      <c r="D14" s="3" t="inlineStr">
        <is>
          <t>After-tax weighted average</t>
        </is>
      </c>
    </row>
    <row r="15">
      <c r="A15" s="5" t="inlineStr">
        <is>
          <t>Note: For a bank, WACC is less useful than it is for industrial companies because the primary valuation lens is P/B and ROE. Cost of debt is approximated as the average deposit/funding cost. The WACC above is primarily for scenario modeling purposes.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10" customWidth="1" min="4" max="4"/>
    <col width="30" customWidth="1" min="5" max="5"/>
    <col width="10" customWidth="1" min="6" max="6"/>
    <col width="30" customWidth="1" min="7" max="7"/>
  </cols>
  <sheetData>
    <row r="1">
      <c r="A1" s="1" t="inlineStr">
        <is>
          <t>Citigroup Scenarios — Bear / Base / Bull</t>
        </is>
      </c>
    </row>
    <row r="3">
      <c r="A3" s="2" t="inlineStr">
        <is>
          <t>Metric</t>
        </is>
      </c>
      <c r="B3" s="2" t="inlineStr">
        <is>
          <t>Bear</t>
        </is>
      </c>
      <c r="C3" s="2" t="inlineStr">
        <is>
          <t>Bear Notes</t>
        </is>
      </c>
      <c r="D3" s="2" t="inlineStr">
        <is>
          <t>Base</t>
        </is>
      </c>
      <c r="E3" s="2" t="inlineStr">
        <is>
          <t>Base Notes</t>
        </is>
      </c>
      <c r="F3" s="2" t="inlineStr">
        <is>
          <t>Bull</t>
        </is>
      </c>
      <c r="G3" s="2" t="inlineStr">
        <is>
          <t>Bull Notes</t>
        </is>
      </c>
    </row>
    <row r="4">
      <c r="A4" s="3" t="inlineStr">
        <is>
          <t>Revenue CAGR (5Y)</t>
        </is>
      </c>
      <c r="B4" s="3" t="inlineStr">
        <is>
          <t>3.0%</t>
        </is>
      </c>
      <c r="C4" s="3" t="inlineStr">
        <is>
          <t>NII growth slows</t>
        </is>
      </c>
      <c r="D4" s="3" t="inlineStr">
        <is>
          <t>5.0%</t>
        </is>
      </c>
      <c r="E4" s="3" t="inlineStr">
        <is>
          <t>Moderate growth continues</t>
        </is>
      </c>
      <c r="F4" s="3" t="inlineStr">
        <is>
          <t>7.0%</t>
        </is>
      </c>
      <c r="G4" s="3" t="inlineStr">
        <is>
          <t>Franchise compounding</t>
        </is>
      </c>
    </row>
    <row r="5">
      <c r="A5" s="3" t="inlineStr">
        <is>
          <t>Terminal Revenue (FY2031)</t>
        </is>
      </c>
      <c r="B5" s="3" t="inlineStr">
        <is>
          <t>$103B</t>
        </is>
      </c>
      <c r="C5" s="3" t="inlineStr">
        <is>
          <t>Conservative</t>
        </is>
      </c>
      <c r="D5" s="3" t="inlineStr">
        <is>
          <t>$112B</t>
        </is>
      </c>
      <c r="E5" s="3" t="inlineStr">
        <is>
          <t>Base</t>
        </is>
      </c>
      <c r="F5" s="3" t="inlineStr">
        <is>
          <t>$120B</t>
        </is>
      </c>
      <c r="G5" s="3" t="inlineStr">
        <is>
          <t>Aggressive</t>
        </is>
      </c>
    </row>
    <row r="6">
      <c r="A6" s="3" t="inlineStr">
        <is>
          <t>Net margin</t>
        </is>
      </c>
      <c r="B6" s="3" t="inlineStr">
        <is>
          <t>26.0%</t>
        </is>
      </c>
      <c r="C6" s="3" t="inlineStr">
        <is>
          <t>Credit costs rise</t>
        </is>
      </c>
      <c r="D6" s="3" t="inlineStr">
        <is>
          <t>31.0%</t>
        </is>
      </c>
      <c r="E6" s="3" t="inlineStr">
        <is>
          <t>Stable</t>
        </is>
      </c>
      <c r="F6" s="3" t="inlineStr">
        <is>
          <t>35.0%</t>
        </is>
      </c>
      <c r="G6" s="3" t="inlineStr">
        <is>
          <t>High ROE, low credit costs</t>
        </is>
      </c>
    </row>
    <row r="7">
      <c r="A7" s="3" t="inlineStr">
        <is>
          <t>Terminal Net Income (FY2031)</t>
        </is>
      </c>
      <c r="B7" s="3" t="inlineStr">
        <is>
          <t>$27B</t>
        </is>
      </c>
      <c r="C7" s="3" t="inlineStr">
        <is>
          <t>Below current</t>
        </is>
      </c>
      <c r="D7" s="3" t="inlineStr">
        <is>
          <t>$35B</t>
        </is>
      </c>
      <c r="E7" s="3" t="inlineStr">
        <is>
          <t>Above current</t>
        </is>
      </c>
      <c r="F7" s="3" t="inlineStr">
        <is>
          <t>$42B</t>
        </is>
      </c>
      <c r="G7" s="3" t="inlineStr">
        <is>
          <t>High earnings power</t>
        </is>
      </c>
    </row>
    <row r="8">
      <c r="A8" s="3" t="inlineStr">
        <is>
          <t>ROE</t>
        </is>
      </c>
      <c r="B8" s="3" t="inlineStr">
        <is>
          <t>7.0%</t>
        </is>
      </c>
      <c r="C8" s="3" t="inlineStr">
        <is>
          <t>Stagnant</t>
        </is>
      </c>
      <c r="D8" s="3" t="inlineStr">
        <is>
          <t>11.0%</t>
        </is>
      </c>
      <c r="E8" s="3" t="inlineStr">
        <is>
          <t>Improvement</t>
        </is>
      </c>
      <c r="F8" s="3" t="inlineStr">
        <is>
          <t>14.0%</t>
        </is>
      </c>
      <c r="G8" s="3" t="inlineStr">
        <is>
          <t>Great returns</t>
        </is>
      </c>
    </row>
    <row r="9">
      <c r="A9" s="3" t="inlineStr">
        <is>
          <t>Exit P/B</t>
        </is>
      </c>
      <c r="B9" s="3" t="inlineStr">
        <is>
          <t>1.00x</t>
        </is>
      </c>
      <c r="C9" s="3" t="inlineStr">
        <is>
          <t>Multiple compression</t>
        </is>
      </c>
      <c r="D9" s="3" t="inlineStr">
        <is>
          <t>1.30x</t>
        </is>
      </c>
      <c r="E9" s="3" t="inlineStr">
        <is>
          <t>Fair for 11% ROE</t>
        </is>
      </c>
      <c r="F9" s="3" t="inlineStr">
        <is>
          <t>1.60x</t>
        </is>
      </c>
      <c r="G9" s="3" t="inlineStr">
        <is>
          <t>High-quality premium</t>
        </is>
      </c>
    </row>
    <row r="10">
      <c r="A10" s="3" t="inlineStr">
        <is>
          <t>Implied book value/share (FY2031)</t>
        </is>
      </c>
      <c r="B10" s="3" t="inlineStr">
        <is>
          <t>$195</t>
        </is>
      </c>
      <c r="C10" s="3">
        <f> $350B / 1.79B</f>
        <v/>
      </c>
      <c r="D10" s="3" t="inlineStr"/>
      <c r="E10" s="3" t="inlineStr">
        <is>
          <t>$175</t>
        </is>
      </c>
      <c r="F10" s="3">
        <f> $314B / 1.79B</f>
        <v/>
      </c>
      <c r="G10" s="3" t="inlineStr"/>
      <c r="H10" s="3" t="inlineStr">
        <is>
          <t>$168</t>
        </is>
      </c>
      <c r="I10" s="3">
        <f> $301B / 1.79B</f>
        <v/>
      </c>
    </row>
    <row r="11">
      <c r="A11" s="3" t="inlineStr">
        <is>
          <t>Target price per share</t>
        </is>
      </c>
      <c r="B11" s="3" t="inlineStr">
        <is>
          <t>$195</t>
        </is>
      </c>
      <c r="C11" s="3" t="inlineStr">
        <is>
          <t>Bear P/B × BVPS</t>
        </is>
      </c>
      <c r="D11" s="3" t="inlineStr"/>
      <c r="E11" s="3" t="inlineStr">
        <is>
          <t>$228</t>
        </is>
      </c>
      <c r="F11" s="3" t="inlineStr">
        <is>
          <t>Base P/B × BVPS</t>
        </is>
      </c>
      <c r="G11" s="3" t="inlineStr"/>
      <c r="H11" s="3" t="inlineStr">
        <is>
          <t>$269</t>
        </is>
      </c>
      <c r="I11" s="3" t="inlineStr">
        <is>
          <t>Bull P/B × BVPS</t>
        </is>
      </c>
    </row>
    <row r="12">
      <c r="A12" s="3" t="inlineStr">
        <is>
          <t>Upside from $139.83</t>
        </is>
      </c>
      <c r="B12" s="3" t="inlineStr">
        <is>
          <t>+39.5%</t>
        </is>
      </c>
      <c r="C12" s="3" t="inlineStr">
        <is>
          <t>Unlikely at bear</t>
        </is>
      </c>
      <c r="D12" s="3" t="inlineStr"/>
      <c r="E12" s="3" t="inlineStr">
        <is>
          <t>+63.1%</t>
        </is>
      </c>
      <c r="F12" s="3" t="inlineStr">
        <is>
          <t>Requires ROE proof</t>
        </is>
      </c>
      <c r="G12" s="3" t="inlineStr"/>
      <c r="H12" s="3" t="inlineStr">
        <is>
          <t>+92.4%</t>
        </is>
      </c>
      <c r="I12" s="3" t="inlineStr">
        <is>
          <t>Requires transformation</t>
        </is>
      </c>
    </row>
    <row r="13">
      <c r="A13" s="3" t="inlineStr">
        <is>
          <t>Scenario weight</t>
        </is>
      </c>
      <c r="B13" s="3" t="inlineStr">
        <is>
          <t>25%</t>
        </is>
      </c>
      <c r="C13" s="3" t="inlineStr">
        <is>
          <t>Credit + rates risk</t>
        </is>
      </c>
      <c r="D13" s="3" t="inlineStr"/>
      <c r="E13" s="3" t="inlineStr">
        <is>
          <t>50%</t>
        </is>
      </c>
      <c r="F13" s="3" t="inlineStr">
        <is>
          <t>Base outcome</t>
        </is>
      </c>
      <c r="G13" s="3" t="inlineStr"/>
      <c r="H13" s="3" t="inlineStr">
        <is>
          <t>25%</t>
        </is>
      </c>
      <c r="I13" s="3" t="inlineStr">
        <is>
          <t>High-end outcome</t>
        </is>
      </c>
    </row>
    <row r="14">
      <c r="A14" s="3" t="inlineStr">
        <is>
          <t>Weighted value per share</t>
        </is>
      </c>
      <c r="B14" s="3" t="inlineStr">
        <is>
          <t>$49</t>
        </is>
      </c>
      <c r="C14" s="3" t="inlineStr"/>
      <c r="D14" s="3" t="inlineStr">
        <is>
          <t>$114</t>
        </is>
      </c>
      <c r="E14" s="3" t="inlineStr"/>
      <c r="F14" s="3" t="inlineStr">
        <is>
          <t>$67</t>
        </is>
      </c>
      <c r="G14" s="3" t="inlineStr"/>
      <c r="H14" s="3" t="inlineStr"/>
    </row>
    <row r="15">
      <c r="A15" s="3" t="inlineStr">
        <is>
          <t>Probability-weighted FV</t>
        </is>
      </c>
      <c r="B15" s="3" t="inlineStr"/>
      <c r="C15" s="3" t="inlineStr"/>
      <c r="D15" s="3" t="inlineStr"/>
      <c r="E15" s="3" t="inlineStr"/>
      <c r="F15" s="3" t="inlineStr"/>
      <c r="G15" s="3" t="inlineStr">
        <is>
          <t>$330</t>
        </is>
      </c>
      <c r="H15" s="3">
        <f> $49 + $114 + $67</f>
        <v/>
      </c>
    </row>
    <row r="16">
      <c r="A16" s="5" t="inlineStr">
        <is>
          <t>Note: Bank scenario modeling uses P/B exit multiples rather than FCF multiples because banks have unique cash flow profiles. Book value per share assumes 1.79B shares (modest dilution from potential capital raises over 5 years). Upside is relative to current price of $139.83. The base case probability-weighted FV of ~$230 implies significant upside if ROE improves meaningfully. This is optimistic relative to the current analyst consensus target of $146.93.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  <col width="20" customWidth="1" min="4" max="4"/>
    <col width="40" customWidth="1" min="5" max="5"/>
  </cols>
  <sheetData>
    <row r="1">
      <c r="A1" s="1" t="inlineStr">
        <is>
          <t>Actuals Source Audit — Citigroup (C)</t>
        </is>
      </c>
    </row>
    <row r="3">
      <c r="A3" s="2" t="inlineStr">
        <is>
          <t>Data Point</t>
        </is>
      </c>
      <c r="B3" s="2" t="inlineStr">
        <is>
          <t>Value</t>
        </is>
      </c>
      <c r="C3" s="2" t="inlineStr">
        <is>
          <t>Source</t>
        </is>
      </c>
      <c r="D3" s="2" t="inlineStr">
        <is>
          <t>Date</t>
        </is>
      </c>
      <c r="E3" s="2" t="inlineStr">
        <is>
          <t>Notes</t>
        </is>
      </c>
    </row>
    <row r="4">
      <c r="A4" s="3" t="inlineStr">
        <is>
          <t>Stock price</t>
        </is>
      </c>
      <c r="B4" s="3" t="inlineStr">
        <is>
          <t>$139.83</t>
        </is>
      </c>
      <c r="C4" s="3" t="inlineStr">
        <is>
          <t>StockAnalysis overview</t>
        </is>
      </c>
      <c r="D4" s="3" t="inlineStr">
        <is>
          <t>2026-06-12 close</t>
        </is>
      </c>
      <c r="E4" s="3" t="inlineStr">
        <is>
          <t>Jun 12, 2026 close</t>
        </is>
      </c>
    </row>
    <row r="5">
      <c r="A5" s="3" t="inlineStr">
        <is>
          <t>Market cap</t>
        </is>
      </c>
      <c r="B5" s="3" t="inlineStr">
        <is>
          <t>$238.49B</t>
        </is>
      </c>
      <c r="C5" s="3" t="inlineStr">
        <is>
          <t>StockAnalysis statistics</t>
        </is>
      </c>
      <c r="D5" s="3" t="inlineStr">
        <is>
          <t>2026-06-14</t>
        </is>
      </c>
      <c r="E5" s="3" t="inlineStr">
        <is>
          <t>1.71B shares × $139.83</t>
        </is>
      </c>
    </row>
    <row r="6">
      <c r="A6" s="3" t="inlineStr">
        <is>
          <t>Shares outstanding</t>
        </is>
      </c>
      <c r="B6" s="3" t="inlineStr">
        <is>
          <t>1.71B</t>
        </is>
      </c>
      <c r="C6" s="3" t="inlineStr">
        <is>
          <t>StockAnalysis</t>
        </is>
      </c>
      <c r="D6" s="3" t="inlineStr">
        <is>
          <t>TTM as of Q1 2026</t>
        </is>
      </c>
      <c r="E6" s="3" t="inlineStr">
        <is>
          <t>Down 5.02% YoY</t>
        </is>
      </c>
    </row>
    <row r="7">
      <c r="A7" s="3" t="inlineStr">
        <is>
          <t>Enterprise value (reported)</t>
        </is>
      </c>
      <c r="B7" s="3" t="inlineStr">
        <is>
          <t>$7.50B</t>
        </is>
      </c>
      <c r="C7" s="3" t="inlineStr">
        <is>
          <t>StockAnalysis</t>
        </is>
      </c>
      <c r="D7" s="3" t="inlineStr">
        <is>
          <t>2026-06-14</t>
        </is>
      </c>
      <c r="E7" s="3" t="inlineStr">
        <is>
          <t>Misleading for bank — deposits distort EV calc</t>
        </is>
      </c>
    </row>
    <row r="8">
      <c r="A8" s="3" t="inlineStr">
        <is>
          <t>TTM Revenue (rev b/l losses)</t>
        </is>
      </c>
      <c r="B8" s="3" t="inlineStr">
        <is>
          <t>$88,262M</t>
        </is>
      </c>
      <c r="C8" s="3" t="inlineStr">
        <is>
          <t>StockAnalysis income stmt</t>
        </is>
      </c>
      <c r="D8" s="3" t="inlineStr">
        <is>
          <t>TTM Mar 2026</t>
        </is>
      </c>
      <c r="E8" s="3" t="inlineStr">
        <is>
          <t>NII + NII_inc</t>
        </is>
      </c>
    </row>
    <row r="9">
      <c r="A9" s="3" t="inlineStr">
        <is>
          <t>TTM Net interest income</t>
        </is>
      </c>
      <c r="B9" s="3" t="inlineStr">
        <is>
          <t>$61,521M</t>
        </is>
      </c>
      <c r="C9" s="3" t="inlineStr">
        <is>
          <t>StockAnalysis income stmt</t>
        </is>
      </c>
      <c r="D9" s="3" t="inlineStr">
        <is>
          <t>TTM Mar 2026</t>
        </is>
      </c>
      <c r="E9" s="3" t="inlineStr">
        <is>
          <t>+12.68% YoY</t>
        </is>
      </c>
    </row>
    <row r="10">
      <c r="A10" s="3" t="inlineStr">
        <is>
          <t>TTM Non-interest income</t>
        </is>
      </c>
      <c r="B10" s="3" t="inlineStr">
        <is>
          <t>$26,741M</t>
        </is>
      </c>
      <c r="C10" s="3" t="inlineStr">
        <is>
          <t>StockAnalysis income stmt</t>
        </is>
      </c>
      <c r="D10" s="3" t="inlineStr">
        <is>
          <t>TTM Mar 2026</t>
        </is>
      </c>
      <c r="E10" s="3" t="inlineStr">
        <is>
          <t>Flat +0.15% YoY</t>
        </is>
      </c>
    </row>
    <row r="11">
      <c r="A11" s="3" t="inlineStr">
        <is>
          <t>TTM Provision for credit losses</t>
        </is>
      </c>
      <c r="B11" s="3" t="inlineStr">
        <is>
          <t>$10,347M</t>
        </is>
      </c>
      <c r="C11" s="3" t="inlineStr">
        <is>
          <t>StockAnalysis income stmt</t>
        </is>
      </c>
      <c r="D11" s="3" t="inlineStr">
        <is>
          <t>TTM Mar 2026</t>
        </is>
      </c>
      <c r="E11" s="3" t="inlineStr">
        <is>
          <t>Tripled from FY2022</t>
        </is>
      </c>
    </row>
    <row r="12">
      <c r="A12" s="3" t="inlineStr">
        <is>
          <t>TTM Operating expenses</t>
        </is>
      </c>
      <c r="B12" s="3" t="inlineStr">
        <is>
          <t>$51,419M</t>
        </is>
      </c>
      <c r="C12" s="3" t="inlineStr">
        <is>
          <t>StockAnalysis income stmt</t>
        </is>
      </c>
      <c r="D12" s="3" t="inlineStr">
        <is>
          <t>TTM Mar 2026</t>
        </is>
      </c>
      <c r="E12" s="3" t="inlineStr">
        <is>
          <t>-2.2% YoY</t>
        </is>
      </c>
    </row>
    <row r="13">
      <c r="A13" s="3" t="inlineStr">
        <is>
          <t>TTM Net income</t>
        </is>
      </c>
      <c r="B13" s="3" t="inlineStr">
        <is>
          <t>$14,690M</t>
        </is>
      </c>
      <c r="C13" s="3" t="inlineStr">
        <is>
          <t>StockAnalysis income stmt</t>
        </is>
      </c>
      <c r="D13" s="3" t="inlineStr">
        <is>
          <t>TTM Mar 2026</t>
        </is>
      </c>
      <c r="E13" s="3" t="inlineStr">
        <is>
          <t>+19.8% YoY</t>
        </is>
      </c>
    </row>
    <row r="14">
      <c r="A14" s="3" t="inlineStr">
        <is>
          <t>TTM EPS</t>
        </is>
      </c>
      <c r="B14" s="3" t="inlineStr">
        <is>
          <t>$8.04</t>
        </is>
      </c>
      <c r="C14" s="3" t="inlineStr">
        <is>
          <t>StockAnalysis overview</t>
        </is>
      </c>
      <c r="D14" s="3" t="inlineStr">
        <is>
          <t>2026-06-12</t>
        </is>
      </c>
      <c r="E14" s="3" t="inlineStr">
        <is>
          <t>+27.1% YoY</t>
        </is>
      </c>
    </row>
    <row r="15">
      <c r="A15" s="3" t="inlineStr">
        <is>
          <t>PE Ratio</t>
        </is>
      </c>
      <c r="B15" s="3" t="inlineStr">
        <is>
          <t>17.39</t>
        </is>
      </c>
      <c r="C15" s="3" t="inlineStr">
        <is>
          <t>StockAnalysis statistics</t>
        </is>
      </c>
      <c r="D15" s="3" t="inlineStr">
        <is>
          <t>2026-06-14</t>
        </is>
      </c>
      <c r="E15" s="3" t="inlineStr">
        <is>
          <t>Trailing P/E</t>
        </is>
      </c>
    </row>
    <row r="16">
      <c r="A16" s="3" t="inlineStr">
        <is>
          <t>Forward PE</t>
        </is>
      </c>
      <c r="B16" s="3" t="inlineStr">
        <is>
          <t>12.59</t>
        </is>
      </c>
      <c r="C16" s="3" t="inlineStr">
        <is>
          <t>StockAnalysis statistics</t>
        </is>
      </c>
      <c r="D16" s="3" t="inlineStr">
        <is>
          <t>2026-06-14</t>
        </is>
      </c>
      <c r="E16" s="3" t="inlineStr">
        <is>
          <t>Prices in 38% EPS growth</t>
        </is>
      </c>
    </row>
    <row r="17">
      <c r="A17" s="3" t="inlineStr">
        <is>
          <t>P/B Ratio</t>
        </is>
      </c>
      <c r="B17" s="3" t="inlineStr">
        <is>
          <t>1.25</t>
        </is>
      </c>
      <c r="C17" s="3" t="inlineStr">
        <is>
          <t>StockAnalysis statistics</t>
        </is>
      </c>
      <c r="D17" s="3" t="inlineStr">
        <is>
          <t>2026-06-14</t>
        </is>
      </c>
      <c r="E17" s="3" t="inlineStr">
        <is>
          <t>P/B is primary lens for bank</t>
        </is>
      </c>
    </row>
    <row r="18">
      <c r="A18" s="3" t="inlineStr">
        <is>
          <t>ROE</t>
        </is>
      </c>
      <c r="B18" s="3" t="inlineStr">
        <is>
          <t>7.65%</t>
        </is>
      </c>
      <c r="C18" s="3" t="inlineStr">
        <is>
          <t>StockAnalysis statistics</t>
        </is>
      </c>
      <c r="D18" s="3" t="inlineStr">
        <is>
          <t>2026-06-14</t>
        </is>
      </c>
      <c r="E18" s="3" t="inlineStr">
        <is>
          <t>Below peer average and historical Citi avg</t>
        </is>
      </c>
    </row>
    <row r="19">
      <c r="A19" s="3" t="inlineStr">
        <is>
          <t>Beta</t>
        </is>
      </c>
      <c r="B19" s="3" t="inlineStr">
        <is>
          <t>1.11</t>
        </is>
      </c>
      <c r="C19" s="3" t="inlineStr">
        <is>
          <t>StockAnalysis overview</t>
        </is>
      </c>
      <c r="D19" s="3" t="inlineStr">
        <is>
          <t>2026-06-14</t>
        </is>
      </c>
      <c r="E19" s="3" t="inlineStr">
        <is>
          <t>Systematic risk vs market</t>
        </is>
      </c>
    </row>
    <row r="20">
      <c r="A20" s="3" t="inlineStr">
        <is>
          <t>Dividend</t>
        </is>
      </c>
      <c r="B20" s="3" t="inlineStr">
        <is>
          <t>$2.40 (1.72%)</t>
        </is>
      </c>
      <c r="C20" s="3" t="inlineStr">
        <is>
          <t>StockAnalysis overview</t>
        </is>
      </c>
      <c r="D20" s="3" t="inlineStr">
        <is>
          <t>2026-06-14</t>
        </is>
      </c>
      <c r="E20" s="3" t="inlineStr">
        <is>
          <t>Ex-date May 4, 2026</t>
        </is>
      </c>
    </row>
    <row r="21">
      <c r="A21" s="3" t="inlineStr">
        <is>
          <t>Analyst avg target</t>
        </is>
      </c>
      <c r="B21" s="3" t="inlineStr">
        <is>
          <t>$146.93</t>
        </is>
      </c>
      <c r="C21" s="3" t="inlineStr">
        <is>
          <t>StockAnalysis forecast</t>
        </is>
      </c>
      <c r="D21" s="3" t="inlineStr">
        <is>
          <t>2026-06-14</t>
        </is>
      </c>
      <c r="E21" s="3" t="inlineStr">
        <is>
          <t>22 analysts, Buy consensus</t>
        </is>
      </c>
    </row>
    <row r="22">
      <c r="A22" s="3" t="inlineStr">
        <is>
          <t>Analyst low target</t>
        </is>
      </c>
      <c r="B22" s="3" t="inlineStr">
        <is>
          <t>$125</t>
        </is>
      </c>
      <c r="C22" s="3" t="inlineStr">
        <is>
          <t>StockAnalysis forecast</t>
        </is>
      </c>
      <c r="D22" s="3" t="inlineStr">
        <is>
          <t>2026-06-14</t>
        </is>
      </c>
      <c r="E22" s="3" t="inlineStr">
        <is>
          <t>10.61% downside</t>
        </is>
      </c>
    </row>
    <row r="23">
      <c r="A23" s="3" t="inlineStr">
        <is>
          <t>Analyst high target</t>
        </is>
      </c>
      <c r="B23" s="3" t="inlineStr">
        <is>
          <t>$170</t>
        </is>
      </c>
      <c r="C23" s="3" t="inlineStr">
        <is>
          <t>StockAnalysis forecast</t>
        </is>
      </c>
      <c r="D23" s="3" t="inlineStr">
        <is>
          <t>2026-06-14</t>
        </is>
      </c>
      <c r="E23" s="3" t="inlineStr">
        <is>
          <t>21.58% upside</t>
        </is>
      </c>
    </row>
    <row r="24">
      <c r="A24" s="3" t="inlineStr">
        <is>
          <t>52-week range</t>
        </is>
      </c>
      <c r="B24" s="3" t="inlineStr">
        <is>
          <t>$76.11 - $141.12</t>
        </is>
      </c>
      <c r="C24" s="3" t="inlineStr">
        <is>
          <t>StockAnalysis overview</t>
        </is>
      </c>
      <c r="D24" s="3" t="inlineStr">
        <is>
          <t>2026-06-14</t>
        </is>
      </c>
      <c r="E24" s="3" t="inlineStr">
        <is>
          <t>At 52-week high essentially</t>
        </is>
      </c>
    </row>
    <row r="25">
      <c r="A25" s="3" t="inlineStr">
        <is>
          <t>Earnings date</t>
        </is>
      </c>
      <c r="B25" s="3" t="inlineStr">
        <is>
          <t>Jul 14, 2026</t>
        </is>
      </c>
      <c r="C25" s="3" t="inlineStr">
        <is>
          <t>StockAnalysis</t>
        </is>
      </c>
      <c r="D25" s="3" t="inlineStr">
        <is>
          <t>2026-06-14</t>
        </is>
      </c>
      <c r="E25" s="3" t="inlineStr">
        <is>
          <t>Q1 2026 earnings</t>
        </is>
      </c>
    </row>
    <row r="26">
      <c r="A26" s="3" t="inlineStr">
        <is>
          <t>Total assets</t>
        </is>
      </c>
      <c r="B26" s="3" t="inlineStr">
        <is>
          <t>$2,344,733M</t>
        </is>
      </c>
      <c r="C26" s="3" t="inlineStr">
        <is>
          <t>StockAnalysis balance sheet</t>
        </is>
      </c>
      <c r="D26" s="3" t="inlineStr">
        <is>
          <t>TTM Mar 2026</t>
        </is>
      </c>
      <c r="E26" s="3" t="inlineStr">
        <is>
          <t>Down from 2023 peak</t>
        </is>
      </c>
    </row>
    <row r="27">
      <c r="A27" s="3" t="inlineStr">
        <is>
          <t>Gross loans</t>
        </is>
      </c>
      <c r="B27" s="3" t="inlineStr">
        <is>
          <t>$761,616M</t>
        </is>
      </c>
      <c r="C27" s="3" t="inlineStr">
        <is>
          <t>StockAnalysis balance sheet</t>
        </is>
      </c>
      <c r="D27" s="3" t="inlineStr">
        <is>
          <t>TTM Mar 2026</t>
        </is>
      </c>
      <c r="E27" s="3" t="inlineStr">
        <is>
          <t>Up from FY2024</t>
        </is>
      </c>
    </row>
    <row r="28">
      <c r="A28" s="3" t="inlineStr">
        <is>
          <t>Total debt</t>
        </is>
      </c>
      <c r="B28" s="3" t="inlineStr">
        <is>
          <t>$385,695M</t>
        </is>
      </c>
      <c r="C28" s="3" t="inlineStr">
        <is>
          <t>StockAnalysis balance sheet</t>
        </is>
      </c>
      <c r="D28" s="3" t="inlineStr">
        <is>
          <t>TTM Mar 2026</t>
        </is>
      </c>
      <c r="E28" s="3" t="inlineStr">
        <is>
          <t>Down from FY2023 peak of $708B</t>
        </is>
      </c>
    </row>
    <row r="29">
      <c r="A29" s="3" t="inlineStr">
        <is>
          <t>Cash &amp; equivalents</t>
        </is>
      </c>
      <c r="B29" s="3" t="inlineStr">
        <is>
          <t>$385,722M</t>
        </is>
      </c>
      <c r="C29" s="3" t="inlineStr">
        <is>
          <t>StockAnalysis balance sheet</t>
        </is>
      </c>
      <c r="D29" s="3" t="inlineStr">
        <is>
          <t>TTM Mar 2026</t>
        </is>
      </c>
      <c r="E29" s="3" t="inlineStr">
        <is>
          <t>Large liquidity cushion</t>
        </is>
      </c>
    </row>
    <row r="30">
      <c r="A30" s="3" t="inlineStr">
        <is>
          <t>Shareholders equity</t>
        </is>
      </c>
      <c r="B30" s="3" t="inlineStr">
        <is>
          <t>$299,142M</t>
        </is>
      </c>
      <c r="C30" s="3" t="inlineStr">
        <is>
          <t>StockAnalysis</t>
        </is>
      </c>
      <c r="D30" s="3" t="inlineStr">
        <is>
          <t>TTM Mar 2026</t>
        </is>
      </c>
      <c r="E30" s="3" t="inlineStr">
        <is>
          <t>Stable capital base</t>
        </is>
      </c>
    </row>
    <row r="31">
      <c r="A31" s="3" t="inlineStr">
        <is>
          <t>EV/Sales</t>
        </is>
      </c>
      <c r="B31" s="3" t="inlineStr">
        <is>
          <t>0.10</t>
        </is>
      </c>
      <c r="C31" s="3" t="inlineStr">
        <is>
          <t>StockAnalysis statistics</t>
        </is>
      </c>
      <c r="D31" s="3" t="inlineStr">
        <is>
          <t>2026-06-14</t>
        </is>
      </c>
      <c r="E31" s="3" t="inlineStr">
        <is>
          <t>Distorted for bank</t>
        </is>
      </c>
    </row>
    <row r="32">
      <c r="A32" s="3" t="inlineStr">
        <is>
          <t>EV/Earnings</t>
        </is>
      </c>
      <c r="B32" s="3" t="inlineStr">
        <is>
          <t>0.51</t>
        </is>
      </c>
      <c r="C32" s="3" t="inlineStr">
        <is>
          <t>StockAnalysis statistics</t>
        </is>
      </c>
      <c r="D32" s="3" t="inlineStr">
        <is>
          <t>2026-06-14</t>
        </is>
      </c>
      <c r="E32" s="3" t="inlineStr">
        <is>
          <t>Distorted for bank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1" t="inlineStr">
        <is>
          <t>Open Questions — Citigroup (C)</t>
        </is>
      </c>
    </row>
    <row r="3">
      <c r="A3" s="2" t="inlineStr">
        <is>
          <t>Q</t>
        </is>
      </c>
      <c r="B3" s="2" t="inlineStr">
        <is>
          <t>Question</t>
        </is>
      </c>
    </row>
    <row r="4">
      <c r="A4" s="3" t="n">
        <v>1</v>
      </c>
      <c r="B4" s="3" t="inlineStr">
        <is>
          <t>Can Jane Fraser deliver organic ROE improvement above 10% without further divestitures? Simplification plan is mostly done; next chapter needs organic growth.</t>
        </is>
      </c>
    </row>
    <row r="5">
      <c r="A5" s="3" t="n">
        <v>2</v>
      </c>
      <c r="B5" s="3" t="inlineStr">
        <is>
          <t>Is the 84% stock rally entirely justified by the turnaround, or has the multiple already repriced the simplification benefit?</t>
        </is>
      </c>
    </row>
    <row r="6">
      <c r="A6" s="3" t="n">
        <v>3</v>
      </c>
      <c r="B6" s="3" t="inlineStr">
        <is>
          <t>Will net interest income growth persist in the upcoming rate-cut environment, or will NII growth slow materially?</t>
        </is>
      </c>
    </row>
    <row r="7">
      <c r="A7" s="3" t="n">
        <v>4</v>
      </c>
      <c r="B7" s="3" t="inlineStr">
        <is>
          <t>Is the provision for credit losses of $10.35B sustainable, or could it decline as the simplified loan book matures?</t>
        </is>
      </c>
    </row>
    <row r="8">
      <c r="A8" s="3" t="n">
        <v>5</v>
      </c>
      <c r="B8" s="3" t="inlineStr">
        <is>
          <t>How will the 2023 Basel III endgame rules affect Citi when they eventually take effect? Capital constraints?</t>
        </is>
      </c>
    </row>
    <row r="9">
      <c r="A9" s="3" t="n">
        <v>6</v>
      </c>
      <c r="B9" s="3" t="inlineStr">
        <is>
          <t>Will the Services franchise continue to deliver fee-based growth with cross-border tailwinds?</t>
        </is>
      </c>
    </row>
    <row r="10">
      <c r="A10" s="3" t="n">
        <v>7</v>
      </c>
      <c r="B10" s="3" t="inlineStr">
        <is>
          <t>Share buybacks have been aggressive — will they continue at the same pace, and are they accretive at current prices?</t>
        </is>
      </c>
    </row>
    <row r="11">
      <c r="A11" s="3" t="n">
        <v>8</v>
      </c>
      <c r="B11" s="3" t="inlineStr">
        <is>
          <t>What is the credit quality of the newly-focused loan book after consumer business exits? Are hidden credit risks in the transition?</t>
        </is>
      </c>
    </row>
    <row r="12">
      <c r="A12" s="3" t="n">
        <v>9</v>
      </c>
      <c r="B12" s="3" t="inlineStr">
        <is>
          <t>Can Citi compete effectively with JPM, Goldman, and MS in the institutional franchise without the consumer and wealth businesses?</t>
        </is>
      </c>
    </row>
    <row r="13">
      <c r="A13" s="3" t="n">
        <v>10</v>
      </c>
      <c r="B13" s="3" t="inlineStr">
        <is>
          <t>Is $146.93 analyst consensus target realistic, or does it lag the actual earnings momentum?</t>
        </is>
      </c>
    </row>
    <row r="14">
      <c r="A14" s="3" t="n">
        <v>11</v>
      </c>
      <c r="B14" s="3" t="inlineStr">
        <is>
          <t>How does the current P/B of 1.25x compare to Citi's historical average after similar restructuring phases?</t>
        </is>
      </c>
    </row>
    <row r="15">
      <c r="A15" s="3" t="n">
        <v>12</v>
      </c>
      <c r="B15" s="3" t="inlineStr">
        <is>
          <t>What is the realistic path to ROE from 7.65% to 12% given the regulatory constraints on G-SIBs?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</cols>
  <sheetData>
    <row r="1">
      <c r="A1" s="1" t="inlineStr">
        <is>
          <t>Data Sources — Citigroup (C)</t>
        </is>
      </c>
    </row>
    <row r="3">
      <c r="A3" s="2" t="inlineStr">
        <is>
          <t>Source</t>
        </is>
      </c>
      <c r="B3" s="2" t="inlineStr">
        <is>
          <t>URL</t>
        </is>
      </c>
      <c r="C3" s="2" t="inlineStr">
        <is>
          <t>Content</t>
        </is>
      </c>
    </row>
    <row r="4">
      <c r="A4" s="3" t="n">
        <v>1</v>
      </c>
      <c r="B4" s="3" t="inlineStr">
        <is>
          <t>stockanalysis.com/stocks/c/</t>
        </is>
      </c>
      <c r="C4" s="3" t="inlineStr">
        <is>
          <t>Overview, price, market cap, revenue, earnings, beta, dividend</t>
        </is>
      </c>
    </row>
    <row r="5">
      <c r="A5" s="3" t="n">
        <v>2</v>
      </c>
      <c r="B5" s="3" t="inlineStr">
        <is>
          <t>stockanalysis.com/stocks/c/financials/</t>
        </is>
      </c>
      <c r="C5" s="3" t="inlineStr">
        <is>
          <t>Income statement — net interest income, non-interest income, provision, expenses, net income</t>
        </is>
      </c>
    </row>
    <row r="6">
      <c r="A6" s="3" t="n">
        <v>3</v>
      </c>
      <c r="B6" s="3" t="inlineStr">
        <is>
          <t>stockanalysis.com/stocks/c/financials/balance-sheet/</t>
        </is>
      </c>
      <c r="C6" s="3" t="inlineStr">
        <is>
          <t>Balance sheet — assets, loans, debt, equity, cash</t>
        </is>
      </c>
    </row>
    <row r="7">
      <c r="A7" s="3" t="n">
        <v>4</v>
      </c>
      <c r="B7" s="3" t="inlineStr">
        <is>
          <t>stockanalysis.com/stocks/c/statistics/</t>
        </is>
      </c>
      <c r="C7" s="3" t="inlineStr">
        <is>
          <t>Valuation ratios — PE, forward PE, PB, PEG, ROE, ROA, EV metrics</t>
        </is>
      </c>
    </row>
    <row r="8">
      <c r="A8" s="3" t="n">
        <v>5</v>
      </c>
      <c r="B8" s="3" t="inlineStr">
        <is>
          <t>stockanalysis.com/stocks/c/forecast/</t>
        </is>
      </c>
      <c r="C8" s="3" t="inlineStr">
        <is>
          <t>Analyst targets, consensus, price forecasts, recommendation trends</t>
        </is>
      </c>
    </row>
    <row r="9">
      <c r="A9" s="3" t="n">
        <v>6</v>
      </c>
      <c r="B9" s="3" t="inlineStr">
        <is>
          <t>FRED DGS10</t>
        </is>
      </c>
      <c r="C9" s="3" t="inlineStr">
        <is>
          <t>10-Year Treasury yield for risk-free rate in WACC</t>
        </is>
      </c>
    </row>
    <row r="10">
      <c r="A10" s="3" t="n">
        <v>7</v>
      </c>
      <c r="B10" s="3" t="inlineStr">
        <is>
          <t>SEC EDGAR filings reference</t>
        </is>
      </c>
      <c r="C10" s="3" t="inlineStr">
        <is>
          <t>For detailed earnings and balance sheet data — filings not accessible in this environment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2026-06-14T11:48:58Z</dcterms:created>
  <dcterms:modified xsi:type="dcterms:W3CDTF">2026-06-14T11:48:58Z</dcterms:modified>
</cp:coreProperties>
</file>