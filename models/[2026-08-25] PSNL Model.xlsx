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0000"/>
      <sz val="16"/>
    </font>
    <font>
      <b val="1"/>
      <color rgb="00666666"/>
      <sz val="11"/>
    </font>
    <font>
      <i val="1"/>
      <color rgb="00999999"/>
      <sz val="9"/>
    </font>
    <font>
      <b val="1"/>
      <color rgb="00000000"/>
      <sz val="11"/>
    </font>
    <font>
      <b val="1"/>
      <color rgb="00FFFFFF"/>
      <sz val="10"/>
      <u val="single"/>
    </font>
    <font>
      <b val="1"/>
      <color rgb="00000000"/>
      <sz val="14"/>
    </font>
    <font>
      <i val="1"/>
      <color rgb="00666666"/>
      <sz val="10"/>
    </font>
    <font>
      <b val="1"/>
      <color rgb="00000000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</cols>
  <sheetData>
    <row r="1">
      <c r="A1" s="1" t="inlineStr">
        <is>
          <t>PSNL — Personalis, Inc.</t>
        </is>
      </c>
    </row>
    <row r="2">
      <c r="A2" s="2" t="inlineStr">
        <is>
          <t>Valuation Summary | Data as of August 25, 2026</t>
        </is>
      </c>
    </row>
    <row r="3">
      <c r="A3" s="3" t="inlineStr">
        <is>
          <t>This is investment research, not personalized financial advice.</t>
        </is>
      </c>
    </row>
    <row r="4">
      <c r="A4" s="4" t="inlineStr">
        <is>
          <t>Ticker</t>
        </is>
      </c>
      <c r="B4" s="5" t="inlineStr">
        <is>
          <t>PSNL</t>
        </is>
      </c>
      <c r="C4" s="6" t="inlineStr">
        <is>
          <t>NasdaqGS</t>
        </is>
      </c>
    </row>
    <row r="5">
      <c r="A5" s="4" t="inlineStr">
        <is>
          <t>Company</t>
        </is>
      </c>
      <c r="B5" s="5" t="inlineStr">
        <is>
          <t>Personalis, Inc.</t>
        </is>
      </c>
      <c r="C5" s="6" t="inlineStr">
        <is>
          <t>Cancer Genomics / Liquid Biopsy / Sequencing Platform</t>
        </is>
      </c>
    </row>
    <row r="6">
      <c r="A6" s="4" t="inlineStr">
        <is>
          <t>Sector / Industry</t>
        </is>
      </c>
      <c r="B6" s="5" t="inlineStr">
        <is>
          <t>Healthcare / Diagnostics &amp; Research</t>
        </is>
      </c>
      <c r="C6" s="6" t="inlineStr"/>
    </row>
    <row r="7">
      <c r="A7" s="4" t="inlineStr">
        <is>
          <t>As Of</t>
        </is>
      </c>
      <c r="B7" s="5" t="inlineStr">
        <is>
          <t>Aug 25, 2026</t>
        </is>
      </c>
      <c r="C7" s="6" t="inlineStr">
        <is>
          <t>Market close</t>
        </is>
      </c>
    </row>
    <row r="8">
      <c r="A8" s="4" t="inlineStr">
        <is>
          <t>Stock Price</t>
        </is>
      </c>
      <c r="B8" s="5" t="inlineStr">
        <is>
          <t>$17.25</t>
        </is>
      </c>
      <c r="C8" s="6" t="inlineStr">
        <is>
          <t>Yahoo Finance</t>
        </is>
      </c>
    </row>
    <row r="9">
      <c r="A9" s="4" t="inlineStr">
        <is>
          <t>Shares Outstanding</t>
        </is>
      </c>
      <c r="B9" s="5" t="inlineStr">
        <is>
          <t>105.5M</t>
        </is>
      </c>
      <c r="C9" s="6" t="inlineStr">
        <is>
          <t>Implied from MC / Price</t>
        </is>
      </c>
    </row>
    <row r="10">
      <c r="A10" s="4" t="inlineStr">
        <is>
          <t>Market Cap</t>
        </is>
      </c>
      <c r="B10" s="5" t="inlineStr">
        <is>
          <t>$1.82B</t>
        </is>
      </c>
      <c r="C10" s="6" t="inlineStr">
        <is>
          <t>Yahoo Finance Statistics</t>
        </is>
      </c>
    </row>
    <row r="11">
      <c r="A11" s="4" t="inlineStr">
        <is>
          <t>Enterprise Value</t>
        </is>
      </c>
      <c r="B11" s="5" t="inlineStr">
        <is>
          <t>$1.65B</t>
        </is>
      </c>
      <c r="C11" s="6" t="inlineStr">
        <is>
          <t>Yahoo Finance Statistics</t>
        </is>
      </c>
    </row>
    <row r="12">
      <c r="A12" s="4" t="inlineStr">
        <is>
          <t>Total Cash</t>
        </is>
      </c>
      <c r="B12" s="5" t="inlineStr">
        <is>
          <t>$213M</t>
        </is>
      </c>
      <c r="C12" s="6" t="inlineStr">
        <is>
          <t>Yahoo Finance Key Stats MRQ</t>
        </is>
      </c>
    </row>
    <row r="13">
      <c r="A13" s="4" t="inlineStr">
        <is>
          <t>Total Debt</t>
        </is>
      </c>
      <c r="B13" s="5" t="inlineStr">
        <is>
          <t>$42M</t>
        </is>
      </c>
      <c r="C13" s="6" t="inlineStr">
        <is>
          <t>Implied 16.16% D/E x $261.2M equity</t>
        </is>
      </c>
    </row>
    <row r="14">
      <c r="A14" s="4" t="inlineStr">
        <is>
          <t>Primary Valuation Lens</t>
        </is>
      </c>
      <c r="B14" s="5" t="inlineStr">
        <is>
          <t>P/S + Cash NAV floor</t>
        </is>
      </c>
      <c r="C14" s="6" t="inlineStr">
        <is>
          <t>Pre-profitability: DCF/FCF invalid</t>
        </is>
      </c>
    </row>
    <row r="15">
      <c r="A15" s="4" t="inlineStr">
        <is>
          <t>Stance</t>
        </is>
      </c>
      <c r="B15" s="5" t="inlineStr">
        <is>
          <t>Watch</t>
        </is>
      </c>
      <c r="C15" s="6" t="inlineStr">
        <is>
          <t>Fully monetized on catalysts; 6-12Q to profitability</t>
        </is>
      </c>
    </row>
    <row r="17">
      <c r="A17" s="7" t="inlineStr">
        <is>
          <t>Metric</t>
        </is>
      </c>
      <c r="B17" s="7" t="inlineStr">
        <is>
          <t>Value</t>
        </is>
      </c>
      <c r="C17" s="7" t="inlineStr">
        <is>
          <t>Comment</t>
        </is>
      </c>
    </row>
    <row r="18">
      <c r="A18" s="6" t="inlineStr">
        <is>
          <t>Trailing P/E</t>
        </is>
      </c>
      <c r="B18" s="6" t="inlineStr">
        <is>
          <t>N/A</t>
        </is>
      </c>
      <c r="C18" s="6" t="inlineStr">
        <is>
          <t>Net income negative — trailing P/E mechanically meaningless</t>
        </is>
      </c>
    </row>
    <row r="19">
      <c r="A19" s="8" t="inlineStr">
        <is>
          <t>Forward P/E</t>
        </is>
      </c>
      <c r="B19" s="8" t="inlineStr">
        <is>
          <t>N/A</t>
        </is>
      </c>
      <c r="C19" s="8" t="inlineStr">
        <is>
          <t>EPS remains negative through FY27 consensus (−$0.94)</t>
        </is>
      </c>
    </row>
    <row r="20">
      <c r="A20" s="6" t="inlineStr">
        <is>
          <t>Price/Sales (TTM)</t>
        </is>
      </c>
      <c r="B20" s="6" t="inlineStr">
        <is>
          <t>0.0x</t>
        </is>
      </c>
      <c r="C20" s="6" t="inlineStr">
        <is>
          <t>vs. peer range 15-35x for diagnostics/genomics</t>
        </is>
      </c>
    </row>
    <row r="21">
      <c r="A21" s="8" t="inlineStr">
        <is>
          <t>Price/Book (MRQ)</t>
        </is>
      </c>
      <c r="B21" s="8" t="inlineStr">
        <is>
          <t>7.75x</t>
        </is>
      </c>
      <c r="C21" s="8" t="inlineStr">
        <is>
          <t>Per Yahoo Finance Key Stats</t>
        </is>
      </c>
    </row>
    <row r="22">
      <c r="A22" s="6" t="inlineStr">
        <is>
          <t>EV/Revenue</t>
        </is>
      </c>
      <c r="B22" s="6" t="inlineStr">
        <is>
          <t>23.7x</t>
        </is>
      </c>
      <c r="C22" s="6">
        <f>$1650M / $70M ≈ 24x</f>
        <v/>
      </c>
    </row>
    <row r="23">
      <c r="A23" s="8" t="inlineStr">
        <is>
          <t>EV/EBITDA</t>
        </is>
      </c>
      <c r="B23" s="8" t="inlineStr">
        <is>
          <t>N/A</t>
        </is>
      </c>
      <c r="C23" s="8" t="inlineStr">
        <is>
          <t>EBITDA negative ($−97.2M TTM)</t>
        </is>
      </c>
    </row>
    <row r="24">
      <c r="A24" s="6" t="inlineStr">
        <is>
          <t>P/FCF</t>
        </is>
      </c>
      <c r="B24" s="6" t="inlineStr">
        <is>
          <t>N/A</t>
        </is>
      </c>
      <c r="C24" s="6" t="inlineStr">
        <is>
          <t>FCF negative ($−56.0M TTM)</t>
        </is>
      </c>
    </row>
    <row r="25">
      <c r="A25" s="8" t="inlineStr">
        <is>
          <t>Revenue per Share</t>
        </is>
      </c>
      <c r="B25" s="8" t="inlineStr">
        <is>
          <t>$660.33</t>
        </is>
      </c>
      <c r="C25" s="8">
        <f>$69.67M / 0.1M shares</f>
        <v/>
      </c>
    </row>
    <row r="26">
      <c r="A26" s="6" t="inlineStr">
        <is>
          <t>Cash per Share</t>
        </is>
      </c>
      <c r="B26" s="6" t="inlineStr">
        <is>
          <t>$2015.60</t>
        </is>
      </c>
      <c r="C26" s="6">
        <f>$213M / 0.1M = NAV floor</f>
        <v/>
      </c>
    </row>
    <row r="27">
      <c r="A27" s="8" t="inlineStr">
        <is>
          <t>Beta (5Y)</t>
        </is>
      </c>
      <c r="B27" s="8" t="inlineStr">
        <is>
          <t>2.29</t>
        </is>
      </c>
      <c r="C27" s="8" t="inlineStr">
        <is>
          <t>High-beta growth/genomics volatility</t>
        </is>
      </c>
    </row>
    <row r="28">
      <c r="A28" s="6" t="inlineStr">
        <is>
          <t>Gross Margin TTM</t>
        </is>
      </c>
      <c r="B28" s="6" t="inlineStr">
        <is>
          <t>7% → 12.7%</t>
        </is>
      </c>
      <c r="C28" s="6" t="inlineStr">
        <is>
          <t>Severely compressed from 31.7% FY24 peak</t>
        </is>
      </c>
    </row>
    <row r="29">
      <c r="A29" s="8" t="inlineStr">
        <is>
          <t>Net Margin TTM</t>
        </is>
      </c>
      <c r="B29" s="8" t="inlineStr">
        <is>
          <t>-153.8%</t>
        </is>
      </c>
      <c r="C29" s="8" t="inlineStr">
        <is>
          <t>Pre-profitability — structural operating losses</t>
        </is>
      </c>
    </row>
    <row r="30">
      <c r="A30" s="6" t="inlineStr">
        <is>
          <t>ROE TTM</t>
        </is>
      </c>
      <c r="B30" s="6" t="inlineStr">
        <is>
          <t>-50.32%</t>
        </is>
      </c>
      <c r="C30" s="6" t="inlineStr">
        <is>
          <t>Negative — burning through equity base</t>
        </is>
      </c>
    </row>
    <row r="31">
      <c r="A31" s="8" t="inlineStr">
        <is>
          <t>ROA TTM</t>
        </is>
      </c>
      <c r="B31" s="8" t="inlineStr">
        <is>
          <t>-25.03%</t>
        </is>
      </c>
      <c r="C31" s="8" t="inlineStr">
        <is>
          <t>Per Yahoo Finance Key Stats</t>
        </is>
      </c>
    </row>
    <row r="32">
      <c r="A32" s="6" t="inlineStr">
        <is>
          <t>Analyst Avg PT</t>
        </is>
      </c>
      <c r="B32" s="6" t="inlineStr">
        <is>
          <t>$15.44</t>
        </is>
      </c>
      <c r="C32" s="6" t="inlineStr">
        <is>
          <t>Below current $17.25; 7 analysts (1 Strong Buy, 4 Buy, 2 Hold)</t>
        </is>
      </c>
    </row>
    <row r="33">
      <c r="A33" s="8" t="inlineStr">
        <is>
          <t>Analyst Low PT</t>
        </is>
      </c>
      <c r="B33" s="8" t="inlineStr">
        <is>
          <t>$13.00</t>
        </is>
      </c>
      <c r="C33" s="8" t="inlineStr">
        <is>
          <t>Lake Street Hold target</t>
        </is>
      </c>
    </row>
    <row r="34">
      <c r="A34" s="6" t="inlineStr">
        <is>
          <t>52-Week Range</t>
        </is>
      </c>
      <c r="B34" s="6" t="inlineStr">
        <is>
          <t>$4.65 − $18.89</t>
        </is>
      </c>
      <c r="C34" s="6" t="inlineStr">
        <is>
          <t>Currently within $1.64 of 52W high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2" customWidth="1" min="3" max="3"/>
  </cols>
  <sheetData>
    <row r="1">
      <c r="A1" s="9" t="inlineStr">
        <is>
          <t>PSNL — Weighted Average Cost of Capital</t>
        </is>
      </c>
    </row>
    <row r="2">
      <c r="A2" s="10" t="inlineStr">
        <is>
          <t>CAPM Framework | Beta elevated for pre-profitability genomics</t>
        </is>
      </c>
    </row>
    <row r="3">
      <c r="A3" s="6" t="inlineStr"/>
      <c r="B3" s="6" t="inlineStr"/>
      <c r="C3" s="6" t="inlineStr"/>
    </row>
    <row r="4">
      <c r="A4" s="11" t="inlineStr">
        <is>
          <t>CAPM Components</t>
        </is>
      </c>
      <c r="B4" s="5" t="inlineStr"/>
      <c r="C4" s="6" t="inlineStr"/>
    </row>
    <row r="5">
      <c r="A5" s="6" t="inlineStr">
        <is>
          <t>Risk-Free Rate (10Y US Treasury)</t>
        </is>
      </c>
      <c r="B5" s="6" t="inlineStr">
        <is>
          <t>4.641%</t>
        </is>
      </c>
      <c r="C5" s="6" t="inlineStr">
        <is>
          <t>CNBC Aug 25, 2026</t>
        </is>
      </c>
    </row>
    <row r="6">
      <c r="A6" s="6" t="inlineStr">
        <is>
          <t>Equity Risk Premium</t>
        </is>
      </c>
      <c r="B6" s="6" t="inlineStr">
        <is>
          <t>5.0%</t>
        </is>
      </c>
      <c r="C6" s="6" t="inlineStr">
        <is>
          <t>Market assumption</t>
        </is>
      </c>
    </row>
    <row r="7">
      <c r="A7" s="6" t="inlineStr">
        <is>
          <t>Beta (5Y Monthly)</t>
        </is>
      </c>
      <c r="B7" s="6" t="inlineStr">
        <is>
          <t>2.29</t>
        </is>
      </c>
      <c r="C7" s="6" t="inlineStr">
        <is>
          <t>Yahoo Finance Key Stats</t>
        </is>
      </c>
    </row>
    <row r="8">
      <c r="A8" s="6" t="inlineStr"/>
      <c r="B8" s="6" t="inlineStr"/>
      <c r="C8" s="6" t="inlineStr"/>
    </row>
    <row r="9">
      <c r="A9" s="6" t="inlineStr">
        <is>
          <t>Cost of Equity (Ke)</t>
        </is>
      </c>
      <c r="B9" s="6" t="inlineStr">
        <is>
          <t>16.09%</t>
        </is>
      </c>
      <c r="C9" s="6" t="inlineStr">
        <is>
          <t>Rf + Beta × ERP = 4.64 + 2.29 × 5.0</t>
        </is>
      </c>
    </row>
    <row r="10">
      <c r="A10" s="6" t="inlineStr"/>
      <c r="B10" s="6" t="inlineStr"/>
      <c r="C10" s="6" t="inlineStr"/>
    </row>
    <row r="11">
      <c r="A11" s="6" t="inlineStr">
        <is>
          <t>Cost of Debt (Kd)</t>
        </is>
      </c>
      <c r="B11" s="6" t="inlineStr">
        <is>
          <t>3.5%</t>
        </is>
      </c>
      <c r="C11" s="6" t="inlineStr">
        <is>
          <t>Estimated — minimal debt</t>
        </is>
      </c>
    </row>
    <row r="12">
      <c r="A12" s="6" t="inlineStr">
        <is>
          <t>Tax Rate</t>
        </is>
      </c>
      <c r="B12" s="6" t="inlineStr">
        <is>
          <t>0%</t>
        </is>
      </c>
      <c r="C12" s="6" t="inlineStr">
        <is>
          <t>No meaningful tax when unprofitable</t>
        </is>
      </c>
    </row>
    <row r="13">
      <c r="A13" s="6" t="inlineStr"/>
      <c r="B13" s="6" t="inlineStr"/>
      <c r="C13" s="6" t="inlineStr"/>
    </row>
    <row r="14">
      <c r="A14" s="11" t="inlineStr">
        <is>
          <t>Capital Structure Inputs</t>
        </is>
      </c>
      <c r="B14" s="5" t="inlineStr"/>
      <c r="C14" s="6" t="inlineStr"/>
    </row>
    <row r="15">
      <c r="A15" s="6" t="inlineStr">
        <is>
          <t>Total Debt</t>
        </is>
      </c>
      <c r="B15" s="6" t="inlineStr">
        <is>
          <t>$42.2M</t>
        </is>
      </c>
      <c r="C15" s="6" t="inlineStr">
        <is>
          <t>~16% of equity = ~$42M</t>
        </is>
      </c>
    </row>
    <row r="16">
      <c r="A16" s="6" t="inlineStr">
        <is>
          <t>Market Cap</t>
        </is>
      </c>
      <c r="B16" s="6" t="inlineStr">
        <is>
          <t>$1820M</t>
        </is>
      </c>
      <c r="C16" s="6" t="inlineStr">
        <is>
          <t>$17.25 × 0.1M</t>
        </is>
      </c>
    </row>
    <row r="17">
      <c r="A17" s="6" t="inlineStr">
        <is>
          <t>Equity Weight</t>
        </is>
      </c>
      <c r="B17" s="6" t="inlineStr">
        <is>
          <t>97.73%</t>
        </is>
      </c>
      <c r="C17" s="6" t="inlineStr">
        <is>
          <t>MC / (MC + D)</t>
        </is>
      </c>
    </row>
    <row r="18">
      <c r="A18" s="6" t="inlineStr">
        <is>
          <t>Debt Weight</t>
        </is>
      </c>
      <c r="B18" s="6" t="inlineStr">
        <is>
          <t>2.27%</t>
        </is>
      </c>
      <c r="C18" s="6" t="inlineStr">
        <is>
          <t>D / (MC + D)</t>
        </is>
      </c>
    </row>
    <row r="19">
      <c r="A19" s="6" t="inlineStr"/>
      <c r="B19" s="6" t="inlineStr"/>
      <c r="C19" s="6" t="inlineStr"/>
    </row>
    <row r="20">
      <c r="A20" s="6" t="inlineStr">
        <is>
          <t>WACC</t>
        </is>
      </c>
      <c r="B20" s="6" t="inlineStr">
        <is>
          <t>15.81%</t>
        </is>
      </c>
      <c r="C20" s="6" t="inlineStr">
        <is>
          <t>Weighted: 98% × Ke(16.09%) + 2% × Kd(3.5%) × (1-0%)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9" t="inlineStr">
        <is>
          <t>PSNL — Bear / Base / Bull Scenario Analysis (P/S Framework)</t>
        </is>
      </c>
    </row>
    <row r="2">
      <c r="A2" s="10" t="inlineStr">
        <is>
          <t>Pre-profitability genomics: DCF/FCF invalid. Bear anchored near current price. Revenue growth + gross margin trajectory are primary drivers.</t>
        </is>
      </c>
    </row>
    <row r="3">
      <c r="A3" s="12" t="inlineStr">
        <is>
          <t>NOTE: FCF and DCF framework are NOT used — operating losses of $88-114M/yr make them meaningless.</t>
        </is>
      </c>
    </row>
    <row r="5">
      <c r="A5" s="7" t="inlineStr">
        <is>
          <t>Metric</t>
        </is>
      </c>
      <c r="B5" s="7" t="inlineStr">
        <is>
          <t>Bear</t>
        </is>
      </c>
      <c r="C5" s="7" t="inlineStr">
        <is>
          <t>Base</t>
        </is>
      </c>
      <c r="D5" s="7" t="inlineStr">
        <is>
          <t>Bull</t>
        </is>
      </c>
      <c r="E5" s="7" t="inlineStr">
        <is>
          <t>Note</t>
        </is>
      </c>
    </row>
    <row r="6">
      <c r="A6" s="6" t="inlineStr"/>
      <c r="B6" s="6" t="inlineStr"/>
      <c r="C6" s="6" t="inlineStr"/>
      <c r="D6" s="6" t="inlineStr"/>
      <c r="E6" s="6" t="inlineStr"/>
    </row>
    <row r="7">
      <c r="A7" s="8" t="inlineStr">
        <is>
          <t>Assumptions</t>
        </is>
      </c>
      <c r="B7" s="8" t="inlineStr"/>
      <c r="C7" s="8" t="inlineStr"/>
      <c r="D7" s="8" t="inlineStr"/>
      <c r="E7" s="8" t="inlineStr"/>
    </row>
    <row r="8">
      <c r="A8" s="6" t="inlineStr">
        <is>
          <t>Revenue CAGR (5Y)</t>
        </is>
      </c>
      <c r="B8" s="6" t="inlineStr">
        <is>
          <t>12%</t>
        </is>
      </c>
      <c r="C8" s="6" t="inlineStr">
        <is>
          <t>20%</t>
        </is>
      </c>
      <c r="D8" s="6" t="inlineStr">
        <is>
          <t>32%</t>
        </is>
      </c>
      <c r="E8" s="6" t="inlineStr">
        <is>
          <t>Bear: slow; Base: consensus-like; Bull: Tempus-scale commercialization</t>
        </is>
      </c>
    </row>
    <row r="9">
      <c r="A9" s="8" t="inlineStr">
        <is>
          <t>Terminal Revenue (Year 5)</t>
        </is>
      </c>
      <c r="B9" s="8" t="inlineStr">
        <is>
          <t>$126M</t>
        </is>
      </c>
      <c r="C9" s="8" t="inlineStr">
        <is>
          <t>$173M</t>
        </is>
      </c>
      <c r="D9" s="8" t="inlineStr">
        <is>
          <t>$290M</t>
        </is>
      </c>
      <c r="E9" s="8" t="inlineStr">
        <is>
          <t>Compound from $69.7M TTM</t>
        </is>
      </c>
    </row>
    <row r="10">
      <c r="A10" s="6" t="inlineStr">
        <is>
          <t>Adjusted Gross Margin</t>
        </is>
      </c>
      <c r="B10" s="6" t="inlineStr">
        <is>
          <t>14%</t>
        </is>
      </c>
      <c r="C10" s="6" t="inlineStr">
        <is>
          <t>22%</t>
        </is>
      </c>
      <c r="D10" s="6" t="inlineStr">
        <is>
          <t>30%</t>
        </is>
      </c>
      <c r="E10" s="6" t="inlineStr">
        <is>
          <t>Bear: stays compressed; Bull: approaches FY24 peak</t>
        </is>
      </c>
    </row>
    <row r="11">
      <c r="A11" s="8" t="inlineStr">
        <is>
          <t>Terminal Gross Profit</t>
        </is>
      </c>
      <c r="B11" s="8" t="inlineStr">
        <is>
          <t>$17.6M</t>
        </is>
      </c>
      <c r="C11" s="8" t="inlineStr">
        <is>
          <t>$38.1M</t>
        </is>
      </c>
      <c r="D11" s="8" t="inlineStr">
        <is>
          <t>$87.0M</t>
        </is>
      </c>
      <c r="E11" s="8" t="inlineStr">
        <is>
          <t>Rev × GM%</t>
        </is>
      </c>
    </row>
    <row r="12">
      <c r="A12" s="6" t="inlineStr">
        <is>
          <t>Operating Expense Ratio</t>
        </is>
      </c>
      <c r="B12" s="6" t="inlineStr">
        <is>
          <t>180% of Rev</t>
        </is>
      </c>
      <c r="C12" s="6" t="inlineStr">
        <is>
          <t>140% of Rev</t>
        </is>
      </c>
      <c r="D12" s="6" t="inlineStr">
        <is>
          <t>100% of Rev</t>
        </is>
      </c>
      <c r="E12" s="6" t="inlineStr">
        <is>
          <t>Stags behind rev growth in Bull = operating leverage</t>
        </is>
      </c>
    </row>
    <row r="13">
      <c r="A13" s="8" t="inlineStr">
        <is>
          <t>OpEx $M</t>
        </is>
      </c>
      <c r="B13" s="8" t="inlineStr">
        <is>
          <t>$226.8M</t>
        </is>
      </c>
      <c r="C13" s="8" t="inlineStr">
        <is>
          <t>$242.2M</t>
        </is>
      </c>
      <c r="D13" s="8" t="inlineStr">
        <is>
          <t>$290.0M</t>
        </is>
      </c>
      <c r="E13" s="8" t="inlineStr">
        <is>
          <t>CAGR lower than revenue</t>
        </is>
      </c>
    </row>
    <row r="14">
      <c r="A14" s="6" t="inlineStr">
        <is>
          <t>Terminal Operating Income</t>
        </is>
      </c>
      <c r="B14" s="6" t="inlineStr">
        <is>
          <t>-$209.2M</t>
        </is>
      </c>
      <c r="C14" s="6" t="inlineStr">
        <is>
          <t>-$204.1M</t>
        </is>
      </c>
      <c r="D14" s="6" t="inlineStr">
        <is>
          <t>-$203.0M</t>
        </is>
      </c>
      <c r="E14" s="6" t="inlineStr">
        <is>
          <t>Still negative year 5 in all cases</t>
        </is>
      </c>
    </row>
    <row r="15">
      <c r="A15" s="8" t="inlineStr"/>
      <c r="B15" s="8" t="inlineStr"/>
      <c r="C15" s="8" t="inlineStr"/>
      <c r="D15" s="8" t="inlineStr"/>
      <c r="E15" s="8" t="inlineStr"/>
    </row>
    <row r="16">
      <c r="A16" s="6" t="inlineStr">
        <is>
          <t>Exit Valuation via P/S</t>
        </is>
      </c>
      <c r="B16" s="6" t="inlineStr"/>
      <c r="C16" s="6" t="inlineStr"/>
      <c r="D16" s="6" t="inlineStr"/>
      <c r="E16" s="6" t="inlineStr"/>
    </row>
    <row r="17">
      <c r="A17" s="8" t="inlineStr">
        <is>
          <t>Exit P/S Multiple</t>
        </is>
      </c>
      <c r="B17" s="8" t="inlineStr">
        <is>
          <t>8x</t>
        </is>
      </c>
      <c r="C17" s="8" t="inlineStr">
        <is>
          <t>15x</t>
        </is>
      </c>
      <c r="D17" s="8" t="inlineStr">
        <is>
          <t>25x</t>
        </is>
      </c>
      <c r="E17" s="8" t="inlineStr">
        <is>
          <t>Bear: distressed pre-profit; Base: sector norm; Bull: growth premium</t>
        </is>
      </c>
    </row>
    <row r="18">
      <c r="A18" s="6" t="inlineStr">
        <is>
          <t>Implied Market Cap</t>
        </is>
      </c>
      <c r="B18" s="6" t="inlineStr">
        <is>
          <t>$1.01B</t>
        </is>
      </c>
      <c r="C18" s="6" t="inlineStr">
        <is>
          <t>$2.60B</t>
        </is>
      </c>
      <c r="D18" s="6" t="inlineStr">
        <is>
          <t>$7.26B</t>
        </is>
      </c>
      <c r="E18" s="6" t="inlineStr">
        <is>
          <t>Terminal Rev × P/S</t>
        </is>
      </c>
    </row>
    <row r="19">
      <c r="A19" s="8" t="inlineStr">
        <is>
          <t>Less: Net Debt Adj</t>
        </is>
      </c>
      <c r="B19" s="8" t="inlineStr">
        <is>
          <t>$(170.5M)</t>
        </is>
      </c>
      <c r="C19" s="8" t="inlineStr">
        <is>
          <t>$(170.5M)</t>
        </is>
      </c>
      <c r="D19" s="8" t="inlineStr">
        <is>
          <t>$(170.5M)</t>
        </is>
      </c>
      <c r="E19" s="8" t="inlineStr">
        <is>
          <t>Subtract cash surplus (Net Cash = $170.5M, NEG debt)</t>
        </is>
      </c>
    </row>
    <row r="20">
      <c r="A20" s="6" t="inlineStr">
        <is>
          <t>Implied Enterprise Value</t>
        </is>
      </c>
      <c r="B20" s="6" t="inlineStr">
        <is>
          <t>$1.18B</t>
        </is>
      </c>
      <c r="C20" s="6" t="inlineStr">
        <is>
          <t>$2.77B</t>
        </is>
      </c>
      <c r="D20" s="6" t="inlineStr">
        <is>
          <t>$7.43B</t>
        </is>
      </c>
      <c r="E20" s="6" t="inlineStr">
        <is>
          <t>MC + Net Debt (neg = plus cash)</t>
        </is>
      </c>
    </row>
    <row r="21">
      <c r="A21" s="8" t="inlineStr"/>
      <c r="B21" s="8" t="inlineStr"/>
      <c r="C21" s="8" t="inlineStr"/>
      <c r="D21" s="8" t="inlineStr"/>
      <c r="E21" s="8" t="inlineStr"/>
    </row>
    <row r="22">
      <c r="A22" s="6" t="inlineStr">
        <is>
          <t>Dilution Assumptions (5Y)</t>
        </is>
      </c>
      <c r="B22" s="6" t="inlineStr"/>
      <c r="C22" s="6" t="inlineStr"/>
      <c r="D22" s="6" t="inlineStr"/>
      <c r="E22" s="6" t="inlineStr"/>
    </row>
    <row r="23">
      <c r="A23" s="8" t="inlineStr">
        <is>
          <t>Future Dilution Factor (1+X)</t>
        </is>
      </c>
      <c r="B23" s="8" t="inlineStr">
        <is>
          <t>1.50x</t>
        </is>
      </c>
      <c r="C23" s="8" t="inlineStr">
        <is>
          <t>1.30x</t>
        </is>
      </c>
      <c r="D23" s="8" t="inlineStr">
        <is>
          <t>1.15x</t>
        </is>
      </c>
      <c r="E23" s="8" t="inlineStr">
        <is>
          <t>Bear: needs more capital; Bull: self-funding sooner</t>
        </is>
      </c>
    </row>
    <row r="24">
      <c r="A24" s="6" t="inlineStr">
        <is>
          <t>Diluted Share Count (M)</t>
        </is>
      </c>
      <c r="B24" s="6" t="inlineStr">
        <is>
          <t>158.3</t>
        </is>
      </c>
      <c r="C24" s="6" t="inlineStr">
        <is>
          <t>137.1</t>
        </is>
      </c>
      <c r="D24" s="6" t="inlineStr">
        <is>
          <t>121.4</t>
        </is>
      </c>
      <c r="E24" s="6" t="inlineStr">
        <is>
          <t>Current 0.1M × factor</t>
        </is>
      </c>
    </row>
    <row r="25">
      <c r="A25" s="8" t="inlineStr"/>
      <c r="B25" s="8" t="inlineStr"/>
      <c r="C25" s="8" t="inlineStr"/>
      <c r="D25" s="8" t="inlineStr"/>
    </row>
    <row r="26">
      <c r="A26" s="6" t="inlineStr">
        <is>
          <t>Target Price</t>
        </is>
      </c>
      <c r="B26" s="6" t="inlineStr"/>
      <c r="C26" s="6" t="inlineStr"/>
      <c r="D26" s="6" t="inlineStr"/>
      <c r="E26" s="6" t="inlineStr"/>
    </row>
    <row r="27">
      <c r="A27" s="8" t="inlineStr">
        <is>
          <t>Target Price / Share</t>
        </is>
      </c>
      <c r="B27" s="8" t="inlineStr">
        <is>
          <t>$6.38</t>
        </is>
      </c>
      <c r="C27" s="8" t="inlineStr">
        <is>
          <t>$18.96</t>
        </is>
      </c>
      <c r="D27" s="8" t="inlineStr">
        <is>
          <t>$59.80</t>
        </is>
      </c>
      <c r="E27" s="8" t="inlineStr">
        <is>
          <t>Implied MC / diluted shares</t>
        </is>
      </c>
    </row>
    <row r="28">
      <c r="A28" s="6" t="inlineStr">
        <is>
          <t>Upside from Current</t>
        </is>
      </c>
      <c r="B28" s="6" t="inlineStr">
        <is>
          <t>-63%</t>
        </is>
      </c>
      <c r="C28" s="6" t="inlineStr">
        <is>
          <t>10%</t>
        </is>
      </c>
      <c r="D28" s="6" t="inlineStr">
        <is>
          <t>247%</t>
        </is>
      </c>
      <c r="E28" s="6" t="inlineStr"/>
    </row>
    <row r="29">
      <c r="A29" s="8" t="inlineStr">
        <is>
          <t>vs 52W High ($18.89)</t>
        </is>
      </c>
      <c r="B29" s="8" t="inlineStr">
        <is>
          <t>-66%</t>
        </is>
      </c>
      <c r="C29" s="8" t="inlineStr">
        <is>
          <t>0%</t>
        </is>
      </c>
      <c r="D29" s="8" t="inlineStr">
        <is>
          <t>217%</t>
        </is>
      </c>
      <c r="E29" s="8" t="inlineStr"/>
    </row>
    <row r="30">
      <c r="A30" s="6" t="inlineStr"/>
      <c r="B30" s="6" t="inlineStr"/>
      <c r="C30" s="6" t="inlineStr"/>
      <c r="D30" s="6" t="inlineStr"/>
      <c r="E30" s="6" t="inlineStr"/>
    </row>
    <row r="31">
      <c r="A31" s="8" t="inlineStr">
        <is>
          <t>Probability Weights</t>
        </is>
      </c>
      <c r="B31" s="8" t="inlineStr"/>
      <c r="C31" s="8" t="inlineStr"/>
      <c r="D31" s="8" t="inlineStr"/>
      <c r="E31" s="8" t="inlineStr"/>
    </row>
    <row r="32">
      <c r="A32" s="6" t="inlineStr">
        <is>
          <t>Bear Weight</t>
        </is>
      </c>
      <c r="B32" s="6" t="inlineStr">
        <is>
          <t>25%</t>
        </is>
      </c>
      <c r="C32" s="6" t="inlineStr"/>
      <c r="D32" s="6" t="inlineStr"/>
      <c r="E32" s="6" t="inlineStr">
        <is>
          <t>Catalysts fail, GM stays compressed</t>
        </is>
      </c>
    </row>
    <row r="33">
      <c r="A33" s="8" t="inlineStr">
        <is>
          <t>Base Weight</t>
        </is>
      </c>
      <c r="B33" s="8" t="inlineStr">
        <is>
          <t>50%</t>
        </is>
      </c>
      <c r="C33" s="8" t="inlineStr"/>
      <c r="D33" s="8" t="inlineStr"/>
      <c r="E33" s="8" t="inlineStr">
        <is>
          <t>Consensus-ish, slow path to profitability</t>
        </is>
      </c>
    </row>
    <row r="34">
      <c r="A34" s="6" t="inlineStr">
        <is>
          <t>Bull Weight</t>
        </is>
      </c>
      <c r="B34" s="6" t="inlineStr">
        <is>
          <t>25%</t>
        </is>
      </c>
      <c r="C34" s="6" t="inlineStr"/>
      <c r="D34" s="6" t="inlineStr"/>
      <c r="E34" s="6" t="inlineStr">
        <is>
          <t>Tempus deal scales, GM recovers</t>
        </is>
      </c>
    </row>
    <row r="35">
      <c r="A35" s="8" t="inlineStr"/>
      <c r="B35" s="8" t="inlineStr"/>
      <c r="C35" s="8" t="inlineStr"/>
      <c r="D35" s="8" t="inlineStr"/>
      <c r="E35" s="8" t="inlineStr"/>
    </row>
    <row r="36">
      <c r="A36" s="6" t="inlineStr">
        <is>
          <t>Probability-Weighted FV</t>
        </is>
      </c>
      <c r="B36" s="6" t="inlineStr"/>
      <c r="C36" s="6" t="inlineStr"/>
      <c r="D36" s="6" t="inlineStr"/>
      <c r="E36" s="6" t="inlineStr"/>
    </row>
    <row r="37">
      <c r="A37" s="8" t="inlineStr">
        <is>
          <t>Weighted Value / Share</t>
        </is>
      </c>
      <c r="B37" s="8" t="inlineStr"/>
      <c r="C37" s="8" t="inlineStr"/>
      <c r="D37" s="8" t="inlineStr">
        <is>
          <t>$26.03</t>
        </is>
      </c>
      <c r="E37" s="8" t="inlineStr">
        <is>
          <t>Sum of weights × targets</t>
        </is>
      </c>
    </row>
    <row r="38">
      <c r="A38" s="6" t="inlineStr">
        <is>
          <t>Total Probability-Weighted FV</t>
        </is>
      </c>
      <c r="B38" s="6" t="inlineStr"/>
      <c r="C38" s="6" t="inlineStr"/>
      <c r="D38" s="6" t="inlineStr">
        <is>
          <t>$26.03</t>
        </is>
      </c>
      <c r="E38" s="6" t="inlineStr"/>
    </row>
    <row r="39">
      <c r="A39" s="8" t="inlineStr">
        <is>
          <t>Current Price</t>
        </is>
      </c>
      <c r="B39" s="8" t="inlineStr"/>
      <c r="C39" s="8" t="inlineStr"/>
      <c r="D39" s="8" t="inlineStr">
        <is>
          <t>$17.25</t>
        </is>
      </c>
      <c r="E39" s="8" t="inlineStr"/>
    </row>
    <row r="40">
      <c r="A40" s="6" t="inlineStr">
        <is>
          <t>Implied Upside</t>
        </is>
      </c>
      <c r="B40" s="6" t="inlineStr"/>
      <c r="C40" s="6" t="inlineStr"/>
      <c r="D40" s="6" t="inlineStr">
        <is>
          <t>50.9%</t>
        </is>
      </c>
      <c r="E40" s="6" t="inlineStr"/>
    </row>
    <row r="41">
      <c r="A41" s="8" t="inlineStr"/>
      <c r="B41" s="8" t="inlineStr"/>
      <c r="C41" s="8" t="inlineStr"/>
      <c r="D41" s="8" t="inlineStr"/>
      <c r="E41" s="8" t="inlineStr"/>
    </row>
    <row r="42">
      <c r="A42" s="6" t="inlineStr">
        <is>
          <t>Cash NAV Floor</t>
        </is>
      </c>
      <c r="B42" s="6" t="inlineStr"/>
      <c r="C42" s="6" t="inlineStr"/>
      <c r="D42" s="6" t="inlineStr"/>
      <c r="E42" s="6" t="inlineStr"/>
    </row>
    <row r="43">
      <c r="A43" s="8" t="inlineStr">
        <is>
          <t>Cash / Share (Current)</t>
        </is>
      </c>
      <c r="B43" s="8" t="inlineStr"/>
      <c r="C43" s="8" t="inlineStr"/>
      <c r="D43" s="8" t="inlineStr">
        <is>
          <t>$2015.60</t>
        </is>
      </c>
      <c r="E43" s="8" t="inlineStr">
        <is>
          <t>$213M / 0.1M</t>
        </is>
      </c>
    </row>
    <row r="44">
      <c r="A44" s="6" t="inlineStr">
        <is>
          <t>Cash / Share (5Y Diluted Base)</t>
        </is>
      </c>
      <c r="B44" s="6" t="inlineStr"/>
      <c r="C44" s="6" t="inlineStr"/>
      <c r="D44" s="6" t="inlineStr">
        <is>
          <t>$1.09</t>
        </is>
      </c>
      <c r="E44" s="6" t="inlineStr">
        <is>
          <t>Burn-adjusted cash / diluted shares</t>
        </is>
      </c>
    </row>
    <row r="45">
      <c r="A45" s="8" t="inlineStr"/>
      <c r="B45" s="8" t="inlineStr"/>
      <c r="C45" s="8" t="inlineStr"/>
      <c r="D45" s="8" t="inlineStr"/>
      <c r="E45" s="8" t="inlineStr"/>
    </row>
    <row r="46">
      <c r="A46" s="6" t="inlineStr">
        <is>
          <t>Framework Note</t>
        </is>
      </c>
      <c r="B46" s="6" t="inlineStr"/>
      <c r="C46" s="6" t="inlineStr"/>
      <c r="D46" s="6" t="inlineStr"/>
      <c r="E46" s="6" t="inlineStr"/>
    </row>
    <row r="47">
      <c r="A47" s="8" t="inlineStr">
        <is>
          <t>Primary Framework</t>
        </is>
      </c>
      <c r="B47" s="8" t="inlineStr"/>
      <c r="C47" s="8" t="inlineStr"/>
      <c r="D47" s="8" t="inlineStr">
        <is>
          <t>P/S + Cash NAV</t>
        </is>
      </c>
      <c r="E47" s="8" t="inlineStr">
        <is>
          <t>DCF/FCF invalid — operating losses $88-114M/yr</t>
        </is>
      </c>
    </row>
    <row r="48">
      <c r="A48" s="6" t="inlineStr">
        <is>
          <t>Cross-Check</t>
        </is>
      </c>
      <c r="B48" s="6" t="inlineStr"/>
      <c r="C48" s="6" t="inlineStr"/>
      <c r="D48" s="6" t="inlineStr">
        <is>
          <t>P/B at 7.75x current</t>
        </is>
      </c>
      <c r="E48" s="6" t="inlineStr">
        <is>
          <t>Declining BVPS — equity being consumed</t>
        </is>
      </c>
    </row>
    <row r="49">
      <c r="A49" s="8" t="inlineStr">
        <is>
          <t>Key Variable</t>
        </is>
      </c>
      <c r="B49" s="8" t="inlineStr"/>
      <c r="C49" s="8" t="inlineStr"/>
      <c r="D49" s="8" t="inlineStr">
        <is>
          <t>Gross margin trajectory</t>
        </is>
      </c>
      <c r="E49" s="8" t="inlineStr">
        <is>
          <t>GM was 31.7% in FY24; TTM only 12.7%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2" customWidth="1" min="3" max="3"/>
    <col width="18" customWidth="1" min="4" max="4"/>
    <col width="38" customWidth="1" min="5" max="5"/>
  </cols>
  <sheetData>
    <row r="1">
      <c r="A1" s="9" t="inlineStr">
        <is>
          <t>PSNL — Data Source Audit</t>
        </is>
      </c>
    </row>
    <row r="3">
      <c r="A3" s="7" t="inlineStr">
        <is>
          <t>Data Point</t>
        </is>
      </c>
      <c r="B3" s="7" t="inlineStr">
        <is>
          <t>Value</t>
        </is>
      </c>
      <c r="C3" s="7" t="inlineStr">
        <is>
          <t>Source</t>
        </is>
      </c>
      <c r="D3" s="7" t="inlineStr">
        <is>
          <t>Date</t>
        </is>
      </c>
      <c r="E3" s="7" t="inlineStr">
        <is>
          <t>Notes</t>
        </is>
      </c>
    </row>
    <row r="4">
      <c r="A4" s="6" t="inlineStr">
        <is>
          <t>Stock Price</t>
        </is>
      </c>
      <c r="B4" s="6" t="inlineStr">
        <is>
          <t>$17.25</t>
        </is>
      </c>
      <c r="C4" s="6" t="inlineStr">
        <is>
          <t>Yahoo Finance</t>
        </is>
      </c>
      <c r="D4" s="6" t="inlineStr">
        <is>
          <t>Aug 25, 2026</t>
        </is>
      </c>
      <c r="E4" s="6" t="inlineStr">
        <is>
          <t>Market close</t>
        </is>
      </c>
    </row>
    <row r="5">
      <c r="A5" s="8" t="inlineStr">
        <is>
          <t>After Hours Price</t>
        </is>
      </c>
      <c r="B5" s="8" t="inlineStr">
        <is>
          <t>$17.07</t>
        </is>
      </c>
      <c r="C5" s="8" t="inlineStr">
        <is>
          <t>Yahoo Finance</t>
        </is>
      </c>
      <c r="D5" s="8" t="inlineStr">
        <is>
          <t>Aug 25, 2026</t>
        </is>
      </c>
      <c r="E5" s="8" t="inlineStr">
        <is>
          <t>Post-market ATS</t>
        </is>
      </c>
    </row>
    <row r="6">
      <c r="A6" s="6" t="inlineStr">
        <is>
          <t>Market Cap</t>
        </is>
      </c>
      <c r="B6" s="6" t="inlineStr">
        <is>
          <t>$1.82B</t>
        </is>
      </c>
      <c r="C6" s="6" t="inlineStr">
        <is>
          <t>Yahoo Finance Key Stats</t>
        </is>
      </c>
      <c r="D6" s="6" t="inlineStr">
        <is>
          <t>Aug 25, 2026</t>
        </is>
      </c>
      <c r="E6" s="6" t="inlineStr">
        <is>
          <t>MRQ</t>
        </is>
      </c>
    </row>
    <row r="7">
      <c r="A7" s="8" t="inlineStr">
        <is>
          <t>Enterprise Value</t>
        </is>
      </c>
      <c r="B7" s="8" t="inlineStr">
        <is>
          <t>$1.65B</t>
        </is>
      </c>
      <c r="C7" s="8" t="inlineStr">
        <is>
          <t>Yahoo Finance Key Stats</t>
        </is>
      </c>
      <c r="D7" s="8" t="inlineStr">
        <is>
          <t>Aug 25, 2026</t>
        </is>
      </c>
      <c r="E7" s="8" t="inlineStr">
        <is>
          <t>MRQ</t>
        </is>
      </c>
    </row>
    <row r="8">
      <c r="A8" s="6" t="inlineStr">
        <is>
          <t>Shares Outstanding</t>
        </is>
      </c>
      <c r="B8" s="6" t="inlineStr">
        <is>
          <t>~105.5M</t>
        </is>
      </c>
      <c r="C8" s="6" t="inlineStr">
        <is>
          <t>Implied: MC/Price</t>
        </is>
      </c>
      <c r="D8" s="6" t="inlineStr">
        <is>
          <t>Aug 25, 2026</t>
        </is>
      </c>
      <c r="E8" s="6" t="inlineStr">
        <is>
          <t>$1.82B/$17.25</t>
        </is>
      </c>
    </row>
    <row r="9">
      <c r="A9" s="8" t="inlineStr">
        <is>
          <t>Beta (5Y Monthly)</t>
        </is>
      </c>
      <c r="B9" s="8" t="inlineStr">
        <is>
          <t>2.29</t>
        </is>
      </c>
      <c r="C9" s="8" t="inlineStr">
        <is>
          <t>Yahoo Finance Key Stats</t>
        </is>
      </c>
      <c r="D9" s="8" t="inlineStr">
        <is>
          <t>Aug 25, 2026</t>
        </is>
      </c>
      <c r="E9" s="8" t="inlineStr"/>
    </row>
    <row r="10">
      <c r="A10" s="6" t="inlineStr">
        <is>
          <t>Revenue TTM</t>
        </is>
      </c>
      <c r="B10" s="6" t="inlineStr">
        <is>
          <t>$69.67M</t>
        </is>
      </c>
      <c r="C10" s="6" t="inlineStr">
        <is>
          <t>Yahoo Finance IS</t>
        </is>
      </c>
      <c r="D10" s="6" t="inlineStr">
        <is>
          <t>TTM as of Jun 2026</t>
        </is>
      </c>
      <c r="E10" s="6" t="inlineStr">
        <is>
          <t>All numbers in thousands</t>
        </is>
      </c>
    </row>
    <row r="11">
      <c r="A11" s="8" t="inlineStr">
        <is>
          <t>Gross Profit TTM</t>
        </is>
      </c>
      <c r="B11" s="8" t="inlineStr">
        <is>
          <t>$8.84M</t>
        </is>
      </c>
      <c r="C11" s="8" t="inlineStr">
        <is>
          <t>Yahoo Finance IS</t>
        </is>
      </c>
      <c r="D11" s="8" t="inlineStr">
        <is>
          <t>TTM</t>
        </is>
      </c>
      <c r="E11" s="8" t="inlineStr">
        <is>
          <t>GM severely compressed to 12.7%</t>
        </is>
      </c>
    </row>
    <row r="12">
      <c r="A12" s="6" t="inlineStr">
        <is>
          <t>OpEx TTM</t>
        </is>
      </c>
      <c r="B12" s="6" t="inlineStr">
        <is>
          <t>$123.15M</t>
        </is>
      </c>
      <c r="C12" s="6" t="inlineStr">
        <is>
          <t>Yahoo Finance IS</t>
        </is>
      </c>
      <c r="D12" s="6" t="inlineStr">
        <is>
          <t>TTM</t>
        </is>
      </c>
      <c r="E12" s="6" t="inlineStr">
        <is>
          <t>Operating expense far exceeds revenue</t>
        </is>
      </c>
    </row>
    <row r="13">
      <c r="A13" s="8" t="inlineStr">
        <is>
          <t>Operating Income TTM</t>
        </is>
      </c>
      <c r="B13" s="8" t="inlineStr">
        <is>
          <t>-$114.31M</t>
        </is>
      </c>
      <c r="C13" s="8" t="inlineStr">
        <is>
          <t>Yahoo Finance IS</t>
        </is>
      </c>
      <c r="D13" s="8" t="inlineStr">
        <is>
          <t>TTM</t>
        </is>
      </c>
      <c r="E13" s="8" t="inlineStr"/>
    </row>
    <row r="14">
      <c r="A14" s="6" t="inlineStr">
        <is>
          <t>Net Income TTM</t>
        </is>
      </c>
      <c r="B14" s="6" t="inlineStr">
        <is>
          <t>-$107.18M</t>
        </is>
      </c>
      <c r="C14" s="6" t="inlineStr">
        <is>
          <t>Yahoo Finance IS</t>
        </is>
      </c>
      <c r="D14" s="6" t="inlineStr">
        <is>
          <t>TTM</t>
        </is>
      </c>
      <c r="E14" s="6" t="inlineStr">
        <is>
          <t>Consistent operating losses</t>
        </is>
      </c>
    </row>
    <row r="15">
      <c r="A15" s="8" t="inlineStr">
        <is>
          <t>EPS Diluted TTM</t>
        </is>
      </c>
      <c r="B15" s="8" t="inlineStr">
        <is>
          <t>-$1.09</t>
        </is>
      </c>
      <c r="C15" s="8" t="inlineStr">
        <is>
          <t>Yahoo Finance IS</t>
        </is>
      </c>
      <c r="D15" s="8" t="inlineStr">
        <is>
          <t>TTM</t>
        </is>
      </c>
      <c r="E15" s="8" t="inlineStr">
        <is>
          <t>Basic = diluted (no options dilution counted)</t>
        </is>
      </c>
    </row>
    <row r="16">
      <c r="A16" s="6" t="inlineStr">
        <is>
          <t>EBITDA TTM</t>
        </is>
      </c>
      <c r="B16" s="6" t="inlineStr">
        <is>
          <t>-$97.22M</t>
        </is>
      </c>
      <c r="C16" s="6" t="inlineStr">
        <is>
          <t>Yahoo Finance IS</t>
        </is>
      </c>
      <c r="D16" s="6" t="inlineStr">
        <is>
          <t>TTM</t>
        </is>
      </c>
      <c r="E16" s="6" t="inlineStr">
        <is>
          <t>Negative — DCF invalid</t>
        </is>
      </c>
    </row>
    <row r="17">
      <c r="A17" s="8" t="inlineStr">
        <is>
          <t>Operating CF TTM</t>
        </is>
      </c>
      <c r="B17" s="8" t="inlineStr">
        <is>
          <t>-$92.30M</t>
        </is>
      </c>
      <c r="C17" s="8" t="inlineStr">
        <is>
          <t>Yahoo Finance CF</t>
        </is>
      </c>
      <c r="D17" s="8" t="inlineStr">
        <is>
          <t>TTM</t>
        </is>
      </c>
      <c r="E17" s="8" t="inlineStr">
        <is>
          <t>Cash burn continues</t>
        </is>
      </c>
    </row>
    <row r="18">
      <c r="A18" s="6" t="inlineStr">
        <is>
          <t>Levered FCF TTM</t>
        </is>
      </c>
      <c r="B18" s="6" t="inlineStr">
        <is>
          <t>-$56.03M</t>
        </is>
      </c>
      <c r="C18" s="6" t="inlineStr">
        <is>
          <t>Yahoo Finance Key Stats</t>
        </is>
      </c>
      <c r="D18" s="6" t="inlineStr">
        <is>
          <t>TTM</t>
        </is>
      </c>
      <c r="E18" s="6" t="inlineStr">
        <is>
          <t>Structurally negative</t>
        </is>
      </c>
    </row>
    <row r="19">
      <c r="A19" s="8" t="inlineStr">
        <is>
          <t>Total Cash MRQ</t>
        </is>
      </c>
      <c r="B19" s="8" t="inlineStr">
        <is>
          <t>$212.66M</t>
        </is>
      </c>
      <c r="C19" s="8" t="inlineStr">
        <is>
          <t>Yahoo Finance Key Stats</t>
        </is>
      </c>
      <c r="D19" s="8" t="inlineStr">
        <is>
          <t>MRQ Jun 2026</t>
        </is>
      </c>
      <c r="E19" s="8" t="inlineStr">
        <is>
          <t>Primary liquidity buffer</t>
        </is>
      </c>
    </row>
    <row r="20">
      <c r="A20" s="6" t="inlineStr">
        <is>
          <t>Total Debt/Equity MRQ</t>
        </is>
      </c>
      <c r="B20" s="6" t="inlineStr">
        <is>
          <t>16.16%</t>
        </is>
      </c>
      <c r="C20" s="6" t="inlineStr">
        <is>
          <t>Yahoo Finance Key Stats</t>
        </is>
      </c>
      <c r="D20" s="6" t="inlineStr">
        <is>
          <t>MRQ Jun 2026</t>
        </is>
      </c>
      <c r="E20" s="6" t="inlineStr">
        <is>
          <t>Low leverage — mostly cash-funded</t>
        </is>
      </c>
    </row>
    <row r="21">
      <c r="A21" s="8" t="inlineStr">
        <is>
          <t>P/S Ratio TTM</t>
        </is>
      </c>
      <c r="B21" s="8" t="inlineStr">
        <is>
          <t>23.93x</t>
        </is>
      </c>
      <c r="C21" s="8" t="inlineStr">
        <is>
          <t>Yahoo Finance Key Stats</t>
        </is>
      </c>
      <c r="D21" s="8" t="inlineStr">
        <is>
          <t>TTM</t>
        </is>
      </c>
      <c r="E21" s="8" t="inlineStr">
        <is>
          <t>High even for growth diagnostics</t>
        </is>
      </c>
    </row>
    <row r="22">
      <c r="A22" s="6" t="inlineStr">
        <is>
          <t>P/B Ratio MRQ</t>
        </is>
      </c>
      <c r="B22" s="6" t="inlineStr">
        <is>
          <t>7.75x</t>
        </is>
      </c>
      <c r="C22" s="6" t="inlineStr">
        <is>
          <t>Yahoo Finance Key Stats</t>
        </is>
      </c>
      <c r="D22" s="6" t="inlineStr">
        <is>
          <t>MRQ</t>
        </is>
      </c>
      <c r="E22" s="6" t="inlineStr">
        <is>
          <t>Elevated for unprofitable company</t>
        </is>
      </c>
    </row>
    <row r="23">
      <c r="A23" s="8" t="inlineStr">
        <is>
          <t>Profit Margin TTM</t>
        </is>
      </c>
      <c r="B23" s="8" t="inlineStr">
        <is>
          <t>-153.84%</t>
        </is>
      </c>
      <c r="C23" s="8" t="inlineStr">
        <is>
          <t>Yahoo Finance Key Stats</t>
        </is>
      </c>
      <c r="D23" s="8" t="inlineStr">
        <is>
          <t>TTM</t>
        </is>
      </c>
      <c r="E23" s="8" t="inlineStr"/>
    </row>
    <row r="24">
      <c r="A24" s="6" t="inlineStr">
        <is>
          <t>ROE TTM</t>
        </is>
      </c>
      <c r="B24" s="6" t="inlineStr">
        <is>
          <t>-50.32%</t>
        </is>
      </c>
      <c r="C24" s="6" t="inlineStr">
        <is>
          <t>Yahoo Finance Key Stats</t>
        </is>
      </c>
      <c r="D24" s="6" t="inlineStr">
        <is>
          <t>TTM</t>
        </is>
      </c>
      <c r="E24" s="6" t="inlineStr"/>
    </row>
    <row r="25">
      <c r="A25" s="8" t="inlineStr">
        <is>
          <t>ROA TTM</t>
        </is>
      </c>
      <c r="B25" s="8" t="inlineStr">
        <is>
          <t>-25.03%</t>
        </is>
      </c>
      <c r="C25" s="8" t="inlineStr">
        <is>
          <t>Yahoo Finance Key Stats</t>
        </is>
      </c>
      <c r="D25" s="8" t="inlineStr">
        <is>
          <t>TTM</t>
        </is>
      </c>
      <c r="E25" s="8" t="inlineStr"/>
    </row>
    <row r="26">
      <c r="A26" s="6" t="inlineStr">
        <is>
          <t>52W Range</t>
        </is>
      </c>
      <c r="B26" s="6" t="inlineStr">
        <is>
          <t>$4.65 − $18.89</t>
        </is>
      </c>
      <c r="C26" s="6" t="inlineStr">
        <is>
          <t>Yahoo Finance Summary</t>
        </is>
      </c>
      <c r="D26" s="6" t="inlineStr">
        <is>
          <t>Aug 25, 2026</t>
        </is>
      </c>
      <c r="E26" s="6" t="inlineStr">
        <is>
          <t>Near 52W high</t>
        </is>
      </c>
    </row>
    <row r="27">
      <c r="A27" s="8" t="inlineStr">
        <is>
          <t>Next Earnings Date</t>
        </is>
      </c>
      <c r="B27" s="8" t="inlineStr">
        <is>
          <t>Nov 3, 2026</t>
        </is>
      </c>
      <c r="C27" s="8" t="inlineStr">
        <is>
          <t>Yahoo Finance Summary</t>
        </is>
      </c>
      <c r="D27" s="8" t="inlineStr">
        <is>
          <t>Estimated</t>
        </is>
      </c>
      <c r="E27" s="8" t="inlineStr">
        <is>
          <t>Q3 FY26</t>
        </is>
      </c>
    </row>
    <row r="28">
      <c r="A28" s="6" t="inlineStr">
        <is>
          <t>Analyst Avg PT</t>
        </is>
      </c>
      <c r="B28" s="6" t="inlineStr">
        <is>
          <t>$15.44</t>
        </is>
      </c>
      <c r="C28" s="6" t="inlineStr">
        <is>
          <t>Yahoo Finance Analysis</t>
        </is>
      </c>
      <c r="D28" s="6" t="inlineStr">
        <is>
          <t>Aug 25, 2026</t>
        </is>
      </c>
      <c r="E28" s="6" t="inlineStr">
        <is>
          <t>7 analysts</t>
        </is>
      </c>
    </row>
    <row r="29">
      <c r="A29" s="8" t="inlineStr">
        <is>
          <t>Analyst Low PT</t>
        </is>
      </c>
      <c r="B29" s="8" t="inlineStr">
        <is>
          <t>$13.00</t>
        </is>
      </c>
      <c r="C29" s="8" t="inlineStr">
        <is>
          <t>Yahoo Finance Analysis</t>
        </is>
      </c>
      <c r="D29" s="8" t="inlineStr">
        <is>
          <t>Aug 25, 2026</t>
        </is>
      </c>
      <c r="E29" s="8" t="inlineStr">
        <is>
          <t>Lake Street Hold</t>
        </is>
      </c>
    </row>
    <row r="30">
      <c r="A30" s="6" t="inlineStr">
        <is>
          <t>FY26 Revenue Est.</t>
        </is>
      </c>
      <c r="B30" s="6" t="inlineStr">
        <is>
          <t>$82.47M</t>
        </is>
      </c>
      <c r="C30" s="6" t="inlineStr">
        <is>
          <t>Yahoo Finance Analysis</t>
        </is>
      </c>
      <c r="D30" s="6" t="inlineStr">
        <is>
          <t>Consensus</t>
        </is>
      </c>
      <c r="E30" s="6" t="inlineStr">
        <is>
          <t>82 analysts avg</t>
        </is>
      </c>
    </row>
    <row r="31">
      <c r="A31" s="8" t="inlineStr">
        <is>
          <t>FY27 Revenue Est.</t>
        </is>
      </c>
      <c r="B31" s="8" t="inlineStr">
        <is>
          <t>$110.20M</t>
        </is>
      </c>
      <c r="C31" s="8" t="inlineStr">
        <is>
          <t>Yahoo Finance Analysis</t>
        </is>
      </c>
      <c r="D31" s="8" t="inlineStr">
        <is>
          <t>Consensus</t>
        </is>
      </c>
      <c r="E31" s="8" t="inlineStr">
        <is>
          <t>82 analysts avg</t>
        </is>
      </c>
    </row>
    <row r="32">
      <c r="A32" s="6" t="inlineStr">
        <is>
          <t>FY26 EPS Est.</t>
        </is>
      </c>
      <c r="B32" s="6" t="inlineStr">
        <is>
          <t>-$1.09</t>
        </is>
      </c>
      <c r="C32" s="6" t="inlineStr">
        <is>
          <t>Yahoo Finance Analysis</t>
        </is>
      </c>
      <c r="D32" s="6" t="inlineStr">
        <is>
          <t>GAAP</t>
        </is>
      </c>
      <c r="E32" s="6" t="inlineStr">
        <is>
          <t>Worse than FY25 -0.91</t>
        </is>
      </c>
    </row>
    <row r="33">
      <c r="A33" s="8" t="inlineStr">
        <is>
          <t>FY27 EPS Est.</t>
        </is>
      </c>
      <c r="B33" s="8" t="inlineStr">
        <is>
          <t>-$0.94</t>
        </is>
      </c>
      <c r="C33" s="8" t="inlineStr">
        <is>
          <t>Yahoo Finance Analysis</t>
        </is>
      </c>
      <c r="D33" s="8" t="inlineStr">
        <is>
          <t>GAAP</t>
        </is>
      </c>
      <c r="E33" s="8" t="inlineStr">
        <is>
          <t>Still negative</t>
        </is>
      </c>
    </row>
    <row r="34">
      <c r="A34" s="6" t="inlineStr">
        <is>
          <t>10Y Treasury Rate</t>
        </is>
      </c>
      <c r="B34" s="6" t="inlineStr">
        <is>
          <t>4.641%</t>
        </is>
      </c>
      <c r="C34" s="6" t="inlineStr">
        <is>
          <t>CNBC</t>
        </is>
      </c>
      <c r="D34" s="6" t="inlineStr">
        <is>
          <t>Aug 25, 2026</t>
        </is>
      </c>
      <c r="E34" s="6" t="inlineStr">
        <is>
          <t>Used for WACC</t>
        </is>
      </c>
    </row>
    <row r="35">
      <c r="A35" s="8" t="inlineStr">
        <is>
          <t>Employees</t>
        </is>
      </c>
      <c r="B35" s="8" t="inlineStr">
        <is>
          <t>259</t>
        </is>
      </c>
      <c r="C35" s="8" t="inlineStr">
        <is>
          <t>Yahoo Finance Profile</t>
        </is>
      </c>
      <c r="D35" s="8" t="inlineStr">
        <is>
          <t>Current</t>
        </is>
      </c>
      <c r="E35" s="8" t="inlineStr"/>
    </row>
    <row r="36">
      <c r="A36" s="6" t="inlineStr">
        <is>
          <t>Fiscal Year End</t>
        </is>
      </c>
      <c r="B36" s="6" t="inlineStr">
        <is>
          <t>Dec 31</t>
        </is>
      </c>
      <c r="C36" s="6" t="inlineStr">
        <is>
          <t>Yahoo Finance Profile</t>
        </is>
      </c>
      <c r="D36" s="6" t="inlineStr">
        <is>
          <t>Current</t>
        </is>
      </c>
      <c r="E36" s="6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65" customWidth="1" min="3" max="3"/>
  </cols>
  <sheetData>
    <row r="1">
      <c r="A1" s="9" t="inlineStr">
        <is>
          <t>PSNL — Open Questions</t>
        </is>
      </c>
    </row>
    <row r="3">
      <c r="A3" s="7" t="inlineStr">
        <is>
          <t>#</t>
        </is>
      </c>
      <c r="B3" s="7" t="inlineStr">
        <is>
          <t>Question</t>
        </is>
      </c>
      <c r="C3" s="7" t="inlineStr">
        <is>
          <t>Context</t>
        </is>
      </c>
    </row>
    <row r="4">
      <c r="A4" s="6" t="inlineStr">
        <is>
          <t>Q1</t>
        </is>
      </c>
      <c r="B4" s="6" t="inlineStr">
        <is>
          <t>What drove the gross margin collapse from 31.7% (FY24) to 12.7% (TTM)?</t>
        </is>
      </c>
      <c r="C4" s="6" t="inlineStr">
        <is>
          <t>FY24 GM was 31.7% ($26.8M/$84.6M). FY25 collapsed to 22.7% ($15.8M/$69.6M). TTM at 12.7% ($8.8M/$69.7M). Is this a structural reset (lower-priced test volume) or transitional (cost restructuring)?</t>
        </is>
      </c>
    </row>
    <row r="5">
      <c r="A5" s="6" t="inlineStr">
        <is>
          <t>Q2</t>
        </is>
      </c>
      <c r="B5" s="6" t="inlineStr">
        <is>
          <t>How meaningful is the Tempus AI collaboration for revenue?</t>
        </is>
      </c>
      <c r="C5" s="6" t="inlineStr">
        <is>
          <t>Yahoo Finance news shows Tempus AI-PSNL deal as a major catalyst. What % of forward revenue does this collaboration represent? Is it revenue-bearing or just a distribution partnership?</t>
        </is>
      </c>
    </row>
    <row r="6">
      <c r="A6" s="6" t="inlineStr">
        <is>
          <t>Q3</t>
        </is>
      </c>
      <c r="B6" s="6" t="inlineStr">
        <is>
          <t>What is the path to operating profitability?</t>
        </is>
      </c>
      <c r="C6" s="6" t="inlineStr">
        <is>
          <t>Operating losses of $68-114M/year for 4 consecutive years. Revenue ~$70-85M. Operating expenses ~$95-123M/year. Does the company need 3-4x revenue just to breakeven at current cost structure?</t>
        </is>
      </c>
    </row>
    <row r="7">
      <c r="A7" s="6" t="inlineStr">
        <is>
          <t>Q4</t>
        </is>
      </c>
      <c r="B7" s="6" t="inlineStr">
        <is>
          <t>What is the dilution trajectory?</t>
        </is>
      </c>
      <c r="C7" s="6" t="inlineStr">
        <is>
          <t>Shares grew from 45.7M (FY22) to 89.2M (FY25) to 97.6M (TTM) — ~113% dilution in 3 years. At current cash burn of ~$75-92M/year and $213M cash, runway is ~2-3 years without more raises.</t>
        </is>
      </c>
    </row>
    <row r="8">
      <c r="A8" s="6" t="inlineStr">
        <is>
          <t>Q5</t>
        </is>
      </c>
      <c r="B8" s="6" t="inlineStr">
        <is>
          <t>Is the stock overextended after 267% 1-year return?</t>
        </is>
      </c>
      <c r="C8" s="6" t="inlineStr">
        <is>
          <t>Up 267% YoY driven by Tempus deal + Moderna mRNA vaccine catalyst. Currently at $17.25, within $1.64 of 52W high. Analyst avg PT of $15.44 is BELOW current price — suggests limited upside consensus.</t>
        </is>
      </c>
    </row>
    <row r="9">
      <c r="A9" s="6" t="inlineStr">
        <is>
          <t>Q6</t>
        </is>
      </c>
      <c r="B9" s="6" t="inlineStr">
        <is>
          <t>What explains the revenue decline from FY24 ($84.6M) to FY25 ($69.6M)?</t>
        </is>
      </c>
      <c r="C9" s="6" t="inlineStr">
        <is>
          <t>-17.7% revenue drop. Was this loss of research contracts (NIH grants ending?), customer churn, or a one-time FY24 spike?</t>
        </is>
      </c>
    </row>
    <row r="10">
      <c r="A10" s="6" t="inlineStr">
        <is>
          <t>Q7</t>
        </is>
      </c>
      <c r="B10" s="6" t="inlineStr">
        <is>
          <t>How does PSNL differentiate from Guardant Health (GH) and GRAIL?</t>
        </is>
      </c>
      <c r="C10" s="6" t="inlineStr">
        <is>
          <t>Competitive landscape: GH ($22B MC), GRAIL ($3.7B MC) do liquid biopsy/MRD. PSNL at $1.82B. Does PSNL's sequencing platform give it a cost advantage?</t>
        </is>
      </c>
    </row>
    <row r="11">
      <c r="A11" s="6" t="inlineStr">
        <is>
          <t>Q8</t>
        </is>
      </c>
      <c r="B11" s="6" t="inlineStr">
        <is>
          <t>What is the $136.4M TTM financing cash flow funding?</t>
        </is>
      </c>
      <c r="C11" s="6" t="inlineStr">
        <is>
          <t>Massive financing inflow TTM ($136.4M) vs prior year $130.3M. Equity raises? Convertible debt? What was the raise price vs current $17.25 — indicative of insider valuation expectations?</t>
        </is>
      </c>
    </row>
    <row r="12">
      <c r="A12" s="6" t="inlineStr">
        <is>
          <t>Q9</t>
        </is>
      </c>
      <c r="B12" s="6" t="inlineStr">
        <is>
          <t>Can 259 employees justify the current cost structure?</t>
        </is>
      </c>
      <c r="C12" s="6" t="inlineStr">
        <is>
          <t>OpEx of $123M TTM on 259 employees = ~$475K/employee/year. For a genomics company, is this R&amp;D-heavy or is there SG&amp;A bloat?</t>
        </is>
      </c>
    </row>
    <row r="13">
      <c r="A13" s="6" t="inlineStr">
        <is>
          <t>Q10</t>
        </is>
      </c>
      <c r="B13" s="6" t="inlineStr">
        <is>
          <t>What is the burn rate and cash runway?</t>
        </is>
      </c>
      <c r="C13" s="6" t="inlineStr">
        <is>
          <t>Operating CF -$92.3M TTM = ~$23M/quarter. Cash $212.7M → ~9 quarters at current burn. Will need another raise by Q4 FY27/Q1 FY28 at current pace.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45" customWidth="1" min="3" max="3"/>
  </cols>
  <sheetData>
    <row r="1">
      <c r="A1" s="9" t="inlineStr">
        <is>
          <t>Primary Data Sources</t>
        </is>
      </c>
    </row>
    <row r="3">
      <c r="A3" s="7" t="inlineStr">
        <is>
          <t>#</t>
        </is>
      </c>
      <c r="B3" s="7" t="inlineStr">
        <is>
          <t>Source</t>
        </is>
      </c>
      <c r="C3" s="7" t="inlineStr">
        <is>
          <t>URL</t>
        </is>
      </c>
    </row>
    <row r="4">
      <c r="A4" s="6" t="inlineStr">
        <is>
          <t>1</t>
        </is>
      </c>
      <c r="B4" s="6" t="inlineStr">
        <is>
          <t>Yahoo Finance — PSNL Quote Page</t>
        </is>
      </c>
      <c r="C4" s="6" t="inlineStr">
        <is>
          <t>finance.yahoo.com/quote/PSNL/</t>
        </is>
      </c>
    </row>
    <row r="5">
      <c r="A5" s="6" t="inlineStr">
        <is>
          <t>2</t>
        </is>
      </c>
      <c r="B5" s="6" t="inlineStr">
        <is>
          <t>Yahoo Finance — Key Statistics</t>
        </is>
      </c>
      <c r="C5" s="6" t="inlineStr">
        <is>
          <t>finance.yahoo.com/quote/PSNL/key-statistics/</t>
        </is>
      </c>
    </row>
    <row r="6">
      <c r="A6" s="6" t="inlineStr">
        <is>
          <t>3</t>
        </is>
      </c>
      <c r="B6" s="6" t="inlineStr">
        <is>
          <t>Yahoo Finance — Income Statement (Annual)</t>
        </is>
      </c>
      <c r="C6" s="6" t="inlineStr">
        <is>
          <t>finance.yahoo.com/quote/PSNL/financials/</t>
        </is>
      </c>
    </row>
    <row r="7">
      <c r="A7" s="6" t="inlineStr">
        <is>
          <t>4</t>
        </is>
      </c>
      <c r="B7" s="6" t="inlineStr">
        <is>
          <t>Yahoo Finance — Balance Sheet (Annual)</t>
        </is>
      </c>
      <c r="C7" s="6" t="inlineStr">
        <is>
          <t>finance.yahoo.com/quote/PSNL/balance-sheet/</t>
        </is>
      </c>
    </row>
    <row r="8">
      <c r="A8" s="6" t="inlineStr">
        <is>
          <t>5</t>
        </is>
      </c>
      <c r="B8" s="6" t="inlineStr">
        <is>
          <t>Yahoo Finance — Cash Flow (Annual)</t>
        </is>
      </c>
      <c r="C8" s="6" t="inlineStr">
        <is>
          <t>finance.yahoo.com/quote/PSNL/cash-flow/</t>
        </is>
      </c>
    </row>
    <row r="9">
      <c r="A9" s="6" t="inlineStr">
        <is>
          <t>6</t>
        </is>
      </c>
      <c r="B9" s="6" t="inlineStr">
        <is>
          <t>Yahoo Finance — Analyst Estimates &amp; Trends</t>
        </is>
      </c>
      <c r="C9" s="6" t="inlineStr">
        <is>
          <t>finance.yahoo.com/quote/PSNL/analysis/</t>
        </is>
      </c>
    </row>
    <row r="10">
      <c r="A10" s="6" t="inlineStr">
        <is>
          <t>7</t>
        </is>
      </c>
      <c r="B10" s="6" t="inlineStr">
        <is>
          <t>Yahoo Finance — Company Profile</t>
        </is>
      </c>
      <c r="C10" s="6" t="inlineStr">
        <is>
          <t>finance.yahoo.com/quote/PSNL/profile/</t>
        </is>
      </c>
    </row>
    <row r="11">
      <c r="A11" s="6" t="inlineStr">
        <is>
          <t>8</t>
        </is>
      </c>
      <c r="B11" s="6" t="inlineStr">
        <is>
          <t>CNBC — US 10Y Treasury Yield</t>
        </is>
      </c>
      <c r="C11" s="6" t="inlineStr">
        <is>
          <t>www.cnbc.com/quotes/US10Y</t>
        </is>
      </c>
    </row>
    <row r="12">
      <c r="A12" s="6" t="inlineStr">
        <is>
          <t>9</t>
        </is>
      </c>
      <c r="B12" s="6" t="inlineStr">
        <is>
          <t>StockAnalysis.com — 404 (not available for PSNL)</t>
        </is>
      </c>
      <c r="C12" s="6" t="inlineStr">
        <is>
          <t>stockanalysis.com/quote/PSNL/</t>
        </is>
      </c>
    </row>
    <row r="13">
      <c r="A13" s="6" t="inlineStr">
        <is>
          <t>10</t>
        </is>
      </c>
      <c r="B13" s="6" t="inlineStr">
        <is>
          <t>Yahoo Finance News Tab — Recent headlines</t>
        </is>
      </c>
      <c r="C13" s="6" t="inlineStr">
        <is>
          <t>finance.yahoo.com/quote/PSNL/news/</t>
        </is>
      </c>
    </row>
    <row r="14">
      <c r="A14" s="6" t="inlineStr">
        <is>
          <t>11</t>
        </is>
      </c>
      <c r="B14" s="6" t="inlineStr">
        <is>
          <t>Yahoo Finance — Analyst Ratings summary</t>
        </is>
      </c>
      <c r="C14" s="6" t="inlineStr">
        <is>
          <t>From Analysis page extraction</t>
        </is>
      </c>
    </row>
    <row r="15">
      <c r="A15" s="6" t="inlineStr"/>
      <c r="B15" s="6" t="inlineStr"/>
      <c r="C15" s="6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2026-08-26T03:44:33Z</dcterms:created>
  <dcterms:modified xsi:type="dcterms:W3CDTF">2026-08-26T03:44:33Z</dcterms:modified>
</cp:coreProperties>
</file>