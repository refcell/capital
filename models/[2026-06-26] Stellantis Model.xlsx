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85" customWidth="1" min="3" max="3"/>
  </cols>
  <sheetData>
    <row r="1">
      <c r="A1" s="1" t="inlineStr">
        <is>
          <t>Stellantis N.V. (STLA) — Valuation Model</t>
        </is>
      </c>
    </row>
    <row r="2">
      <c r="A2" s="2" t="inlineStr">
        <is>
          <t>Company</t>
        </is>
      </c>
      <c r="B2" t="inlineStr">
        <is>
          <t>Stellantis N.V.</t>
        </is>
      </c>
    </row>
    <row r="3">
      <c r="A3" s="2" t="inlineStr">
        <is>
          <t>Ticker</t>
        </is>
      </c>
      <c r="B3" t="inlineStr">
        <is>
          <t>NYSE: STLA</t>
        </is>
      </c>
    </row>
    <row r="4">
      <c r="A4" s="2" t="inlineStr">
        <is>
          <t>Sector</t>
        </is>
      </c>
      <c r="B4" t="inlineStr">
        <is>
          <t>Consumer Discretionary — Automobiles</t>
        </is>
      </c>
    </row>
    <row r="5">
      <c r="A5" s="2" t="inlineStr">
        <is>
          <t>Date</t>
        </is>
      </c>
      <c r="B5" t="inlineStr">
        <is>
          <t>2026-06-26</t>
        </is>
      </c>
    </row>
    <row r="6">
      <c r="A6" s="2" t="inlineStr">
        <is>
          <t>Source</t>
        </is>
      </c>
      <c r="B6" t="inlineStr">
        <is>
          <t>Yahoo Finance, 2026-06-26 close</t>
        </is>
      </c>
    </row>
    <row r="7">
      <c r="A7" s="2" t="inlineStr">
        <is>
          <t>Price</t>
        </is>
      </c>
      <c r="B7" t="inlineStr">
        <is>
          <t>$5.68</t>
        </is>
      </c>
    </row>
    <row r="8">
      <c r="A8" s="2" t="inlineStr">
        <is>
          <t>Shares Outstanding</t>
        </is>
      </c>
      <c r="B8" t="inlineStr">
        <is>
          <t>2.90B (diluted, Yahoo Finance Statistics)</t>
        </is>
      </c>
    </row>
    <row r="9">
      <c r="A9" s="2" t="inlineStr">
        <is>
          <t>Market Cap</t>
        </is>
      </c>
      <c r="B9" t="inlineStr">
        <is>
          <t>$16.53B</t>
        </is>
      </c>
    </row>
    <row r="10">
      <c r="A10" s="2" t="inlineStr">
        <is>
          <t>Enterprise Value</t>
        </is>
      </c>
      <c r="B10" t="inlineStr">
        <is>
          <t>$33.79B  (MC $16.53B + Net Debt ~$17.26B)</t>
        </is>
      </c>
    </row>
    <row r="11">
      <c r="A11" s="2" t="inlineStr">
        <is>
          <t>Primary Lens</t>
        </is>
      </c>
      <c r="B11" t="inlineStr">
        <is>
          <t>Forward P/E + EV/Sales; WACC-based FCF scenarios</t>
        </is>
      </c>
    </row>
    <row r="12">
      <c r="A12" s="2" t="inlineStr">
        <is>
          <t>Stance</t>
        </is>
      </c>
      <c r="B12" t="inlineStr">
        <is>
          <t>Watch — distressed multiples with massive loss profile; turnaround potential but high execution risk</t>
        </is>
      </c>
    </row>
    <row r="14">
      <c r="A14" s="3" t="inlineStr">
        <is>
          <t>Valuation Metric</t>
        </is>
      </c>
      <c r="B14" s="3" t="inlineStr">
        <is>
          <t>Value</t>
        </is>
      </c>
      <c r="C14" s="3" t="inlineStr">
        <is>
          <t>Comment</t>
        </is>
      </c>
    </row>
    <row r="15">
      <c r="A15" s="4" t="inlineStr">
        <is>
          <t>Forward P/E (FY2026)</t>
        </is>
      </c>
      <c r="B15" s="4" t="inlineStr">
        <is>
          <t>7.05x</t>
        </is>
      </c>
      <c r="C15" s="4" t="inlineStr">
        <is>
          <t>On FY26 EPS consensus $0.85 (3 analysts). Cheap for auto sector.</t>
        </is>
      </c>
    </row>
    <row r="16">
      <c r="A16" s="4" t="inlineStr">
        <is>
          <t>Trailing P/E</t>
        </is>
      </c>
      <c r="B16" s="4" t="inlineStr">
        <is>
          <t>3.19x (S&amp;P calc) / N/A</t>
        </is>
      </c>
      <c r="C16" s="4" t="inlineStr">
        <is>
          <t>TTM EPS -$7.48 =&gt; trailing P/E technically negative. 3.19x uses S&amp;P adjusted measure.</t>
        </is>
      </c>
    </row>
    <row r="17">
      <c r="A17" s="4" t="inlineStr">
        <is>
          <t>P/S (TTM)</t>
        </is>
      </c>
      <c r="B17" s="4" t="inlineStr">
        <is>
          <t>0.09x</t>
        </is>
      </c>
      <c r="C17" s="4" t="inlineStr">
        <is>
          <t>Deeply discounted vs. auto norms of 0.15-0.25x. Bankruptcy-adjacent</t>
        </is>
      </c>
    </row>
    <row r="18">
      <c r="A18" s="4" t="inlineStr">
        <is>
          <t>EV/Sales</t>
        </is>
      </c>
      <c r="B18" s="4" t="inlineStr">
        <is>
          <t>0.19x</t>
        </is>
      </c>
      <c r="C18" s="4" t="inlineStr">
        <is>
          <t>EV $33.79B / TTM rev ~$155-160B. Enterprise value near liquidation floor.</t>
        </is>
      </c>
    </row>
    <row r="19">
      <c r="A19" s="4" t="inlineStr">
        <is>
          <t>EV/EBITDA</t>
        </is>
      </c>
      <c r="B19" s="4" t="inlineStr">
        <is>
          <t>11.96x (S&amp;P)</t>
        </is>
      </c>
      <c r="C19" s="4" t="inlineStr">
        <is>
          <t>S&amp;P-calculated; company EBITDA is negative TTM (-EUR 1.04B). Likely forward/adjusted.</t>
        </is>
      </c>
    </row>
    <row r="20">
      <c r="A20" s="4" t="inlineStr">
        <is>
          <t>P/B</t>
        </is>
      </c>
      <c r="B20" s="4" t="inlineStr">
        <is>
          <t>0.24x</t>
        </is>
      </c>
      <c r="C20" s="4" t="inlineStr">
        <is>
          <t>MC $16.53B / equity ~$69B (at USD). Massive deep-to-book.</t>
        </is>
      </c>
    </row>
    <row r="21">
      <c r="A21" s="4" t="inlineStr">
        <is>
          <t>PEG (5yr expected)</t>
        </is>
      </c>
      <c r="B21" s="4" t="inlineStr">
        <is>
          <t>1.15x</t>
        </is>
      </c>
      <c r="C21" s="4" t="inlineStr">
        <is>
          <t>Reasonable for recovery narrative. Based on 5-yr expected growth.</t>
        </is>
      </c>
    </row>
    <row r="22">
      <c r="A22" s="4" t="inlineStr">
        <is>
          <t>Forward Div Yield</t>
        </is>
      </c>
      <c r="B22" s="4" t="inlineStr">
        <is>
          <t>10.58%</t>
        </is>
      </c>
      <c r="C22" s="4" t="inlineStr">
        <is>
          <t>Annual div rate $0.77; sustainability very questionable given losses.</t>
        </is>
      </c>
    </row>
    <row r="23">
      <c r="A23" s="4" t="inlineStr">
        <is>
          <t>Beta (5Y monthly)</t>
        </is>
      </c>
      <c r="B23" s="4" t="inlineStr">
        <is>
          <t>0.97</t>
        </is>
      </c>
      <c r="C23" s="4" t="inlineStr">
        <is>
          <t>Near-market beta; auto-cyclical equity risk.</t>
        </is>
      </c>
    </row>
    <row r="24">
      <c r="A24" s="4" t="inlineStr">
        <is>
          <t>52W Range</t>
        </is>
      </c>
      <c r="B24" s="4" t="inlineStr">
        <is>
          <t>$5.61 - $12.22</t>
        </is>
      </c>
      <c r="C24" s="4" t="inlineStr">
        <is>
          <t>Currently at 52-week low. Down 43.37% in 52 weeks.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80" customWidth="1" min="3" max="3"/>
  </cols>
  <sheetData>
    <row r="1">
      <c r="A1" s="5" t="inlineStr">
        <is>
          <t>WACC — CAPM (Stellantis)</t>
        </is>
      </c>
    </row>
    <row r="2">
      <c r="A2" s="3" t="inlineStr">
        <is>
          <t>Component</t>
        </is>
      </c>
      <c r="B2" s="3" t="inlineStr">
        <is>
          <t>Value</t>
        </is>
      </c>
      <c r="C2" s="3" t="inlineStr">
        <is>
          <t>Source / Notes</t>
        </is>
      </c>
    </row>
    <row r="3">
      <c r="A3" s="6" t="inlineStr">
        <is>
          <t>Risk-Free Rate (10Y US)</t>
        </is>
      </c>
      <c r="B3" s="4" t="inlineStr">
        <is>
          <t>4.376%</t>
        </is>
      </c>
      <c r="C3" s="4" t="inlineStr">
        <is>
          <t>CNBC US10Y, 2026-06-26 yield 4.376%</t>
        </is>
      </c>
    </row>
    <row r="4">
      <c r="A4" s="6" t="inlineStr">
        <is>
          <t>Beta (5Y Monthly)</t>
        </is>
      </c>
      <c r="B4" s="4" t="inlineStr">
        <is>
          <t>0.97</t>
        </is>
      </c>
      <c r="C4" s="4" t="inlineStr">
        <is>
          <t>Yahoo Finance Statistics; near-market, auto-cyclical</t>
        </is>
      </c>
    </row>
    <row r="5">
      <c r="A5" s="6" t="inlineStr">
        <is>
          <t>Equity Risk Premium</t>
        </is>
      </c>
      <c r="B5" s="4" t="inlineStr">
        <is>
          <t>5.00%</t>
        </is>
      </c>
      <c r="C5" s="4" t="inlineStr">
        <is>
          <t>Standard assumption</t>
        </is>
      </c>
    </row>
    <row r="6">
      <c r="A6" s="6" t="inlineStr">
        <is>
          <t>Cost of Equity (Rf + B*ERP)</t>
        </is>
      </c>
      <c r="B6" s="4" t="inlineStr">
        <is>
          <t>9.226%</t>
        </is>
      </c>
      <c r="C6" s="4">
        <f> 4.376% + 0.97*5.0%</f>
        <v/>
      </c>
    </row>
    <row r="7">
      <c r="A7" s="6" t="inlineStr">
        <is>
          <t>Market Cap (USD)</t>
        </is>
      </c>
      <c r="B7" s="4" t="inlineStr">
        <is>
          <t>$16,530M</t>
        </is>
      </c>
      <c r="C7" s="4" t="inlineStr">
        <is>
          <t>Yahoo Finance, 2026-06-26</t>
        </is>
      </c>
    </row>
    <row r="8">
      <c r="A8" s="6" t="inlineStr">
        <is>
          <t>Total Debt (MRQ, USD)</t>
        </is>
      </c>
      <c r="B8" s="4" t="inlineStr">
        <is>
          <t>$47,940M</t>
        </is>
      </c>
      <c r="C8" s="4" t="inlineStr">
        <is>
          <t>Yahoo Finance Balance Sheet / Statistics MRQ; auto debt inc. leases</t>
        </is>
      </c>
    </row>
    <row r="9">
      <c r="A9" s="6" t="inlineStr">
        <is>
          <t>Total Capitalization</t>
        </is>
      </c>
      <c r="B9" s="4" t="inlineStr">
        <is>
          <t>$64,470M</t>
        </is>
      </c>
      <c r="C9" s="4" t="inlineStr">
        <is>
          <t>MC + Debt</t>
        </is>
      </c>
    </row>
    <row r="10">
      <c r="A10" s="6" t="inlineStr">
        <is>
          <t>Equity Weight</t>
        </is>
      </c>
      <c r="B10" s="4" t="inlineStr">
        <is>
          <t>25.6%</t>
        </is>
      </c>
      <c r="C10" s="4" t="inlineStr">
        <is>
          <t>MC / (MC+Debt)</t>
        </is>
      </c>
    </row>
    <row r="11">
      <c r="A11" s="6" t="inlineStr">
        <is>
          <t>Debt Weight</t>
        </is>
      </c>
      <c r="B11" s="4" t="inlineStr">
        <is>
          <t>74.4%</t>
        </is>
      </c>
      <c r="C11" s="4" t="inlineStr">
        <is>
          <t>Debt / (MC+Debt); auto debt includes dealer financing / leases</t>
        </is>
      </c>
    </row>
    <row r="12">
      <c r="A12" s="6" t="inlineStr">
        <is>
          <t>Pre-Tax Cost of Debt</t>
        </is>
      </c>
      <c r="B12" s="4" t="inlineStr">
        <is>
          <t>5.50%</t>
        </is>
      </c>
      <c r="C12" s="4" t="inlineStr">
        <is>
          <t>Estimate — BBB- European auto; actual interest expense/debt ~3.3% but includes below-market financing</t>
        </is>
      </c>
    </row>
    <row r="13">
      <c r="A13" s="6" t="inlineStr">
        <is>
          <t>Tax Rate</t>
        </is>
      </c>
      <c r="B13" s="4" t="inlineStr">
        <is>
          <t>25.00%</t>
        </is>
      </c>
      <c r="C13" s="4" t="inlineStr">
        <is>
          <t>EU statutory; effective rate meaningless (negative income)</t>
        </is>
      </c>
    </row>
    <row r="14">
      <c r="A14" s="6" t="inlineStr">
        <is>
          <t>WACC</t>
        </is>
      </c>
      <c r="B14" s="4" t="inlineStr">
        <is>
          <t>5.43%</t>
        </is>
      </c>
      <c r="C14" s="4">
        <f> 0.256*9.226% + 0.744*5.5%*(1-0.25)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Scenario Analysis — Bear / Base / Bull (5Y Horizon)</t>
        </is>
      </c>
    </row>
    <row r="2">
      <c r="A2" s="3" t="inlineStr">
        <is>
          <t>Item</t>
        </is>
      </c>
      <c r="B2" s="3" t="inlineStr">
        <is>
          <t>Bear</t>
        </is>
      </c>
      <c r="C2" s="3" t="inlineStr">
        <is>
          <t>Base</t>
        </is>
      </c>
      <c r="D2" s="3" t="inlineStr">
        <is>
          <t>Bull</t>
        </is>
      </c>
    </row>
    <row r="3">
      <c r="A3" s="4" t="inlineStr">
        <is>
          <t>Revenue CAGR (5Y)</t>
        </is>
      </c>
      <c r="B3" s="7" t="inlineStr">
        <is>
          <t>-3.0%</t>
        </is>
      </c>
      <c r="C3" s="8" t="inlineStr">
        <is>
          <t>1.0%</t>
        </is>
      </c>
      <c r="D3" s="9" t="inlineStr">
        <is>
          <t>3.0%</t>
        </is>
      </c>
    </row>
    <row r="4">
      <c r="A4" s="4" t="inlineStr">
        <is>
          <t>FY2026 Revenue ($M)</t>
        </is>
      </c>
      <c r="B4" s="4" t="inlineStr">
        <is>
          <t>$160,500</t>
        </is>
      </c>
      <c r="C4" s="4" t="inlineStr">
        <is>
          <t>$160,500</t>
        </is>
      </c>
      <c r="D4" s="4" t="inlineStr">
        <is>
          <t>$160,500</t>
        </is>
      </c>
    </row>
    <row r="5">
      <c r="A5" s="4" t="inlineStr">
        <is>
          <t>Terminal Revenue (5Y) ($M)</t>
        </is>
      </c>
      <c r="B5" s="4" t="inlineStr">
        <is>
          <t>$137,827</t>
        </is>
      </c>
      <c r="C5" s="4" t="inlineStr">
        <is>
          <t>$168,687</t>
        </is>
      </c>
      <c r="D5" s="4" t="inlineStr">
        <is>
          <t>$186,063</t>
        </is>
      </c>
    </row>
    <row r="6">
      <c r="A6" s="4" t="inlineStr">
        <is>
          <t>Adjusted FCF Margin</t>
        </is>
      </c>
      <c r="B6" s="4" t="inlineStr">
        <is>
          <t>0.5%</t>
        </is>
      </c>
      <c r="C6" s="4" t="inlineStr">
        <is>
          <t>3.0%</t>
        </is>
      </c>
      <c r="D6" s="4" t="inlineStr">
        <is>
          <t>5.0%</t>
        </is>
      </c>
    </row>
    <row r="7">
      <c r="A7" s="4" t="inlineStr">
        <is>
          <t>Terminal FCF ($M)</t>
        </is>
      </c>
      <c r="B7" s="4" t="inlineStr">
        <is>
          <t>$689</t>
        </is>
      </c>
      <c r="C7" s="4" t="inlineStr">
        <is>
          <t>$5,061</t>
        </is>
      </c>
      <c r="D7" s="4" t="inlineStr">
        <is>
          <t>$9,303</t>
        </is>
      </c>
    </row>
    <row r="8">
      <c r="A8" s="4" t="inlineStr">
        <is>
          <t>Exit FCF Multiple</t>
        </is>
      </c>
      <c r="B8" s="4" t="inlineStr">
        <is>
          <t>4x</t>
        </is>
      </c>
      <c r="C8" s="4" t="inlineStr">
        <is>
          <t>8x</t>
        </is>
      </c>
      <c r="D8" s="4" t="inlineStr">
        <is>
          <t>10x</t>
        </is>
      </c>
    </row>
    <row r="9">
      <c r="A9" s="4" t="inlineStr">
        <is>
          <t>Implied EV ($M)</t>
        </is>
      </c>
      <c r="B9" s="4" t="inlineStr">
        <is>
          <t>$2,756</t>
        </is>
      </c>
      <c r="C9" s="4" t="inlineStr">
        <is>
          <t>$40,488</t>
        </is>
      </c>
      <c r="D9" s="4" t="inlineStr">
        <is>
          <t>$93,030</t>
        </is>
      </c>
    </row>
    <row r="10">
      <c r="A10" s="4" t="inlineStr">
        <is>
          <t>Less Net Debt ($M)</t>
        </is>
      </c>
      <c r="B10" s="4" t="inlineStr">
        <is>
          <t>-$18,000</t>
        </is>
      </c>
      <c r="C10" s="4" t="inlineStr">
        <is>
          <t>-$12,000</t>
        </is>
      </c>
      <c r="D10" s="4" t="inlineStr">
        <is>
          <t>-$2,000</t>
        </is>
      </c>
    </row>
    <row r="11">
      <c r="A11" s="4" t="inlineStr">
        <is>
          <t>Equity Value ($M)</t>
        </is>
      </c>
      <c r="B11" s="4" t="inlineStr">
        <is>
          <t>Negative (restructuring)</t>
        </is>
      </c>
      <c r="C11" s="4" t="inlineStr">
        <is>
          <t>$28,488</t>
        </is>
      </c>
      <c r="D11" s="4" t="inlineStr">
        <is>
          <t>$91,030</t>
        </is>
      </c>
    </row>
    <row r="12">
      <c r="A12" s="4" t="inlineStr">
        <is>
          <t>Shares Outstanding (M)</t>
        </is>
      </c>
      <c r="B12" s="4" t="inlineStr">
        <is>
          <t>2,900</t>
        </is>
      </c>
      <c r="C12" s="4" t="inlineStr">
        <is>
          <t>2,900</t>
        </is>
      </c>
      <c r="D12" s="4" t="inlineStr">
        <is>
          <t>2,900</t>
        </is>
      </c>
    </row>
    <row r="13">
      <c r="A13" s="4" t="inlineStr">
        <is>
          <t>Target Price</t>
        </is>
      </c>
      <c r="B13" s="4" t="inlineStr">
        <is>
          <t>$1.50</t>
        </is>
      </c>
      <c r="C13" s="4" t="inlineStr">
        <is>
          <t>$9.82</t>
        </is>
      </c>
      <c r="D13" s="4" t="inlineStr">
        <is>
          <t>$31.39</t>
        </is>
      </c>
    </row>
    <row r="14">
      <c r="A14" s="4" t="inlineStr">
        <is>
          <t>Upside from $5.68</t>
        </is>
      </c>
      <c r="B14" s="4" t="inlineStr">
        <is>
          <t>-73.6%</t>
        </is>
      </c>
      <c r="C14" s="4" t="inlineStr">
        <is>
          <t>+72.9%</t>
        </is>
      </c>
      <c r="D14" s="4" t="inlineStr">
        <is>
          <t>+452.6%</t>
        </is>
      </c>
    </row>
    <row r="15">
      <c r="A15" s="4" t="inlineStr">
        <is>
          <t>Weight</t>
        </is>
      </c>
      <c r="B15" s="4" t="inlineStr">
        <is>
          <t>20%</t>
        </is>
      </c>
      <c r="C15" s="4" t="inlineStr">
        <is>
          <t>50%</t>
        </is>
      </c>
      <c r="D15" s="4" t="inlineStr">
        <is>
          <t>30%</t>
        </is>
      </c>
    </row>
    <row r="16">
      <c r="A16" t="inlineStr">
        <is>
          <t>Weighted Value/Share</t>
        </is>
      </c>
      <c r="B16" t="inlineStr">
        <is>
          <t>$0.30</t>
        </is>
      </c>
      <c r="C16" t="inlineStr">
        <is>
          <t>$4.91</t>
        </is>
      </c>
      <c r="D16" t="inlineStr">
        <is>
          <t>$9.42</t>
        </is>
      </c>
    </row>
    <row r="17">
      <c r="A17" s="2" t="inlineStr">
        <is>
          <t>Total Probability-Weighted FV</t>
        </is>
      </c>
      <c r="B17" s="2" t="inlineStr">
        <is>
          <t>$14.63</t>
        </is>
      </c>
    </row>
    <row r="18">
      <c r="A18" s="2" t="inlineStr">
        <is>
          <t>Upside from $5.68</t>
        </is>
      </c>
      <c r="B18" s="2" t="inlineStr">
        <is>
          <t>+157.6%</t>
        </is>
      </c>
    </row>
    <row r="19">
      <c r="A19" s="2" t="inlineStr">
        <is>
          <t>WACC (discount rate)</t>
        </is>
      </c>
      <c r="B19" s="2" t="inlineStr">
        <is>
          <t>5.43%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  <col width="16" customWidth="1" min="4" max="4"/>
    <col width="50" customWidth="1" min="5" max="5"/>
  </cols>
  <sheetData>
    <row r="1">
      <c r="A1" s="5" t="inlineStr">
        <is>
          <t>Actuals Source Audit — Every Data Point</t>
        </is>
      </c>
    </row>
    <row r="2">
      <c r="A2" s="3" t="inlineStr">
        <is>
          <t>Data Point</t>
        </is>
      </c>
      <c r="B2" s="3" t="inlineStr">
        <is>
          <t>Value</t>
        </is>
      </c>
      <c r="C2" s="3" t="inlineStr">
        <is>
          <t>Source</t>
        </is>
      </c>
      <c r="D2" s="3" t="inlineStr">
        <is>
          <t>Date</t>
        </is>
      </c>
      <c r="E2" s="3" t="inlineStr">
        <is>
          <t>Notes</t>
        </is>
      </c>
    </row>
    <row r="3">
      <c r="A3" s="4" t="inlineStr">
        <is>
          <t>Stock price (close)</t>
        </is>
      </c>
      <c r="B3" s="4" t="inlineStr">
        <is>
          <t>$5.68</t>
        </is>
      </c>
      <c r="C3" s="4" t="inlineStr">
        <is>
          <t>Yahoo Finance quote</t>
        </is>
      </c>
      <c r="D3" s="4" t="inlineStr">
        <is>
          <t>2026-06-26</t>
        </is>
      </c>
      <c r="E3" s="4" t="inlineStr">
        <is>
          <t>NYSE closing price</t>
        </is>
      </c>
    </row>
    <row r="4">
      <c r="A4" s="4" t="inlineStr">
        <is>
          <t>After-hours price</t>
        </is>
      </c>
      <c r="B4" s="4" t="inlineStr">
        <is>
          <t>$5.71</t>
        </is>
      </c>
      <c r="C4" s="4" t="inlineStr">
        <is>
          <t>Yahoo Finance</t>
        </is>
      </c>
      <c r="D4" s="4" t="inlineStr">
        <is>
          <t>2026-06-26</t>
        </is>
      </c>
      <c r="E4" s="4" t="inlineStr">
        <is>
          <t>+0.53% AH</t>
        </is>
      </c>
    </row>
    <row r="5">
      <c r="A5" s="4" t="inlineStr">
        <is>
          <t>Market Cap</t>
        </is>
      </c>
      <c r="B5" s="4" t="inlineStr">
        <is>
          <t>$16.53B</t>
        </is>
      </c>
      <c r="C5" s="4" t="inlineStr">
        <is>
          <t>Yahoo Finance Stats</t>
        </is>
      </c>
      <c r="D5" s="4" t="inlineStr">
        <is>
          <t>2026-06-26</t>
        </is>
      </c>
      <c r="E5" s="4" t="inlineStr"/>
    </row>
    <row r="6">
      <c r="A6" s="4" t="inlineStr">
        <is>
          <t>Enterprise Value</t>
        </is>
      </c>
      <c r="B6" s="4" t="inlineStr">
        <is>
          <t>$33.79B</t>
        </is>
      </c>
      <c r="C6" s="4" t="inlineStr">
        <is>
          <t>Yahoo Finance Stats</t>
        </is>
      </c>
      <c r="D6" s="4" t="inlineStr">
        <is>
          <t>2026-06-26</t>
        </is>
      </c>
      <c r="E6" s="4" t="inlineStr"/>
    </row>
    <row r="7">
      <c r="A7" s="4" t="inlineStr">
        <is>
          <t>Shares Outstanding</t>
        </is>
      </c>
      <c r="B7" s="4" t="inlineStr">
        <is>
          <t>2.90B</t>
        </is>
      </c>
      <c r="C7" s="4" t="inlineStr">
        <is>
          <t>Yahoo Finance Stats</t>
        </is>
      </c>
      <c r="D7" s="4" t="inlineStr">
        <is>
          <t>2026-06-26</t>
        </is>
      </c>
      <c r="E7" s="4" t="inlineStr">
        <is>
          <t>diluted approx.</t>
        </is>
      </c>
    </row>
    <row r="8">
      <c r="A8" s="4" t="inlineStr">
        <is>
          <t>Beta (5Y monthly)</t>
        </is>
      </c>
      <c r="B8" s="4" t="inlineStr">
        <is>
          <t>0.97</t>
        </is>
      </c>
      <c r="C8" s="4" t="inlineStr">
        <is>
          <t>Yahoo Finance Stats</t>
        </is>
      </c>
      <c r="D8" s="4" t="inlineStr">
        <is>
          <t>2026-06-26</t>
        </is>
      </c>
      <c r="E8" s="4" t="inlineStr"/>
    </row>
    <row r="9">
      <c r="A9" s="4" t="inlineStr">
        <is>
          <t>Forward P/E</t>
        </is>
      </c>
      <c r="B9" s="4" t="inlineStr">
        <is>
          <t>7.05x</t>
        </is>
      </c>
      <c r="C9" s="4" t="inlineStr">
        <is>
          <t>Yahoo Finance Stats</t>
        </is>
      </c>
      <c r="D9" s="4" t="inlineStr">
        <is>
          <t>2026-06-26</t>
        </is>
      </c>
      <c r="E9" s="4" t="inlineStr">
        <is>
          <t>on FY26 EPS $0.85</t>
        </is>
      </c>
    </row>
    <row r="10">
      <c r="A10" s="4" t="inlineStr">
        <is>
          <t>Trailing P/E</t>
        </is>
      </c>
      <c r="B10" s="4" t="inlineStr">
        <is>
          <t>3.19x (S&amp;P)</t>
        </is>
      </c>
      <c r="C10" s="4" t="inlineStr">
        <is>
          <t>Yahoo Finance Stats</t>
        </is>
      </c>
      <c r="D10" s="4" t="inlineStr">
        <is>
          <t>2026-06-26</t>
        </is>
      </c>
      <c r="E10" s="4" t="inlineStr">
        <is>
          <t>TTM EPS -7.48 =&gt; effectively negative</t>
        </is>
      </c>
    </row>
    <row r="11">
      <c r="A11" s="4" t="inlineStr">
        <is>
          <t>P/S (TTM)</t>
        </is>
      </c>
      <c r="B11" s="4" t="inlineStr">
        <is>
          <t>0.09x</t>
        </is>
      </c>
      <c r="C11" s="4" t="inlineStr">
        <is>
          <t>Yahoo Finance Stats</t>
        </is>
      </c>
      <c r="D11" s="4" t="inlineStr">
        <is>
          <t>2026-06-26</t>
        </is>
      </c>
      <c r="E11" s="4" t="inlineStr"/>
    </row>
    <row r="12">
      <c r="A12" s="4" t="inlineStr">
        <is>
          <t>P/B</t>
        </is>
      </c>
      <c r="B12" s="4" t="inlineStr">
        <is>
          <t>0.24x</t>
        </is>
      </c>
      <c r="C12" s="4" t="inlineStr">
        <is>
          <t>Yahoo Finance Stats</t>
        </is>
      </c>
      <c r="D12" s="4" t="inlineStr">
        <is>
          <t>2026-06-26</t>
        </is>
      </c>
      <c r="E12" s="4" t="inlineStr"/>
    </row>
    <row r="13">
      <c r="A13" s="4" t="inlineStr">
        <is>
          <t>EV/Sales</t>
        </is>
      </c>
      <c r="B13" s="4" t="inlineStr">
        <is>
          <t>0.19x</t>
        </is>
      </c>
      <c r="C13" s="4" t="inlineStr">
        <is>
          <t>Yahoo Finance Stats</t>
        </is>
      </c>
      <c r="D13" s="4" t="inlineStr">
        <is>
          <t>2026-06-26</t>
        </is>
      </c>
      <c r="E13" s="4" t="inlineStr"/>
    </row>
    <row r="14">
      <c r="A14" s="4" t="inlineStr">
        <is>
          <t>PEG (5yr)</t>
        </is>
      </c>
      <c r="B14" s="4" t="inlineStr">
        <is>
          <t>1.15x</t>
        </is>
      </c>
      <c r="C14" s="4" t="inlineStr">
        <is>
          <t>Yahoo Finance Stats</t>
        </is>
      </c>
      <c r="D14" s="4" t="inlineStr">
        <is>
          <t>2026-06-26</t>
        </is>
      </c>
      <c r="E14" s="4" t="inlineStr"/>
    </row>
    <row r="15">
      <c r="A15" s="4" t="inlineStr">
        <is>
          <t>TTM Revenue</t>
        </is>
      </c>
      <c r="B15" s="4" t="inlineStr">
        <is>
          <t>EUR 155,827M</t>
        </is>
      </c>
      <c r="C15" s="4" t="inlineStr">
        <is>
          <t>YF Income Statement</t>
        </is>
      </c>
      <c r="D15" s="4" t="inlineStr">
        <is>
          <t>TTM</t>
        </is>
      </c>
      <c r="E15" s="4" t="inlineStr">
        <is>
          <t>Reported EUR; stats page labels 'USD'</t>
        </is>
      </c>
    </row>
    <row r="16">
      <c r="A16" s="4" t="inlineStr">
        <is>
          <t>FY2025 Revenue</t>
        </is>
      </c>
      <c r="B16" s="4" t="inlineStr">
        <is>
          <t>EUR 153,508M</t>
        </is>
      </c>
      <c r="C16" s="4" t="inlineStr">
        <is>
          <t>YF Income Statement</t>
        </is>
      </c>
      <c r="D16" s="4" t="inlineStr">
        <is>
          <t>12/31/2025</t>
        </is>
      </c>
      <c r="E16" s="4" t="inlineStr"/>
    </row>
    <row r="17">
      <c r="A17" s="4" t="inlineStr">
        <is>
          <t>FY2024 Revenue</t>
        </is>
      </c>
      <c r="B17" s="4" t="inlineStr">
        <is>
          <t>EUR 156,878M</t>
        </is>
      </c>
      <c r="C17" s="4" t="inlineStr">
        <is>
          <t>YF Income Statement</t>
        </is>
      </c>
      <c r="D17" s="4" t="inlineStr">
        <is>
          <t>12/31/2024</t>
        </is>
      </c>
      <c r="E17" s="4" t="inlineStr"/>
    </row>
    <row r="18">
      <c r="A18" s="4" t="inlineStr">
        <is>
          <t>FY2023 Revenue</t>
        </is>
      </c>
      <c r="B18" s="4" t="inlineStr">
        <is>
          <t>EUR 189,544M</t>
        </is>
      </c>
      <c r="C18" s="4" t="inlineStr">
        <is>
          <t>YF Income Statement</t>
        </is>
      </c>
      <c r="D18" s="4" t="inlineStr">
        <is>
          <t>12/31/2023</t>
        </is>
      </c>
      <c r="E18" s="4" t="inlineStr"/>
    </row>
    <row r="19">
      <c r="A19" s="4" t="inlineStr">
        <is>
          <t>FY2022 Revenue</t>
        </is>
      </c>
      <c r="B19" s="4" t="inlineStr">
        <is>
          <t>EUR 179,592M</t>
        </is>
      </c>
      <c r="C19" s="4" t="inlineStr">
        <is>
          <t>YF Income Statement</t>
        </is>
      </c>
      <c r="D19" s="4" t="inlineStr">
        <is>
          <t>12/31/2022</t>
        </is>
      </c>
      <c r="E19" s="4" t="inlineStr"/>
    </row>
    <row r="20">
      <c r="A20" s="4" t="inlineStr">
        <is>
          <t>TTM Gross Profit</t>
        </is>
      </c>
      <c r="B20" s="4" t="inlineStr">
        <is>
          <t>EUR -1,315M</t>
        </is>
      </c>
      <c r="C20" s="4" t="inlineStr">
        <is>
          <t>YF Income Statement</t>
        </is>
      </c>
      <c r="D20" s="4" t="inlineStr">
        <is>
          <t>TTM</t>
        </is>
      </c>
      <c r="E20" s="4" t="inlineStr">
        <is>
          <t>NEGATIVE — unprecedented at this scale</t>
        </is>
      </c>
    </row>
    <row r="21">
      <c r="A21" s="4" t="inlineStr">
        <is>
          <t>FY2025 Gross Profit</t>
        </is>
      </c>
      <c r="B21" s="4" t="inlineStr">
        <is>
          <t>EUR -2,119M</t>
        </is>
      </c>
      <c r="C21" s="4" t="inlineStr">
        <is>
          <t>YF Income Statement</t>
        </is>
      </c>
      <c r="D21" s="4" t="inlineStr">
        <is>
          <t>12/31/2025</t>
        </is>
      </c>
      <c r="E21" s="4" t="inlineStr">
        <is>
          <t>NEGATIVE — cost of rev &gt; revenue</t>
        </is>
      </c>
    </row>
    <row r="22">
      <c r="A22" s="4" t="inlineStr">
        <is>
          <t>TTM Op Income</t>
        </is>
      </c>
      <c r="B22" s="4" t="inlineStr">
        <is>
          <t>EUR -21,390M</t>
        </is>
      </c>
      <c r="C22" s="4" t="inlineStr">
        <is>
          <t>YF Income Statement</t>
        </is>
      </c>
      <c r="D22" s="4" t="inlineStr">
        <is>
          <t>TTM</t>
        </is>
      </c>
      <c r="E22" s="4" t="inlineStr"/>
    </row>
    <row r="23">
      <c r="A23" s="4" t="inlineStr">
        <is>
          <t>FY2025 Op Income</t>
        </is>
      </c>
      <c r="B23" s="4" t="inlineStr">
        <is>
          <t>EUR -22,231M</t>
        </is>
      </c>
      <c r="C23" s="4" t="inlineStr">
        <is>
          <t>YF Income Statement</t>
        </is>
      </c>
      <c r="D23" s="4" t="inlineStr">
        <is>
          <t>12/31/2025</t>
        </is>
      </c>
      <c r="E23" s="4" t="inlineStr"/>
    </row>
    <row r="24">
      <c r="A24" s="4" t="inlineStr">
        <is>
          <t>FY2024 Op Income</t>
        </is>
      </c>
      <c r="B24" s="4" t="inlineStr">
        <is>
          <t>EUR 5,435M</t>
        </is>
      </c>
      <c r="C24" s="4" t="inlineStr">
        <is>
          <t>YF Income Statement</t>
        </is>
      </c>
      <c r="D24" s="4" t="inlineStr">
        <is>
          <t>12/31/2024</t>
        </is>
      </c>
      <c r="E24" s="4" t="inlineStr">
        <is>
          <t>Last profitable FY</t>
        </is>
      </c>
    </row>
    <row r="25">
      <c r="A25" s="4" t="inlineStr">
        <is>
          <t>TTM Net Income</t>
        </is>
      </c>
      <c r="B25" s="4" t="inlineStr">
        <is>
          <t>EUR -21,607M</t>
        </is>
      </c>
      <c r="C25" s="4" t="inlineStr">
        <is>
          <t>YF Income Statement</t>
        </is>
      </c>
      <c r="D25" s="4" t="inlineStr">
        <is>
          <t>TTM</t>
        </is>
      </c>
      <c r="E25" s="4" t="inlineStr"/>
    </row>
    <row r="26">
      <c r="A26" s="4" t="inlineStr">
        <is>
          <t>FY2025 Net Income</t>
        </is>
      </c>
      <c r="B26" s="4" t="inlineStr">
        <is>
          <t>EUR -22,368M</t>
        </is>
      </c>
      <c r="C26" s="4" t="inlineStr">
        <is>
          <t>YF Income Statement</t>
        </is>
      </c>
      <c r="D26" s="4" t="inlineStr">
        <is>
          <t>12/31/2025</t>
        </is>
      </c>
      <c r="E26" s="4" t="inlineStr">
        <is>
          <t>Reported EUR 22.33B loss per news</t>
        </is>
      </c>
    </row>
    <row r="27">
      <c r="A27" s="4" t="inlineStr">
        <is>
          <t>TTM EPS (diluted)</t>
        </is>
      </c>
      <c r="B27" s="4" t="inlineStr">
        <is>
          <t>-$7.48</t>
        </is>
      </c>
      <c r="C27" s="4" t="inlineStr">
        <is>
          <t>YF Income Statement</t>
        </is>
      </c>
      <c r="D27" s="4" t="inlineStr">
        <is>
          <t>TTM</t>
        </is>
      </c>
      <c r="E27" s="4" t="inlineStr">
        <is>
          <t>Note: EPS in USD; shares ~2.89B</t>
        </is>
      </c>
    </row>
    <row r="28">
      <c r="A28" s="4" t="inlineStr">
        <is>
          <t>TTM Operating CF</t>
        </is>
      </c>
      <c r="B28" s="4" t="inlineStr">
        <is>
          <t>EUR -4,522M</t>
        </is>
      </c>
      <c r="C28" s="4" t="inlineStr">
        <is>
          <t>YF Cash Flow</t>
        </is>
      </c>
      <c r="D28" s="4" t="inlineStr">
        <is>
          <t>TTM</t>
        </is>
      </c>
      <c r="E28" s="4" t="inlineStr"/>
    </row>
    <row r="29">
      <c r="A29" s="4" t="inlineStr">
        <is>
          <t>TTM Capex</t>
        </is>
      </c>
      <c r="B29" s="4" t="inlineStr">
        <is>
          <t>EUR -8,115M</t>
        </is>
      </c>
      <c r="C29" s="4" t="inlineStr">
        <is>
          <t>YF Cash Flow</t>
        </is>
      </c>
      <c r="D29" s="4" t="inlineStr">
        <is>
          <t>TTM</t>
        </is>
      </c>
      <c r="E29" s="4" t="inlineStr"/>
    </row>
    <row r="30">
      <c r="A30" s="4" t="inlineStr">
        <is>
          <t>TTM Free CF</t>
        </is>
      </c>
      <c r="B30" s="4" t="inlineStr">
        <is>
          <t>EUR -12,637M</t>
        </is>
      </c>
      <c r="C30" s="4" t="inlineStr">
        <is>
          <t>YF Cash Flow</t>
        </is>
      </c>
      <c r="D30" s="4" t="inlineStr">
        <is>
          <t>TTM</t>
        </is>
      </c>
      <c r="E30" s="4" t="inlineStr">
        <is>
          <t>OCF minus Capex</t>
        </is>
      </c>
    </row>
    <row r="31">
      <c r="A31" s="4" t="inlineStr">
        <is>
          <t>Total Assets (FY25)</t>
        </is>
      </c>
      <c r="B31" s="4" t="inlineStr">
        <is>
          <t>EUR 195,153M</t>
        </is>
      </c>
      <c r="C31" s="4" t="inlineStr">
        <is>
          <t>YF Balance Sheet</t>
        </is>
      </c>
      <c r="D31" s="4" t="inlineStr">
        <is>
          <t>12/31/2025</t>
        </is>
      </c>
      <c r="E31" s="4" t="inlineStr"/>
    </row>
    <row r="32">
      <c r="A32" s="4" t="inlineStr">
        <is>
          <t>Total Debt (MRQ)</t>
        </is>
      </c>
      <c r="B32" s="4" t="inlineStr">
        <is>
          <t>USD 47,940M</t>
        </is>
      </c>
      <c r="C32" s="4" t="inlineStr">
        <is>
          <t>YF Statistics MRQ</t>
        </is>
      </c>
      <c r="D32" s="4" t="inlineStr">
        <is>
          <t>Q1 FY26</t>
        </is>
      </c>
      <c r="E32" s="4" t="inlineStr"/>
    </row>
    <row r="33">
      <c r="A33" s="4" t="inlineStr">
        <is>
          <t>Total Debt (FY25)</t>
        </is>
      </c>
      <c r="B33" s="4" t="inlineStr">
        <is>
          <t>EUR 45,947M</t>
        </is>
      </c>
      <c r="C33" s="4" t="inlineStr">
        <is>
          <t>YF Balance Sheet</t>
        </is>
      </c>
      <c r="D33" s="4" t="inlineStr">
        <is>
          <t>12/31/2025</t>
        </is>
      </c>
      <c r="E33" s="4" t="inlineStr"/>
    </row>
    <row r="34">
      <c r="A34" s="4" t="inlineStr">
        <is>
          <t>Cash (MRQ)</t>
        </is>
      </c>
      <c r="B34" s="4" t="inlineStr">
        <is>
          <t>USD 30,390M</t>
        </is>
      </c>
      <c r="C34" s="4" t="inlineStr">
        <is>
          <t>YF Statistics MRQ</t>
        </is>
      </c>
      <c r="D34" s="4" t="inlineStr">
        <is>
          <t>Q1 FY26</t>
        </is>
      </c>
      <c r="E34" s="4" t="inlineStr"/>
    </row>
    <row r="35">
      <c r="A35" s="4" t="inlineStr">
        <is>
          <t>Cash (FY25)</t>
        </is>
      </c>
      <c r="B35" s="4" t="inlineStr">
        <is>
          <t>EUR 30,146M</t>
        </is>
      </c>
      <c r="C35" s="4" t="inlineStr">
        <is>
          <t>YF Balance Sheet</t>
        </is>
      </c>
      <c r="D35" s="4" t="inlineStr">
        <is>
          <t>12/31/2025</t>
        </is>
      </c>
      <c r="E35" s="4" t="inlineStr"/>
    </row>
    <row r="36">
      <c r="A36" s="4" t="inlineStr">
        <is>
          <t>Net Debt (FY25)</t>
        </is>
      </c>
      <c r="B36" s="4" t="inlineStr">
        <is>
          <t>EUR 13,347M</t>
        </is>
      </c>
      <c r="C36" s="4" t="inlineStr">
        <is>
          <t>YF Balance Sheet</t>
        </is>
      </c>
      <c r="D36" s="4" t="inlineStr">
        <is>
          <t>12/31/2025</t>
        </is>
      </c>
      <c r="E36" s="4" t="inlineStr">
        <is>
          <t>Debt - cash</t>
        </is>
      </c>
    </row>
    <row r="37">
      <c r="A37" s="4" t="inlineStr">
        <is>
          <t>Book Value (FY25)</t>
        </is>
      </c>
      <c r="B37" s="4" t="inlineStr">
        <is>
          <t>EUR 53,551M</t>
        </is>
      </c>
      <c r="C37" s="4" t="inlineStr">
        <is>
          <t>YF Balance Sheet</t>
        </is>
      </c>
      <c r="D37" s="4" t="inlineStr">
        <is>
          <t>12/31/2025</t>
        </is>
      </c>
      <c r="E37" s="4" t="inlineStr"/>
    </row>
    <row r="38">
      <c r="A38" s="4" t="inlineStr">
        <is>
          <t>Net Tangible Assets</t>
        </is>
      </c>
      <c r="B38" s="4" t="inlineStr">
        <is>
          <t>EUR 8,666M</t>
        </is>
      </c>
      <c r="C38" s="4" t="inlineStr">
        <is>
          <t>YF Balance Sheet</t>
        </is>
      </c>
      <c r="D38" s="4" t="inlineStr">
        <is>
          <t>12/31/2025</t>
        </is>
      </c>
      <c r="E38" s="4" t="inlineStr">
        <is>
          <t>Down from EUR 27,327M FY24</t>
        </is>
      </c>
    </row>
    <row r="39">
      <c r="A39" s="4" t="inlineStr">
        <is>
          <t>FW26 Revenue Est.</t>
        </is>
      </c>
      <c r="B39" s="4" t="inlineStr">
        <is>
          <t>EUR 160,540M</t>
        </is>
      </c>
      <c r="C39" s="4" t="inlineStr">
        <is>
          <t>YF Analysis</t>
        </is>
      </c>
      <c r="D39" s="4" t="inlineStr">
        <is>
          <t>2026-06-26</t>
        </is>
      </c>
      <c r="E39" s="4" t="inlineStr">
        <is>
          <t>27 analysts; low 153,860M high 164,550M</t>
        </is>
      </c>
    </row>
    <row r="40">
      <c r="A40" s="4" t="inlineStr">
        <is>
          <t>FW27 Revenue Est.</t>
        </is>
      </c>
      <c r="B40" s="4" t="inlineStr">
        <is>
          <t>EUR 165,740M</t>
        </is>
      </c>
      <c r="C40" s="4" t="inlineStr">
        <is>
          <t>YF Analysis</t>
        </is>
      </c>
      <c r="D40" s="4" t="inlineStr">
        <is>
          <t>2026-06-26</t>
        </is>
      </c>
      <c r="E40" s="4" t="inlineStr">
        <is>
          <t>28 analysts; low 158,290M high 173,630M</t>
        </is>
      </c>
    </row>
    <row r="41">
      <c r="A41" s="4" t="inlineStr">
        <is>
          <t>FW26 EPS Est.</t>
        </is>
      </c>
      <c r="B41" s="4" t="inlineStr">
        <is>
          <t>$0.85</t>
        </is>
      </c>
      <c r="C41" s="4" t="inlineStr">
        <is>
          <t>YF Analysis</t>
        </is>
      </c>
      <c r="D41" s="4" t="inlineStr">
        <is>
          <t>2026-06-26</t>
        </is>
      </c>
      <c r="E41" s="4" t="inlineStr">
        <is>
          <t>3 analysts; revised DOWN from $1.14 (90d ago)</t>
        </is>
      </c>
    </row>
    <row r="42">
      <c r="A42" s="4" t="inlineStr">
        <is>
          <t>FW27 EPS Est.</t>
        </is>
      </c>
      <c r="B42" s="4" t="inlineStr">
        <is>
          <t>$1.76</t>
        </is>
      </c>
      <c r="C42" s="4" t="inlineStr">
        <is>
          <t>YF Analysis</t>
        </is>
      </c>
      <c r="D42" s="4" t="inlineStr">
        <is>
          <t>2026-06-26</t>
        </is>
      </c>
      <c r="E42" s="4" t="inlineStr">
        <is>
          <t>6 analysts; low $1.18 high $2.29</t>
        </is>
      </c>
    </row>
    <row r="43">
      <c r="A43" s="4" t="inlineStr">
        <is>
          <t>Q1 FY26 EPS</t>
        </is>
      </c>
      <c r="B43" s="4" t="inlineStr">
        <is>
          <t>$0.25</t>
        </is>
      </c>
      <c r="C43" s="4" t="inlineStr">
        <is>
          <t>YF Analysis</t>
        </is>
      </c>
      <c r="D43" s="4" t="inlineStr">
        <is>
          <t>3/31/2026</t>
        </is>
      </c>
      <c r="E43" s="4" t="inlineStr">
        <is>
          <t>Actual vs est $0.08; +195.92% surprise</t>
        </is>
      </c>
    </row>
    <row r="44">
      <c r="A44" s="4" t="inlineStr">
        <is>
          <t>10Y US Treasury</t>
        </is>
      </c>
      <c r="B44" s="4" t="inlineStr">
        <is>
          <t>4.376%</t>
        </is>
      </c>
      <c r="C44" s="4" t="inlineStr">
        <is>
          <t>CNBC US10Y</t>
        </is>
      </c>
      <c r="D44" s="4" t="inlineStr">
        <is>
          <t>2026-06-26</t>
        </is>
      </c>
      <c r="E44" s="4" t="inlineStr"/>
    </row>
    <row r="45">
      <c r="A45" s="4" t="inlineStr">
        <is>
          <t>52W High</t>
        </is>
      </c>
      <c r="B45" s="4" t="inlineStr">
        <is>
          <t>$12.22</t>
        </is>
      </c>
      <c r="C45" s="4" t="inlineStr">
        <is>
          <t>Yahoo Finance</t>
        </is>
      </c>
      <c r="D45" s="4" t="inlineStr">
        <is>
          <t>2026-06-26</t>
        </is>
      </c>
      <c r="E45" s="4" t="inlineStr"/>
    </row>
    <row r="46">
      <c r="A46" s="4" t="inlineStr">
        <is>
          <t>52W Low</t>
        </is>
      </c>
      <c r="B46" s="4" t="inlineStr">
        <is>
          <t>$5.61</t>
        </is>
      </c>
      <c r="C46" s="4" t="inlineStr">
        <is>
          <t>Yahoo Finance</t>
        </is>
      </c>
      <c r="D46" s="4" t="inlineStr">
        <is>
          <t>2026-06-26</t>
        </is>
      </c>
      <c r="E46" s="4" t="inlineStr">
        <is>
          <t>Stock currently at lows</t>
        </is>
      </c>
    </row>
    <row r="47">
      <c r="A47" s="4" t="inlineStr">
        <is>
          <t>52W Change</t>
        </is>
      </c>
      <c r="B47" s="4" t="inlineStr">
        <is>
          <t>-43.37%</t>
        </is>
      </c>
      <c r="C47" s="4" t="inlineStr">
        <is>
          <t>Yahoo Finance</t>
        </is>
      </c>
      <c r="D47" s="4" t="inlineStr">
        <is>
          <t>2026-06-26</t>
        </is>
      </c>
      <c r="E47" s="4" t="inlineStr"/>
    </row>
    <row r="48">
      <c r="A48" s="4" t="inlineStr">
        <is>
          <t>Short % Float</t>
        </is>
      </c>
      <c r="B48" s="4" t="inlineStr">
        <is>
          <t>2.66%</t>
        </is>
      </c>
      <c r="C48" s="4" t="inlineStr">
        <is>
          <t>Yahoo Finance</t>
        </is>
      </c>
      <c r="D48" s="4" t="inlineStr">
        <is>
          <t>06/15/2026</t>
        </is>
      </c>
      <c r="E48" s="4" t="inlineStr"/>
    </row>
    <row r="49">
      <c r="A49" s="4" t="inlineStr">
        <is>
          <t>Div Date</t>
        </is>
      </c>
      <c r="B49" s="4" t="inlineStr">
        <is>
          <t>5/5/2025</t>
        </is>
      </c>
      <c r="C49" s="4" t="inlineStr">
        <is>
          <t>Yahoo Finance</t>
        </is>
      </c>
      <c r="D49" s="4" t="inlineStr">
        <is>
          <t>2026-06-26</t>
        </is>
      </c>
      <c r="E49" s="4" t="inlineStr">
        <is>
          <t>Last dividend payment</t>
        </is>
      </c>
    </row>
    <row r="50">
      <c r="A50" s="4" t="inlineStr">
        <is>
          <t>Insider %</t>
        </is>
      </c>
      <c r="B50" s="4" t="inlineStr">
        <is>
          <t>23.67%</t>
        </is>
      </c>
      <c r="C50" s="4" t="inlineStr">
        <is>
          <t>Yahoo Finance</t>
        </is>
      </c>
      <c r="D50" s="4" t="inlineStr">
        <is>
          <t>2026-06-26</t>
        </is>
      </c>
      <c r="E50" s="4" t="inlineStr"/>
    </row>
    <row r="51">
      <c r="A51" t="inlineStr">
        <is>
          <t>Instl %</t>
        </is>
      </c>
      <c r="B51" t="inlineStr">
        <is>
          <t>49.85%</t>
        </is>
      </c>
      <c r="C51" t="inlineStr">
        <is>
          <t>Yahoo Finance</t>
        </is>
      </c>
      <c r="D51" t="inlineStr">
        <is>
          <t>2026-06-26</t>
        </is>
      </c>
      <c r="E51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22" customWidth="1" min="3" max="3"/>
    <col width="14" customWidth="1" min="4" max="4"/>
  </cols>
  <sheetData>
    <row r="1">
      <c r="A1" s="5" t="inlineStr">
        <is>
          <t>Open Questions — Stellantis (STLA)</t>
        </is>
      </c>
    </row>
    <row r="2">
      <c r="A2" s="3" t="n"/>
      <c r="B2" s="3" t="n"/>
      <c r="C2" s="3" t="n"/>
      <c r="D2" s="3" t="n"/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Category</t>
        </is>
      </c>
      <c r="D3" s="4" t="inlineStr">
        <is>
          <t>Priority</t>
        </is>
      </c>
    </row>
    <row r="4">
      <c r="A4" s="4" t="inlineStr">
        <is>
          <t>1</t>
        </is>
      </c>
      <c r="B4" s="4" t="inlineStr">
        <is>
          <t>Gross profit turned negative (FY2025 -EUR 2.1B on EUR 153.5B revenue). Unprecedented for auto at this scale. Is this CO2 penalties, inventory write-downs, or structural margin destruction?</t>
        </is>
      </c>
      <c r="C4" s="4" t="inlineStr">
        <is>
          <t>Profitability</t>
        </is>
      </c>
      <c r="D4" s="4" t="inlineStr">
        <is>
          <t>Critical</t>
        </is>
      </c>
    </row>
    <row r="5">
      <c r="A5" s="4" t="inlineStr">
        <is>
          <t>2</t>
        </is>
      </c>
      <c r="B5" s="4" t="inlineStr">
        <is>
          <t>Operating income swung EUR 27B: +EUR 5.4B (FY24) to -EUR 22.2B (FY25). What drove this? Restructuring, EV investment, competitive pricing?</t>
        </is>
      </c>
      <c r="C5" s="4" t="inlineStr">
        <is>
          <t>Profitability</t>
        </is>
      </c>
      <c r="D5" s="4" t="inlineStr">
        <is>
          <t>Critical</t>
        </is>
      </c>
    </row>
    <row r="6">
      <c r="A6" s="4" t="inlineStr">
        <is>
          <t>3</t>
        </is>
      </c>
      <c r="B6" s="4" t="inlineStr">
        <is>
          <t>CEO Antonio Filosa replaced Carlos Tavares (June 2025) after 19-year tenure. Filosa received 'C grade'. What is the strategic direction and does Filosa have the mandate to execute?</t>
        </is>
      </c>
      <c r="C6" s="4" t="inlineStr">
        <is>
          <t>Management</t>
        </is>
      </c>
      <c r="D6" s="4" t="inlineStr">
        <is>
          <t>High</t>
        </is>
      </c>
    </row>
    <row r="7">
      <c r="A7" s="4" t="inlineStr">
        <is>
          <t>4</t>
        </is>
      </c>
      <c r="B7" s="4" t="inlineStr">
        <is>
          <t>Total debt increased EUR 16.5B YoY (EUR 29.5B to EUR 45.9B). What was this spent on? Acquisitions, restructuring, EV capex, or cash burn?</t>
        </is>
      </c>
      <c r="C7" s="4" t="inlineStr">
        <is>
          <t>Capital Structure</t>
        </is>
      </c>
      <c r="D7" s="4" t="inlineStr">
        <is>
          <t>High</t>
        </is>
      </c>
    </row>
    <row r="8">
      <c r="A8" s="4" t="inlineStr">
        <is>
          <t>5</t>
        </is>
      </c>
      <c r="B8" s="4" t="inlineStr">
        <is>
          <t>Equity destroyed EUR 28B YoY (EUR 82.1B to EUR 54.0B). How much impairment / goodwill write-down vs. retained-earnings drawdown?</t>
        </is>
      </c>
      <c r="C8" s="4" t="inlineStr">
        <is>
          <t>Accounting</t>
        </is>
      </c>
      <c r="D8" s="4" t="inlineStr">
        <is>
          <t>High</t>
        </is>
      </c>
    </row>
    <row r="9">
      <c r="A9" s="4" t="inlineStr">
        <is>
          <t>6</t>
        </is>
      </c>
      <c r="B9" s="4" t="inlineStr">
        <is>
          <t>Net tangible assets fell 68% (EUR 27.3B to EUR 8.7B). What goodwill was written off and does the balance sheet overstate recoverable value?</t>
        </is>
      </c>
      <c r="C9" s="4" t="inlineStr">
        <is>
          <t>Accounting</t>
        </is>
      </c>
      <c r="D9" s="4" t="inlineStr">
        <is>
          <t>High</t>
        </is>
      </c>
    </row>
    <row r="10">
      <c r="A10" s="4" t="inlineStr">
        <is>
          <t>7</t>
        </is>
      </c>
      <c r="B10" s="4" t="inlineStr">
        <is>
          <t>Negative operating CF TTM (EUR -4.5B). Is this structural (unprofitable business model) or cyclical (temporary capex/restructuring)?</t>
        </is>
      </c>
      <c r="C10" s="4" t="inlineStr">
        <is>
          <t>Cash Flow</t>
        </is>
      </c>
      <c r="D10" s="4" t="inlineStr">
        <is>
          <t>Critical</t>
        </is>
      </c>
    </row>
    <row r="11">
      <c r="A11" s="4" t="inlineStr">
        <is>
          <t>8</t>
        </is>
      </c>
      <c r="B11" s="4" t="inlineStr">
        <is>
          <t>EV transition plan: EUR 40B+ investment through 2030. What is the IRR? How does cost per vehicle compare to VW/Tesla? Can Stellantis afford this burn rate?</t>
        </is>
      </c>
      <c r="C11" s="4" t="inlineStr">
        <is>
          <t>Strategy</t>
        </is>
      </c>
      <c r="D11" s="4" t="inlineStr">
        <is>
          <t>Critical</t>
        </is>
      </c>
    </row>
    <row r="12">
      <c r="A12" s="4" t="inlineStr">
        <is>
          <t>9</t>
        </is>
      </c>
      <c r="B12" s="4" t="inlineStr">
        <is>
          <t>Forward div yield 10.58% on $5.68. Is this sustainable with EUR 22B net loss? What happens if dividend is cut?</t>
        </is>
      </c>
      <c r="C12" s="4" t="inlineStr">
        <is>
          <t>Capital Allocation</t>
        </is>
      </c>
      <c r="D12" s="4" t="inlineStr">
        <is>
          <t>Medium</t>
        </is>
      </c>
    </row>
    <row r="13">
      <c r="A13" s="4" t="inlineStr">
        <is>
          <t>10</t>
        </is>
      </c>
      <c r="B13" s="4" t="inlineStr">
        <is>
          <t>Brand portfolio (14 brands): Maserati/Alfa Romeo/Abarth impairment risk? Have these been valued properly? Any sale rumors?</t>
        </is>
      </c>
      <c r="C13" s="4" t="inlineStr">
        <is>
          <t>Strategy</t>
        </is>
      </c>
      <c r="D13" s="4" t="inlineStr">
        <is>
          <t>Medium</t>
        </is>
      </c>
    </row>
    <row r="14">
      <c r="A14" s="4" t="inlineStr">
        <is>
          <t>11</t>
        </is>
      </c>
      <c r="B14" s="4" t="inlineStr">
        <is>
          <t>CO2 penalty exposure: EU fines per gram of excess emissions. What is Stellantis's total liability? Already provisioned for?</t>
        </is>
      </c>
      <c r="C14" s="4" t="inlineStr">
        <is>
          <t>Regulation</t>
        </is>
      </c>
      <c r="D14" s="4" t="inlineStr">
        <is>
          <t>High</t>
        </is>
      </c>
    </row>
    <row r="15">
      <c r="A15" s="4" t="inlineStr">
        <is>
          <t>12</t>
        </is>
      </c>
      <c r="B15" s="4" t="inlineStr">
        <is>
          <t>Competitive moat vs VW, Toyota, GM: Stellantis has scale (EUR 155B rev) but can it match VW's platform efficiency (MLB Evo)? Cost advantage durable?</t>
        </is>
      </c>
      <c r="C15" s="4" t="inlineStr">
        <is>
          <t>Competition</t>
        </is>
      </c>
      <c r="D15" s="4" t="inlineStr">
        <is>
          <t>Medium</t>
        </is>
      </c>
    </row>
    <row r="16">
      <c r="A16" s="4" t="inlineStr">
        <is>
          <t>13</t>
        </is>
      </c>
      <c r="B16" s="4" t="inlineStr">
        <is>
          <t>Management guidance for FY26-27: any explicit targets from Filosa on revenue, margin, or FCF? Previous Tavares guidance was aggressive.</t>
        </is>
      </c>
      <c r="C16" s="4" t="inlineStr">
        <is>
          <t>Guidance</t>
        </is>
      </c>
      <c r="D16" s="4" t="inlineStr">
        <is>
          <t>High</t>
        </is>
      </c>
    </row>
    <row r="17">
      <c r="A17" s="4" t="inlineStr">
        <is>
          <t>14</t>
        </is>
      </c>
      <c r="B17" s="4" t="inlineStr">
        <is>
          <t>Next earnings: Q2 FY26 report date? Analyst coverage dropping (only 3 for FY26 EPS). Reduced coverage limits transparency.</t>
        </is>
      </c>
      <c r="C17" s="4" t="inlineStr">
        <is>
          <t>Earnings</t>
        </is>
      </c>
      <c r="D17" s="4" t="inlineStr">
        <is>
          <t>High</t>
        </is>
      </c>
    </row>
    <row r="18">
      <c r="A18" t="inlineStr">
        <is>
          <t>15</t>
        </is>
      </c>
      <c r="B18" t="inlineStr">
        <is>
          <t>Shares down from 3.14B (FY22) to 2.89B (TTM). Buyback program or just natural decline? Repurchase of stock EUR 1B TTM.</t>
        </is>
      </c>
      <c r="C18" t="inlineStr">
        <is>
          <t>Capital Allocation</t>
        </is>
      </c>
      <c r="D18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</cols>
  <sheetData>
    <row r="1">
      <c r="A1" s="5" t="inlineStr">
        <is>
          <t>Sources — Stellantis (STLA) Model</t>
        </is>
      </c>
    </row>
    <row r="2">
      <c r="A2" s="3" t="inlineStr">
        <is>
          <t>#</t>
        </is>
      </c>
      <c r="B2" s="3" t="inlineStr">
        <is>
          <t>Source</t>
        </is>
      </c>
      <c r="C2" s="3" t="inlineStr">
        <is>
          <t>URL / Reference</t>
        </is>
      </c>
    </row>
    <row r="3">
      <c r="A3" s="4" t="inlineStr">
        <is>
          <t>1</t>
        </is>
      </c>
      <c r="B3" s="4" t="inlineStr">
        <is>
          <t>Yahoo Finance — STLA Main Quote &amp; Summary</t>
        </is>
      </c>
      <c r="C3" s="4" t="inlineStr">
        <is>
          <t>finance.yahoo.com/quote/STLA/</t>
        </is>
      </c>
    </row>
    <row r="4">
      <c r="A4" s="4" t="inlineStr">
        <is>
          <t>2</t>
        </is>
      </c>
      <c r="B4" s="4" t="inlineStr">
        <is>
          <t>Yahoo Finance — Income Statement (Annual)</t>
        </is>
      </c>
      <c r="C4" s="4" t="inlineStr">
        <is>
          <t>finance.yahoo.com/quote/STLA/financials/</t>
        </is>
      </c>
    </row>
    <row r="5">
      <c r="A5" s="4" t="inlineStr">
        <is>
          <t>3</t>
        </is>
      </c>
      <c r="B5" s="4" t="inlineStr">
        <is>
          <t>Yahoo Finance — Balance Sheet (Annual)</t>
        </is>
      </c>
      <c r="C5" s="4" t="inlineStr">
        <is>
          <t>finance.yahoo.com/quote/STLA/balance-sheet/</t>
        </is>
      </c>
    </row>
    <row r="6">
      <c r="A6" s="4" t="inlineStr">
        <is>
          <t>4</t>
        </is>
      </c>
      <c r="B6" s="4" t="inlineStr">
        <is>
          <t>Yahoo Finance — Cash Flow (Annual)</t>
        </is>
      </c>
      <c r="C6" s="4" t="inlineStr">
        <is>
          <t>finance.yahoo.com/quote/STLA/cash-flow/</t>
        </is>
      </c>
    </row>
    <row r="7">
      <c r="A7" s="4" t="inlineStr">
        <is>
          <t>5</t>
        </is>
      </c>
      <c r="B7" s="4" t="inlineStr">
        <is>
          <t>Yahoo Finance — Key Statistics</t>
        </is>
      </c>
      <c r="C7" s="4" t="inlineStr">
        <is>
          <t>finance.yahoo.com/quote/STLA/key-statistics/</t>
        </is>
      </c>
    </row>
    <row r="8">
      <c r="A8" s="4" t="inlineStr">
        <is>
          <t>6</t>
        </is>
      </c>
      <c r="B8" s="4" t="inlineStr">
        <is>
          <t>Yahoo Finance — Analysis / Analyst Estimates</t>
        </is>
      </c>
      <c r="C8" s="4" t="inlineStr">
        <is>
          <t>finance.yahoo.com/quote/STLA/analysis/</t>
        </is>
      </c>
    </row>
    <row r="9">
      <c r="A9" s="4" t="inlineStr">
        <is>
          <t>7</t>
        </is>
      </c>
      <c r="B9" s="4" t="inlineStr">
        <is>
          <t>CNBC — US 10-Year Treasury (US10Y)</t>
        </is>
      </c>
      <c r="C9" s="4" t="inlineStr">
        <is>
          <t>www.cnbc.com/quotes/US10Y</t>
        </is>
      </c>
    </row>
    <row r="10">
      <c r="A10" s="4" t="inlineStr">
        <is>
          <t>8</t>
        </is>
      </c>
      <c r="B10" s="4" t="inlineStr">
        <is>
          <t>StockAnalysis — STLA (404ed — not available)</t>
        </is>
      </c>
      <c r="C10" s="4" t="inlineStr">
        <is>
          <t>stockanalysis.com/quotes/STLA/ [404]</t>
        </is>
      </c>
    </row>
    <row r="11">
      <c r="A11" s="4" t="inlineStr">
        <is>
          <t>9</t>
        </is>
      </c>
      <c r="B11" s="4" t="inlineStr">
        <is>
          <t>Yahoo Scout — CEO Rating Summary</t>
        </is>
      </c>
      <c r="C11" s="4" t="inlineStr">
        <is>
          <t>Embedded on Yahoo Finance quote page; Jun 26 2026</t>
        </is>
      </c>
    </row>
    <row r="12">
      <c r="A12" t="inlineStr">
        <is>
          <t>10</t>
        </is>
      </c>
      <c r="B12" t="inlineStr">
        <is>
          <t>S&amp;P Global Market Intelligence — EBITDA/Valuation Measures</t>
        </is>
      </c>
      <c r="C12" t="inlineStr">
        <is>
          <t>As cited in Yahoo Finance Statistics footnote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2026-06-27T23:18:57Z</dcterms:created>
  <dcterms:modified xsi:type="dcterms:W3CDTF">2026-06-27T23:18:57Z</dcterms:modified>
</cp:coreProperties>
</file>