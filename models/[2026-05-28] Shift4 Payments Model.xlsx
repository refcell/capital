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e94560"/>
      <sz val="14"/>
    </font>
    <font>
      <name val="Calibri"/>
      <color rgb="00e0e0e0"/>
      <sz val="10"/>
    </font>
    <font>
      <name val="Calibri"/>
      <b val="1"/>
      <color rgb="00e94560"/>
      <sz val="11"/>
    </font>
  </fonts>
  <fills count="3">
    <fill>
      <patternFill/>
    </fill>
    <fill>
      <patternFill patternType="gray125"/>
    </fill>
    <fill>
      <patternFill patternType="solid">
        <fgColor rgb="000f3460"/>
        <bgColor rgb="000f3460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1" pivotButton="0" quotePrefix="0" xfId="0"/>
    <xf numFmtId="164" fontId="2" fillId="0" borderId="1" pivotButton="0" quotePrefix="0" xfId="0"/>
    <xf numFmtId="0" fontId="3" fillId="0" borderId="0" pivotButton="0" quotePrefix="0" xfId="0"/>
    <xf numFmtId="165" fontId="2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25" customWidth="1" min="4" max="4"/>
    <col width="18" customWidth="1" min="5" max="5"/>
    <col width="18" customWidth="1" min="6" max="6"/>
  </cols>
  <sheetData>
    <row r="1">
      <c r="A1" s="1" t="inlineStr">
        <is>
          <t>Shift4 Payments (FOUR) Valuation Model</t>
        </is>
      </c>
    </row>
    <row r="3">
      <c r="A3" s="2" t="inlineStr">
        <is>
          <t>Ticker</t>
        </is>
      </c>
      <c r="B3" s="2" t="inlineStr">
        <is>
          <t>FOUR</t>
        </is>
      </c>
      <c r="D3" s="2" t="inlineStr">
        <is>
          <t>Current price</t>
        </is>
      </c>
      <c r="E3" s="2" t="n">
        <v>43.24</v>
      </c>
    </row>
    <row r="4">
      <c r="A4" s="2" t="inlineStr">
        <is>
          <t>Exchange</t>
        </is>
      </c>
      <c r="B4" s="2" t="inlineStr">
        <is>
          <t>NYSE</t>
        </is>
      </c>
      <c r="D4" s="2" t="inlineStr">
        <is>
          <t>Shares out (M)</t>
        </is>
      </c>
      <c r="E4" s="2" t="n">
        <v>81</v>
      </c>
    </row>
    <row r="5">
      <c r="A5" s="2" t="inlineStr">
        <is>
          <t>CIK</t>
        </is>
      </c>
      <c r="B5" s="2" t="inlineStr">
        <is>
          <t>0001794669</t>
        </is>
      </c>
      <c r="D5" s="2" t="inlineStr">
        <is>
          <t>Market cap ($M)</t>
        </is>
      </c>
      <c r="E5" s="2">
        <f>E3*E4</f>
        <v/>
      </c>
    </row>
    <row r="6">
      <c r="A6" s="2" t="inlineStr">
        <is>
          <t>Model date</t>
        </is>
      </c>
      <c r="B6" s="2" t="inlineStr">
        <is>
          <t>2026-05-28</t>
        </is>
      </c>
      <c r="D6" s="2" t="inlineStr">
        <is>
          <t>Cash &amp; ST investments ($M)</t>
        </is>
      </c>
      <c r="E6" s="2" t="n">
        <v>964</v>
      </c>
    </row>
    <row r="7">
      <c r="A7" s="2" t="inlineStr">
        <is>
          <t>Quote used</t>
        </is>
      </c>
      <c r="B7" s="2" t="inlineStr">
        <is>
          <t>2026-05-22 close</t>
        </is>
      </c>
      <c r="D7" s="2" t="inlineStr">
        <is>
          <t>Debt principal ($M)</t>
        </is>
      </c>
      <c r="E7" s="2" t="n">
        <v>4589</v>
      </c>
    </row>
    <row r="8">
      <c r="A8" s="2" t="inlineStr">
        <is>
          <t>Units</t>
        </is>
      </c>
      <c r="B8" s="2" t="inlineStr">
        <is>
          <t>USD millions except per-share</t>
        </is>
      </c>
      <c r="D8" s="2" t="inlineStr">
        <is>
          <t>Mandatory conv preferred ($M)</t>
        </is>
      </c>
      <c r="E8" s="2" t="n">
        <v>1000</v>
      </c>
    </row>
    <row r="9">
      <c r="D9" s="2" t="inlineStr">
        <is>
          <t>Net debt ($M)</t>
        </is>
      </c>
      <c r="E9" s="2">
        <f>E7-E6</f>
        <v/>
      </c>
    </row>
    <row r="10">
      <c r="D10" s="2" t="inlineStr">
        <is>
          <t>Enterprise value ($M)</t>
        </is>
      </c>
      <c r="E10" s="2">
        <f>E5+E9+E8</f>
        <v/>
      </c>
    </row>
    <row r="12">
      <c r="D12" s="2" t="inlineStr">
        <is>
          <t>TTM Gross revenue ($M)</t>
        </is>
      </c>
      <c r="E12" s="2" t="n">
        <v>4452</v>
      </c>
    </row>
    <row r="13">
      <c r="D13" s="2" t="inlineStr">
        <is>
          <t>FY2025 Adj EBITDA ($M)</t>
        </is>
      </c>
      <c r="E13" s="2" t="n">
        <v>970</v>
      </c>
    </row>
    <row r="14">
      <c r="D14" s="2" t="inlineStr">
        <is>
          <t>EV / Adj EBITDA (FY2025)</t>
        </is>
      </c>
      <c r="E14" s="2">
        <f>E10/E13</f>
        <v/>
      </c>
    </row>
    <row r="16">
      <c r="A16" s="3" t="inlineStr"/>
      <c r="B16" s="3" t="inlineStr">
        <is>
          <t>FY2022</t>
        </is>
      </c>
      <c r="C16" s="3" t="inlineStr">
        <is>
          <t>FY2023</t>
        </is>
      </c>
      <c r="D16" s="3" t="inlineStr">
        <is>
          <t>FY2024</t>
        </is>
      </c>
      <c r="E16" s="3" t="inlineStr">
        <is>
          <t>FY2025</t>
        </is>
      </c>
      <c r="F16" s="3" t="inlineStr">
        <is>
          <t>Q1'26</t>
        </is>
      </c>
      <c r="G16" s="3" t="inlineStr">
        <is>
          <t>FY2026E</t>
        </is>
      </c>
      <c r="H16" s="3" t="inlineStr">
        <is>
          <t>FY2027E</t>
        </is>
      </c>
      <c r="I16" s="3" t="inlineStr">
        <is>
          <t>FY2028E</t>
        </is>
      </c>
      <c r="J16" s="3" t="inlineStr">
        <is>
          <t>FY2029E</t>
        </is>
      </c>
      <c r="K16" s="3" t="inlineStr">
        <is>
          <t>FY2030E</t>
        </is>
      </c>
    </row>
    <row r="17">
      <c r="A17" s="2" t="inlineStr">
        <is>
          <t>Gross revenue ($M)</t>
        </is>
      </c>
      <c r="B17" s="2" t="n">
        <v>1990</v>
      </c>
      <c r="C17" s="2" t="n">
        <v>2570</v>
      </c>
      <c r="D17" s="2" t="n">
        <v>3330</v>
      </c>
      <c r="E17" s="2" t="n">
        <v>4180</v>
      </c>
      <c r="F17" s="2" t="n">
        <v>1121</v>
      </c>
      <c r="G17" s="2" t="n">
        <v>5200</v>
      </c>
      <c r="H17" s="2" t="n">
        <v>5890</v>
      </c>
      <c r="I17" s="2" t="n">
        <v>6480</v>
      </c>
      <c r="J17" s="2" t="n">
        <v>7060</v>
      </c>
      <c r="K17" s="2" t="n">
        <v>7628</v>
      </c>
    </row>
    <row r="18">
      <c r="A18" s="2" t="inlineStr">
        <is>
          <t>YoY revenue growth</t>
        </is>
      </c>
      <c r="B18" s="2" t="n"/>
      <c r="C18" s="2" t="n">
        <v>29.1</v>
      </c>
      <c r="D18" s="2" t="n">
        <v>29.6</v>
      </c>
      <c r="E18" s="2" t="n">
        <v>34.5</v>
      </c>
      <c r="F18" s="2" t="n">
        <v>25.5</v>
      </c>
      <c r="G18" s="2" t="n">
        <v>24.4</v>
      </c>
      <c r="H18" s="2" t="n">
        <v>13.3</v>
      </c>
      <c r="I18" s="2" t="n">
        <v>10</v>
      </c>
      <c r="J18" s="2" t="n">
        <v>8.9</v>
      </c>
      <c r="K18" s="2" t="n">
        <v>8</v>
      </c>
    </row>
    <row r="19">
      <c r="A19" s="2" t="inlineStr">
        <is>
          <t>GRLNF ($M)</t>
        </is>
      </c>
      <c r="B19" s="2" t="n"/>
      <c r="C19" s="2" t="n"/>
      <c r="D19" s="2" t="n"/>
      <c r="E19" s="2" t="n">
        <v>1981</v>
      </c>
      <c r="F19" s="2" t="n">
        <v>549</v>
      </c>
      <c r="G19" s="2" t="n">
        <v>2550</v>
      </c>
      <c r="H19" s="2" t="n">
        <v>2945</v>
      </c>
      <c r="I19" s="2" t="n">
        <v>3240</v>
      </c>
      <c r="J19" s="2" t="n">
        <v>3532</v>
      </c>
      <c r="K19" s="2" t="n">
        <v>3815</v>
      </c>
    </row>
    <row r="20">
      <c r="A20" s="2" t="inlineStr">
        <is>
          <t>GRLNF growth</t>
        </is>
      </c>
      <c r="B20" s="2" t="n"/>
      <c r="C20" s="2" t="n"/>
      <c r="D20" s="2" t="n"/>
      <c r="E20" s="2" t="n"/>
      <c r="F20" s="2" t="n"/>
      <c r="G20" s="2" t="n">
        <v>29</v>
      </c>
      <c r="H20" s="2" t="n">
        <v>15.5</v>
      </c>
      <c r="I20" s="2" t="n">
        <v>10</v>
      </c>
      <c r="J20" s="2" t="n">
        <v>9</v>
      </c>
      <c r="K20" s="2" t="n">
        <v>8</v>
      </c>
    </row>
    <row r="21">
      <c r="A21" s="2" t="inlineStr">
        <is>
          <t>Adj EBITDA ($M)</t>
        </is>
      </c>
      <c r="B21" s="2" t="n"/>
      <c r="C21" s="2" t="n"/>
      <c r="D21" s="2" t="n">
        <v>678</v>
      </c>
      <c r="E21" s="2" t="n">
        <v>970</v>
      </c>
      <c r="F21" s="2" t="n">
        <v>234</v>
      </c>
      <c r="G21" s="2" t="n">
        <v>1190</v>
      </c>
      <c r="H21" s="2" t="n">
        <v>1377</v>
      </c>
      <c r="I21" s="2" t="n">
        <v>1513</v>
      </c>
      <c r="J21" s="2" t="n">
        <v>1648</v>
      </c>
      <c r="K21" s="2" t="n">
        <v>1783</v>
      </c>
    </row>
    <row r="22">
      <c r="A22" s="2" t="inlineStr">
        <is>
          <t>Adj EBITDA margin (of GRLNF)</t>
        </is>
      </c>
      <c r="B22" s="2" t="n"/>
      <c r="C22" s="2" t="n"/>
      <c r="D22" s="2" t="n"/>
      <c r="E22" s="4" t="n">
        <v>0.49</v>
      </c>
      <c r="F22" s="4" t="n">
        <v>0.427</v>
      </c>
      <c r="G22" s="4" t="n">
        <v>0.467</v>
      </c>
      <c r="H22" s="4" t="n">
        <v>0.468</v>
      </c>
      <c r="I22" s="4" t="n">
        <v>0.467</v>
      </c>
      <c r="J22" s="4" t="n">
        <v>0.467</v>
      </c>
      <c r="K22" s="4" t="n">
        <v>0.467</v>
      </c>
    </row>
    <row r="23">
      <c r="A23" s="2" t="inlineStr">
        <is>
          <t>GAAP net income ($M)</t>
        </is>
      </c>
      <c r="B23" s="2" t="n"/>
      <c r="C23" s="2" t="n"/>
      <c r="D23" s="2" t="n">
        <v>295</v>
      </c>
      <c r="E23" s="2" t="n">
        <v>147</v>
      </c>
      <c r="F23" s="2" t="n">
        <v>12</v>
      </c>
      <c r="G23" s="2" t="n">
        <v>180</v>
      </c>
      <c r="H23" s="2" t="n">
        <v>220</v>
      </c>
      <c r="I23" s="2" t="n">
        <v>270</v>
      </c>
      <c r="J23" s="2" t="n">
        <v>320</v>
      </c>
      <c r="K23" s="2" t="n">
        <v>380</v>
      </c>
    </row>
    <row r="24">
      <c r="A24" s="2" t="inlineStr">
        <is>
          <t>Adj FCF ($M)</t>
        </is>
      </c>
      <c r="B24" s="2" t="n"/>
      <c r="C24" s="2" t="n"/>
      <c r="D24" s="2" t="n"/>
      <c r="E24" s="2" t="n">
        <v>500</v>
      </c>
      <c r="F24" s="2" t="n"/>
      <c r="G24" s="2" t="n">
        <v>500</v>
      </c>
      <c r="H24" s="2" t="n">
        <v>578</v>
      </c>
      <c r="I24" s="2" t="n">
        <v>635</v>
      </c>
      <c r="J24" s="2" t="n">
        <v>692</v>
      </c>
      <c r="K24" s="2" t="n">
        <v>749</v>
      </c>
    </row>
    <row r="25">
      <c r="A25" s="2" t="inlineStr">
        <is>
          <t>Payment volume ($B)</t>
        </is>
      </c>
      <c r="B25" s="2" t="n">
        <v>76.2</v>
      </c>
      <c r="C25" s="2" t="n">
        <v>109.9</v>
      </c>
      <c r="D25" s="2" t="n">
        <v>165</v>
      </c>
      <c r="E25" s="2" t="n">
        <v>209</v>
      </c>
      <c r="F25" s="2" t="n">
        <v>56</v>
      </c>
      <c r="G25" s="2" t="n"/>
      <c r="H25" s="2" t="n"/>
      <c r="I25" s="2" t="n"/>
      <c r="J25" s="2" t="n"/>
      <c r="K25" s="2" t="n"/>
    </row>
    <row r="28">
      <c r="A28" s="5" t="inlineStr">
        <is>
          <t>Balance Sheet &amp; Capital Structure</t>
        </is>
      </c>
    </row>
    <row r="29">
      <c r="A29" s="2" t="inlineStr">
        <is>
          <t>Cash ($M)</t>
        </is>
      </c>
      <c r="B29" s="2" t="n"/>
      <c r="C29" s="2" t="n"/>
      <c r="D29" s="2" t="n"/>
      <c r="E29" s="2" t="n">
        <v>964</v>
      </c>
      <c r="F29" s="2" t="n"/>
      <c r="G29" s="2" t="n"/>
      <c r="H29" s="2" t="n"/>
      <c r="I29" s="2" t="n"/>
      <c r="J29" s="2" t="n"/>
    </row>
    <row r="30">
      <c r="A30" s="2" t="inlineStr">
        <is>
          <t>Debt principal ($M)</t>
        </is>
      </c>
      <c r="B30" s="2" t="n"/>
      <c r="C30" s="2" t="n"/>
      <c r="D30" s="2" t="n"/>
      <c r="E30" s="2" t="n">
        <v>4589</v>
      </c>
      <c r="F30" s="2" t="n"/>
      <c r="G30" s="2" t="n"/>
      <c r="H30" s="2" t="n"/>
      <c r="I30" s="2" t="n"/>
      <c r="J30" s="2" t="n"/>
    </row>
    <row r="31">
      <c r="A31" s="2" t="inlineStr">
        <is>
          <t>Net debt ($M)</t>
        </is>
      </c>
      <c r="B31" s="2" t="n"/>
      <c r="C31" s="2" t="n"/>
      <c r="D31" s="2" t="n"/>
      <c r="E31" s="2" t="n">
        <v>3625</v>
      </c>
      <c r="F31" s="2" t="n"/>
      <c r="G31" s="2" t="n"/>
      <c r="H31" s="2" t="n"/>
      <c r="I31" s="2" t="n"/>
      <c r="J31" s="2" t="n"/>
    </row>
    <row r="32">
      <c r="A32" s="2" t="inlineStr">
        <is>
          <t>Preferred ($M)</t>
        </is>
      </c>
      <c r="B32" s="2" t="n"/>
      <c r="C32" s="2" t="n"/>
      <c r="D32" s="2" t="n"/>
      <c r="E32" s="2" t="n">
        <v>1000</v>
      </c>
      <c r="F32" s="2" t="n"/>
      <c r="G32" s="2" t="n"/>
      <c r="H32" s="2" t="n"/>
      <c r="I32" s="2" t="n"/>
      <c r="J32" s="2" t="n"/>
    </row>
    <row r="33">
      <c r="A33" s="2" t="inlineStr">
        <is>
          <t>Shares out (M)</t>
        </is>
      </c>
      <c r="B33" s="2" t="n"/>
      <c r="C33" s="2" t="n"/>
      <c r="D33" s="2" t="n"/>
      <c r="E33" s="2" t="n">
        <v>81</v>
      </c>
      <c r="F33" s="2" t="n"/>
      <c r="G33" s="2" t="n">
        <v>77.8</v>
      </c>
      <c r="H33" s="2" t="n">
        <v>74.7</v>
      </c>
      <c r="I33" s="2" t="n">
        <v>71.7</v>
      </c>
      <c r="J33" s="2" t="n">
        <v>68.8</v>
      </c>
      <c r="K33" s="2" t="n">
        <v>66</v>
      </c>
    </row>
    <row r="36">
      <c r="A36" s="5" t="inlineStr">
        <is>
          <t>Management Guidance (FY2026)</t>
        </is>
      </c>
    </row>
    <row r="37">
      <c r="A37" s="2" t="inlineStr">
        <is>
          <t>Gross revenue consensus</t>
        </is>
      </c>
      <c r="B37" s="2" t="inlineStr">
        <is>
          <t>$5.20B</t>
        </is>
      </c>
      <c r="C37" s="2" t="inlineStr">
        <is>
          <t>+24.4%</t>
        </is>
      </c>
    </row>
    <row r="38">
      <c r="A38" s="2" t="inlineStr">
        <is>
          <t>GRLNF guide</t>
        </is>
      </c>
      <c r="B38" s="2" t="inlineStr">
        <is>
          <t>$2.50B - $2.60B</t>
        </is>
      </c>
      <c r="C38" s="2" t="inlineStr">
        <is>
          <t>+26% to +31%</t>
        </is>
      </c>
    </row>
    <row r="39">
      <c r="A39" s="2" t="inlineStr">
        <is>
          <t>Adj EBITDA guide</t>
        </is>
      </c>
      <c r="B39" s="2" t="inlineStr">
        <is>
          <t>$1.165B - $1.215B</t>
        </is>
      </c>
      <c r="C39" s="2" t="inlineStr">
        <is>
          <t>+20% to +25%</t>
        </is>
      </c>
    </row>
    <row r="40">
      <c r="A40" s="2" t="inlineStr">
        <is>
          <t>Adj FCF guide</t>
        </is>
      </c>
      <c r="B40" s="2" t="inlineStr">
        <is>
          <t>$490M - $510M</t>
        </is>
      </c>
      <c r="C40" s="2" t="inlineStr">
        <is>
          <t>~flat vs FY2025</t>
        </is>
      </c>
    </row>
    <row r="41">
      <c r="A41" s="2" t="inlineStr">
        <is>
          <t>Payment volume guide</t>
        </is>
      </c>
      <c r="B41" s="2" t="inlineStr">
        <is>
          <t>$240B - $260B</t>
        </is>
      </c>
      <c r="C41" s="2" t="inlineStr">
        <is>
          <t>+15% to +24%</t>
        </is>
      </c>
    </row>
    <row r="42">
      <c r="A42" s="2" t="inlineStr">
        <is>
          <t>Non-GAAP EPS guide</t>
        </is>
      </c>
      <c r="B42" s="2" t="inlineStr">
        <is>
          <t>$5.50 - $5.70</t>
        </is>
      </c>
      <c r="C42" s="2" t="inlineStr"/>
    </row>
    <row r="45">
      <c r="A45" s="5" t="inlineStr">
        <is>
          <t>Analyst Consensus</t>
        </is>
      </c>
    </row>
    <row r="46">
      <c r="A46" s="2" t="inlineStr">
        <is>
          <t>Num analysts</t>
        </is>
      </c>
      <c r="B46" s="2" t="inlineStr">
        <is>
          <t>24</t>
        </is>
      </c>
    </row>
    <row r="47">
      <c r="A47" s="2" t="inlineStr">
        <is>
          <t>Consensus</t>
        </is>
      </c>
      <c r="B47" s="2" t="inlineStr">
        <is>
          <t>Buy</t>
        </is>
      </c>
    </row>
    <row r="48">
      <c r="A48" s="2" t="inlineStr">
        <is>
          <t>Avg price target</t>
        </is>
      </c>
      <c r="B48" s="2" t="inlineStr">
        <is>
          <t>$60.81 (StockAnalysis) / $71 (MarketBeat)</t>
        </is>
      </c>
    </row>
    <row r="49">
      <c r="A49" s="2" t="inlineStr">
        <is>
          <t>Low target</t>
        </is>
      </c>
      <c r="B49" s="2" t="inlineStr">
        <is>
          <t>$40</t>
        </is>
      </c>
    </row>
    <row r="50">
      <c r="A50" s="2" t="inlineStr">
        <is>
          <t>High target</t>
        </is>
      </c>
      <c r="B50" s="2" t="inlineStr">
        <is>
          <t>$120</t>
        </is>
      </c>
    </row>
    <row r="51">
      <c r="A51" s="2" t="inlineStr">
        <is>
          <t>Short interest</t>
        </is>
      </c>
      <c r="B51" s="2" t="inlineStr">
        <is>
          <t>~15M shares (~18.5% of float)</t>
        </is>
      </c>
    </row>
    <row r="54">
      <c r="A54" s="5" t="inlineStr">
        <is>
          <t>Forward Assumptions (Base Case)</t>
        </is>
      </c>
    </row>
    <row r="55">
      <c r="A55" s="2" t="inlineStr">
        <is>
          <t>GRLNF margin (adj EBITDA / GRLNF)</t>
        </is>
      </c>
      <c r="B55" s="4" t="n">
        <v>0.467</v>
      </c>
    </row>
    <row r="56">
      <c r="A56" s="2" t="inlineStr">
        <is>
          <t>Adj FCF / adj EBITDA conversion</t>
        </is>
      </c>
      <c r="B56" s="4" t="n">
        <v>0.42</v>
      </c>
    </row>
    <row r="57">
      <c r="A57" s="2" t="inlineStr">
        <is>
          <t>Annual interest expense ($M)</t>
        </is>
      </c>
      <c r="B57" s="2" t="n">
        <v>250</v>
      </c>
    </row>
    <row r="58">
      <c r="A58" s="2" t="inlineStr">
        <is>
          <t>Preferred dividends ($M)</t>
        </is>
      </c>
      <c r="B58" s="2" t="n">
        <v>60</v>
      </c>
    </row>
    <row r="59">
      <c r="A59" s="2" t="inlineStr">
        <is>
          <t>Tax rate</t>
        </is>
      </c>
      <c r="B59" s="4" t="n">
        <v>0.21</v>
      </c>
    </row>
    <row r="60">
      <c r="A60" s="2" t="inlineStr">
        <is>
          <t>Share count annual decline</t>
        </is>
      </c>
      <c r="B60" s="4" t="n">
        <v>-0.04</v>
      </c>
    </row>
    <row r="61">
      <c r="A61" s="2" t="inlineStr">
        <is>
          <t>Discount rate (WACC)</t>
        </is>
      </c>
      <c r="B61" s="4" t="n">
        <v>0.115</v>
      </c>
    </row>
    <row r="62">
      <c r="A62" s="2" t="inlineStr">
        <is>
          <t>Terminal FCF yield</t>
        </is>
      </c>
      <c r="B62" s="4" t="n">
        <v>0.0575</v>
      </c>
    </row>
    <row r="65">
      <c r="A65" s="5" t="inlineStr">
        <is>
          <t>Owner Earnings Bridge (Base Case)</t>
        </is>
      </c>
    </row>
    <row r="66">
      <c r="A66" s="3" t="inlineStr"/>
      <c r="B66" s="3" t="inlineStr">
        <is>
          <t>FY2026E</t>
        </is>
      </c>
      <c r="C66" s="3" t="inlineStr">
        <is>
          <t>FY2027E</t>
        </is>
      </c>
      <c r="D66" s="3" t="inlineStr">
        <is>
          <t>FY2028E</t>
        </is>
      </c>
      <c r="E66" s="3" t="inlineStr">
        <is>
          <t>FY2029E</t>
        </is>
      </c>
      <c r="F66" s="3" t="inlineStr">
        <is>
          <t>FY2030E</t>
        </is>
      </c>
    </row>
    <row r="67">
      <c r="A67" s="2" t="inlineStr">
        <is>
          <t>Adj FCF ($M)</t>
        </is>
      </c>
      <c r="B67" s="6" t="n">
        <v>500</v>
      </c>
      <c r="C67" s="6" t="n">
        <v>578</v>
      </c>
      <c r="D67" s="6" t="n">
        <v>635</v>
      </c>
      <c r="E67" s="6" t="n">
        <v>692</v>
      </c>
      <c r="F67" s="6" t="n">
        <v>749</v>
      </c>
    </row>
    <row r="68">
      <c r="A68" s="2" t="inlineStr">
        <is>
          <t>Less: Interest ($M)</t>
        </is>
      </c>
      <c r="B68" s="6" t="n">
        <v>250</v>
      </c>
      <c r="C68" s="6" t="n">
        <v>240</v>
      </c>
      <c r="D68" s="6" t="n">
        <v>230</v>
      </c>
      <c r="E68" s="6" t="n">
        <v>220</v>
      </c>
      <c r="F68" s="6" t="n">
        <v>210</v>
      </c>
    </row>
    <row r="69">
      <c r="A69" s="2" t="inlineStr">
        <is>
          <t>Less: Preferred div ($M)</t>
        </is>
      </c>
      <c r="B69" s="6" t="n">
        <v>60</v>
      </c>
      <c r="C69" s="6" t="n">
        <v>55</v>
      </c>
      <c r="D69" s="6" t="n">
        <v>50</v>
      </c>
      <c r="E69" s="6" t="n">
        <v>45</v>
      </c>
      <c r="F69" s="6" t="n">
        <v>40</v>
      </c>
    </row>
    <row r="70">
      <c r="A70" s="2" t="inlineStr">
        <is>
          <t>Owner earnings ($M)</t>
        </is>
      </c>
      <c r="B70" s="6" t="n">
        <v>190</v>
      </c>
      <c r="C70" s="6" t="n">
        <v>283</v>
      </c>
      <c r="D70" s="6" t="n">
        <v>355</v>
      </c>
      <c r="E70" s="6" t="n">
        <v>427</v>
      </c>
      <c r="F70" s="6" t="n">
        <v>499</v>
      </c>
    </row>
    <row r="71">
      <c r="A71" s="2" t="inlineStr">
        <is>
          <t>Shares out (M)</t>
        </is>
      </c>
      <c r="B71" s="6" t="n">
        <v>77.8</v>
      </c>
      <c r="C71" s="6" t="n">
        <v>74.7</v>
      </c>
      <c r="D71" s="6" t="n">
        <v>71.7</v>
      </c>
      <c r="E71" s="6" t="n">
        <v>68.8</v>
      </c>
      <c r="F71" s="6" t="n">
        <v>66</v>
      </c>
    </row>
    <row r="72">
      <c r="A72" s="2" t="inlineStr">
        <is>
          <t>Owner earnings / share</t>
        </is>
      </c>
      <c r="B72" s="6" t="n">
        <v>2.44</v>
      </c>
      <c r="C72" s="6" t="n">
        <v>3.79</v>
      </c>
      <c r="D72" s="6" t="n">
        <v>4.95</v>
      </c>
      <c r="E72" s="6" t="n">
        <v>6.21</v>
      </c>
      <c r="F72" s="6" t="n">
        <v>7.56</v>
      </c>
    </row>
    <row r="75">
      <c r="A75" s="5" t="inlineStr">
        <is>
          <t>Terminal Valuation (Base Case)</t>
        </is>
      </c>
    </row>
    <row r="76">
      <c r="A76" s="2" t="inlineStr">
        <is>
          <t>FY2030 Adj FCF ($M)</t>
        </is>
      </c>
      <c r="B76" s="2" t="n">
        <v>749</v>
      </c>
    </row>
    <row r="77">
      <c r="A77" s="2" t="inlineStr">
        <is>
          <t>Terminal FCF yield</t>
        </is>
      </c>
      <c r="B77" s="4" t="n">
        <v>0.0575</v>
      </c>
    </row>
    <row r="78">
      <c r="A78" s="2" t="inlineStr">
        <is>
          <t>Implied terminal EV ($M)</t>
        </is>
      </c>
      <c r="B78" s="2" t="n">
        <v>13026</v>
      </c>
    </row>
    <row r="79">
      <c r="A79" s="2" t="inlineStr">
        <is>
          <t>FY2030 net debt &amp; preferred adj ($M)</t>
        </is>
      </c>
      <c r="B79" s="2" t="n">
        <v>-2500</v>
      </c>
    </row>
    <row r="80">
      <c r="A80" s="2" t="inlineStr">
        <is>
          <t>Implied terminal equity ($M)</t>
        </is>
      </c>
      <c r="B80" s="2" t="n">
        <v>10526</v>
      </c>
    </row>
    <row r="81">
      <c r="A81" s="2" t="inlineStr">
        <is>
          <t>FY2030 shares (M)</t>
        </is>
      </c>
      <c r="B81" s="2" t="n">
        <v>66</v>
      </c>
    </row>
    <row r="82">
      <c r="A82" s="2" t="inlineStr">
        <is>
          <t>Implied price / share</t>
        </is>
      </c>
      <c r="B82" s="2" t="n">
        <v>159.5</v>
      </c>
    </row>
    <row r="83">
      <c r="A83" s="2" t="inlineStr">
        <is>
          <t>5Y CAGR from $43.24</t>
        </is>
      </c>
      <c r="B83" s="4" t="n">
        <v>0.24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25" customWidth="1" min="4" max="4"/>
    <col width="18" customWidth="1" min="5" max="5"/>
    <col width="18" customWidth="1" min="6" max="6"/>
  </cols>
  <sheetData>
    <row r="1">
      <c r="A1" s="2" t="inlineStr">
        <is>
          <t>WACC / Discount Rate</t>
        </is>
      </c>
      <c r="C1" s="2" t="n"/>
    </row>
    <row r="2">
      <c r="A2" s="2" t="inlineStr">
        <is>
          <t>Risk-free rate</t>
        </is>
      </c>
      <c r="B2" s="4" t="n">
        <v>0.045</v>
      </c>
      <c r="C2" s="2" t="inlineStr">
        <is>
          <t>FRED DGS10, 2026-05-26 observation.</t>
        </is>
      </c>
    </row>
    <row r="3">
      <c r="A3" s="2" t="inlineStr">
        <is>
          <t>Equity risk premium</t>
        </is>
      </c>
      <c r="B3" s="4" t="n">
        <v>0.05</v>
      </c>
      <c r="C3" s="2" t="inlineStr">
        <is>
          <t>Public-market ERP; elevated for levered name.</t>
        </is>
      </c>
    </row>
    <row r="4">
      <c r="A4" s="2" t="inlineStr">
        <is>
          <t>Beta</t>
        </is>
      </c>
      <c r="B4" s="2" t="n">
        <v>1.15</v>
      </c>
      <c r="C4" s="2" t="inlineStr">
        <is>
          <t>StockAnalysis/Yahoo 5Y monthly beta; elevated for payments leverage.</t>
        </is>
      </c>
    </row>
    <row r="5">
      <c r="A5" s="2" t="inlineStr">
        <is>
          <t>Cost of equity</t>
        </is>
      </c>
      <c r="B5" s="2">
        <f>B2+B3*B4</f>
        <v/>
      </c>
      <c r="C5" s="2" t="inlineStr">
        <is>
          <t>Risk-free + beta * ERP.</t>
        </is>
      </c>
    </row>
    <row r="6">
      <c r="A6" s="2" t="inlineStr">
        <is>
          <t>Pre-tax debt/pref cost</t>
        </is>
      </c>
      <c r="B6" s="4" t="n">
        <v>0.065</v>
      </c>
      <c r="C6" s="2" t="inlineStr">
        <is>
          <t>Blended cost for senior notes, convertibles, preferred.</t>
        </is>
      </c>
    </row>
    <row r="7">
      <c r="A7" s="2" t="inlineStr">
        <is>
          <t>Tax rate</t>
        </is>
      </c>
      <c r="B7" s="4" t="n">
        <v>0.21</v>
      </c>
      <c r="C7" s="2" t="inlineStr">
        <is>
          <t>Normalized statutory cash tax assumption.</t>
        </is>
      </c>
    </row>
    <row r="8">
      <c r="A8" s="2" t="inlineStr">
        <is>
          <t>Market value equity</t>
        </is>
      </c>
      <c r="B8" s="2">
        <f>Valuation!E5</f>
        <v/>
      </c>
      <c r="C8" s="2" t="inlineStr">
        <is>
          <t>Valuation!E5.</t>
        </is>
      </c>
    </row>
    <row r="9">
      <c r="A9" s="2" t="inlineStr">
        <is>
          <t>Debt + preferred</t>
        </is>
      </c>
      <c r="B9" s="2">
        <f>Valuation!E7+Valuation!E8</f>
        <v/>
      </c>
      <c r="C9" s="2" t="inlineStr">
        <is>
          <t>Debt principal + preferred.</t>
        </is>
      </c>
    </row>
    <row r="10">
      <c r="A10" s="2" t="inlineStr">
        <is>
          <t>Equity weight</t>
        </is>
      </c>
      <c r="B10" s="2">
        <f>B8/(B8+B9)</f>
        <v/>
      </c>
      <c r="C10" s="2" t="inlineStr">
        <is>
          <t>Market equity / enterprise capital.</t>
        </is>
      </c>
    </row>
    <row r="11">
      <c r="A11" s="2" t="inlineStr">
        <is>
          <t>Debt weight</t>
        </is>
      </c>
      <c r="B11" s="2">
        <f>B9/(B8+B9)</f>
        <v/>
      </c>
      <c r="C11" s="2" t="inlineStr">
        <is>
          <t>(Debt + preferred) / enterprise capital.</t>
        </is>
      </c>
    </row>
    <row r="12">
      <c r="A12" s="2" t="inlineStr">
        <is>
          <t>Mechanical WACC</t>
        </is>
      </c>
      <c r="B12" s="2">
        <f>B10*B5+B11*B6*(1-B7)</f>
        <v/>
      </c>
      <c r="C12" s="2" t="inlineStr">
        <is>
          <t>Cost of equity and after-tax debt weighted.</t>
        </is>
      </c>
    </row>
    <row r="13">
      <c r="A13" s="2" t="inlineStr">
        <is>
          <t>Selected discount rate</t>
        </is>
      </c>
      <c r="B13" s="4" t="n">
        <v>0.115</v>
      </c>
      <c r="C13" s="2" t="inlineStr">
        <is>
          <t>Rounded above mechanical WACC for leverage / M&amp;A / GAAP complexity.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25" customWidth="1" min="4" max="4"/>
    <col width="18" customWidth="1" min="5" max="5"/>
    <col width="18" customWidth="1" min="6" max="6"/>
  </cols>
  <sheetData>
    <row r="1">
      <c r="A1" s="1" t="inlineStr">
        <is>
          <t>Bear / Base / Bull Scenario Summary</t>
        </is>
      </c>
    </row>
    <row r="3">
      <c r="A3" t="inlineStr">
        <is>
          <t>Current price</t>
        </is>
      </c>
      <c r="B3">
        <f>Valuation!E3</f>
        <v/>
      </c>
    </row>
    <row r="4">
      <c r="A4" t="inlineStr">
        <is>
          <t>Current shares (M)</t>
        </is>
      </c>
      <c r="B4">
        <f>Valuation!E4</f>
        <v/>
      </c>
    </row>
    <row r="7">
      <c r="A7" s="3" t="inlineStr"/>
      <c r="B7" s="3" t="inlineStr">
        <is>
          <t>Bear</t>
        </is>
      </c>
      <c r="C7" s="3" t="inlineStr">
        <is>
          <t>Base</t>
        </is>
      </c>
      <c r="D7" s="3" t="inlineStr">
        <is>
          <t>Bull</t>
        </is>
      </c>
      <c r="E7" s="3" t="inlineStr">
        <is>
          <t>Notes</t>
        </is>
      </c>
    </row>
    <row r="8">
      <c r="A8" s="2" t="inlineStr">
        <is>
          <t>Narrative</t>
        </is>
      </c>
      <c r="B8" s="2" t="inlineStr">
        <is>
          <t>Acquired growth normalizes, organic stalls. Adj FCF ~$450M. Leverage elevated.</t>
        </is>
      </c>
      <c r="C8" s="2" t="inlineStr">
        <is>
          <t>Guidance hits, organic 8-12%. FCF rises with deleveraging.</t>
        </is>
      </c>
      <c r="D8" s="2" t="inlineStr">
        <is>
          <t>Strong organic, Global Blue synergies, FCF compounds with buybacks.</t>
        </is>
      </c>
      <c r="E8" s="2" t="inlineStr"/>
    </row>
    <row r="9">
      <c r="A9" s="2" t="inlineStr">
        <is>
          <t>FY2026 rev growth</t>
        </is>
      </c>
      <c r="B9" s="4" t="n">
        <v>0.08</v>
      </c>
      <c r="C9" s="4" t="n">
        <v>0.24</v>
      </c>
      <c r="D9" s="4" t="n">
        <v>0.28</v>
      </c>
      <c r="E9" s="2" t="inlineStr">
        <is>
          <t>FY2026 vs FY2025</t>
        </is>
      </c>
    </row>
    <row r="10">
      <c r="A10" s="2" t="inlineStr">
        <is>
          <t>FY2027-2030 rev CAGR</t>
        </is>
      </c>
      <c r="B10" s="4" t="n">
        <v>0.05</v>
      </c>
      <c r="C10" s="4" t="n">
        <v>0.1</v>
      </c>
      <c r="D10" s="4" t="n">
        <v>0.14</v>
      </c>
      <c r="E10" s="2" t="inlineStr">
        <is>
          <t>Annualized</t>
        </is>
      </c>
    </row>
    <row r="11">
      <c r="A11" s="2" t="inlineStr">
        <is>
          <t>FY2030 revenue ($M)</t>
        </is>
      </c>
      <c r="B11" s="2" t="n">
        <v>5180</v>
      </c>
      <c r="C11" s="2" t="n">
        <v>6600</v>
      </c>
      <c r="D11" s="2" t="n">
        <v>8050</v>
      </c>
      <c r="E11" s="2" t="inlineStr">
        <is>
          <t>Terminal year</t>
        </is>
      </c>
    </row>
    <row r="12">
      <c r="A12" s="2" t="inlineStr">
        <is>
          <t>FY2030 adj FCF margin (of rev)</t>
        </is>
      </c>
      <c r="B12" s="4" t="n">
        <v>0.07000000000000001</v>
      </c>
      <c r="C12" s="4" t="n">
        <v>0.098</v>
      </c>
      <c r="D12" s="4" t="n">
        <v>0.11</v>
      </c>
      <c r="E12" s="2" t="inlineStr">
        <is>
          <t>Adj FCF / gross revenue</t>
        </is>
      </c>
    </row>
    <row r="13">
      <c r="A13" s="2" t="inlineStr">
        <is>
          <t>FY2030 adj FCF ($M)</t>
        </is>
      </c>
      <c r="B13" s="2" t="n">
        <v>363</v>
      </c>
      <c r="C13" s="2" t="n">
        <v>647</v>
      </c>
      <c r="D13" s="2" t="n">
        <v>886</v>
      </c>
      <c r="E13" s="2" t="inlineStr"/>
    </row>
    <row r="14">
      <c r="A14" s="2" t="inlineStr">
        <is>
          <t>Exit adj FCF yield</t>
        </is>
      </c>
      <c r="B14" s="4" t="n">
        <v>0.065</v>
      </c>
      <c r="C14" s="4" t="n">
        <v>0.0575</v>
      </c>
      <c r="D14" s="4" t="n">
        <v>0.05</v>
      </c>
      <c r="E14" s="2" t="inlineStr">
        <is>
          <t>Terminal yield</t>
        </is>
      </c>
    </row>
    <row r="15">
      <c r="A15" s="2" t="inlineStr">
        <is>
          <t>Exit enterprise value ($M)</t>
        </is>
      </c>
      <c r="B15" s="2" t="n">
        <v>5580</v>
      </c>
      <c r="C15" s="2" t="n">
        <v>11250</v>
      </c>
      <c r="D15" s="2" t="n">
        <v>17700</v>
      </c>
      <c r="E15" s="2">
        <f> FCF / yield</f>
        <v/>
      </c>
    </row>
    <row r="16">
      <c r="A16" s="2" t="inlineStr">
        <is>
          <t>Net debt &amp; pref adj ($M)</t>
        </is>
      </c>
      <c r="B16" s="2" t="n">
        <v>-3000</v>
      </c>
      <c r="C16" s="2" t="n">
        <v>-2500</v>
      </c>
      <c r="D16" s="2" t="n">
        <v>-2000</v>
      </c>
      <c r="E16" s="2" t="inlineStr">
        <is>
          <t>Cash - debt - pref</t>
        </is>
      </c>
    </row>
    <row r="17">
      <c r="A17" s="2" t="inlineStr">
        <is>
          <t>FY2030 shares (M)</t>
        </is>
      </c>
      <c r="B17" s="2" t="n">
        <v>78</v>
      </c>
      <c r="C17" s="2" t="n">
        <v>66</v>
      </c>
      <c r="D17" s="2" t="n">
        <v>60</v>
      </c>
      <c r="E17" s="2" t="inlineStr">
        <is>
          <t>After buybacks</t>
        </is>
      </c>
    </row>
    <row r="18">
      <c r="A18" s="2" t="inlineStr">
        <is>
          <t>FY2030 target price ($)</t>
        </is>
      </c>
      <c r="B18" s="2" t="n">
        <v>33</v>
      </c>
      <c r="C18" s="2" t="n">
        <v>113</v>
      </c>
      <c r="D18" s="2" t="n">
        <v>215</v>
      </c>
      <c r="E18" s="2" t="inlineStr">
        <is>
          <t>Equity / shares</t>
        </is>
      </c>
    </row>
    <row r="19">
      <c r="A19" s="2" t="inlineStr">
        <is>
          <t>5Y CAGR from current</t>
        </is>
      </c>
      <c r="B19" s="4" t="n">
        <v>-0.058</v>
      </c>
      <c r="C19" s="4" t="n">
        <v>0.19</v>
      </c>
      <c r="D19" s="4" t="n">
        <v>0.338</v>
      </c>
      <c r="E19" s="2" t="inlineStr">
        <is>
          <t>Annualized return</t>
        </is>
      </c>
    </row>
    <row r="21">
      <c r="A21" s="5" t="inlineStr">
        <is>
          <t>Scenario Drivers</t>
        </is>
      </c>
    </row>
    <row r="22">
      <c r="A22" s="7" t="inlineStr">
        <is>
          <t>Metric</t>
        </is>
      </c>
      <c r="B22" s="7" t="inlineStr">
        <is>
          <t>Bear</t>
        </is>
      </c>
      <c r="C22" s="7" t="inlineStr">
        <is>
          <t>Base</t>
        </is>
      </c>
      <c r="D22" s="7" t="inlineStr">
        <is>
          <t>Bull</t>
        </is>
      </c>
    </row>
    <row r="23">
      <c r="A23" s="2" t="inlineStr">
        <is>
          <t>Organic GRLNF growth</t>
        </is>
      </c>
      <c r="B23" s="2" t="inlineStr">
        <is>
          <t>&lt;5%</t>
        </is>
      </c>
      <c r="C23" s="2" t="inlineStr">
        <is>
          <t>8-12%</t>
        </is>
      </c>
      <c r="D23" s="2" t="inlineStr">
        <is>
          <t>&gt;12%</t>
        </is>
      </c>
    </row>
    <row r="24">
      <c r="A24" s="2" t="inlineStr">
        <is>
          <t>GAAP/adjusted gap</t>
        </is>
      </c>
      <c r="B24" s="2" t="inlineStr">
        <is>
          <t>Persists</t>
        </is>
      </c>
      <c r="C24" s="2" t="inlineStr">
        <is>
          <t>Narrows slowly</t>
        </is>
      </c>
      <c r="D24" s="2" t="inlineStr">
        <is>
          <t>Narrows significantly</t>
        </is>
      </c>
    </row>
    <row r="25">
      <c r="A25" s="2" t="inlineStr">
        <is>
          <t>Deleveraging</t>
        </is>
      </c>
      <c r="B25" s="2" t="inlineStr">
        <is>
          <t>Stagnant</t>
        </is>
      </c>
      <c r="C25" s="2" t="inlineStr">
        <is>
          <t>Gradual</t>
        </is>
      </c>
      <c r="D25" s="2" t="inlineStr">
        <is>
          <t>Aggressive + buybacks</t>
        </is>
      </c>
    </row>
    <row r="26">
      <c r="A26" s="2" t="inlineStr">
        <is>
          <t>Global Blue</t>
        </is>
      </c>
      <c r="B26" s="2" t="inlineStr">
        <is>
          <t>Disappoint</t>
        </is>
      </c>
      <c r="C26" s="2" t="inlineStr">
        <is>
          <t>Integration works</t>
        </is>
      </c>
      <c r="D26" s="2" t="inlineStr">
        <is>
          <t>Synergy unlock</t>
        </is>
      </c>
    </row>
    <row r="27">
      <c r="A27" s="2" t="inlineStr">
        <is>
          <t>Take-rate / spread</t>
        </is>
      </c>
      <c r="B27" s="2" t="inlineStr">
        <is>
          <t>Compression</t>
        </is>
      </c>
      <c r="C27" s="2" t="inlineStr">
        <is>
          <t>Stable</t>
        </is>
      </c>
      <c r="D27" s="2" t="inlineStr">
        <is>
          <t>Improves with mix</t>
        </is>
      </c>
    </row>
    <row r="28">
      <c r="A28" s="2" t="inlineStr">
        <is>
          <t>Competition</t>
        </is>
      </c>
      <c r="B28" s="2" t="inlineStr">
        <is>
          <t>Erode share</t>
        </is>
      </c>
      <c r="C28" s="2" t="inlineStr">
        <is>
          <t>Durable niche</t>
        </is>
      </c>
      <c r="D28" s="2" t="inlineStr">
        <is>
          <t>Category leader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25" customWidth="1" min="4" max="4"/>
    <col width="18" customWidth="1" min="5" max="5"/>
    <col width="18" customWidth="1" min="6" max="6"/>
  </cols>
  <sheetData>
    <row r="1">
      <c r="A1" s="3" t="inlineStr">
        <is>
          <t>Line item</t>
        </is>
      </c>
      <c r="B1" s="3" t="inlineStr">
        <is>
          <t>Period</t>
        </is>
      </c>
      <c r="C1" s="3" t="inlineStr">
        <is>
          <t>Model value</t>
        </is>
      </c>
      <c r="D1" s="3" t="inlineStr">
        <is>
          <t>Unit</t>
        </is>
      </c>
      <c r="E1" s="3" t="inlineStr">
        <is>
          <t>Primary source</t>
        </is>
      </c>
      <c r="F1" s="3" t="inlineStr">
        <is>
          <t>Secondary source</t>
        </is>
      </c>
      <c r="G1" s="3" t="inlineStr">
        <is>
          <t>Difference / resolution</t>
        </is>
      </c>
    </row>
    <row r="2">
      <c r="A2" s="2" t="inlineStr">
        <is>
          <t>Gross revenue</t>
        </is>
      </c>
      <c r="B2" s="2" t="inlineStr">
        <is>
          <t>FY2023</t>
        </is>
      </c>
      <c r="C2" s="2" t="n">
        <v>2570</v>
      </c>
      <c r="D2" s="2" t="inlineStr">
        <is>
          <t>USD mm</t>
        </is>
      </c>
      <c r="E2" s="2" t="inlineStr">
        <is>
          <t>FOUR.md / 10-K</t>
        </is>
      </c>
      <c r="F2" s="2" t="inlineStr">
        <is>
          <t>StockAnalysis</t>
        </is>
      </c>
      <c r="G2" s="2" t="inlineStr">
        <is>
          <t>Ties.</t>
        </is>
      </c>
    </row>
    <row r="3">
      <c r="A3" s="2" t="inlineStr">
        <is>
          <t>Gross revenue</t>
        </is>
      </c>
      <c r="B3" s="2" t="inlineStr">
        <is>
          <t>FY2024</t>
        </is>
      </c>
      <c r="C3" s="2" t="n">
        <v>3330</v>
      </c>
      <c r="D3" s="2" t="inlineStr">
        <is>
          <t>USD mm</t>
        </is>
      </c>
      <c r="E3" s="2" t="inlineStr">
        <is>
          <t>FOUR.md / 10-K</t>
        </is>
      </c>
      <c r="F3" s="2" t="inlineStr">
        <is>
          <t>StockAnalysis</t>
        </is>
      </c>
      <c r="G3" s="2" t="inlineStr">
        <is>
          <t>Ties.</t>
        </is>
      </c>
    </row>
    <row r="4">
      <c r="A4" s="2" t="inlineStr">
        <is>
          <t>Gross revenue</t>
        </is>
      </c>
      <c r="B4" s="2" t="inlineStr">
        <is>
          <t>FY2025</t>
        </is>
      </c>
      <c r="C4" s="2" t="n">
        <v>4180</v>
      </c>
      <c r="D4" s="2" t="inlineStr">
        <is>
          <t>USD mm</t>
        </is>
      </c>
      <c r="E4" s="2" t="inlineStr">
        <is>
          <t>FOUR.md / 10-K</t>
        </is>
      </c>
      <c r="F4" s="2" t="inlineStr">
        <is>
          <t>StockAnalysis</t>
        </is>
      </c>
      <c r="G4" s="2" t="inlineStr">
        <is>
          <t>Ties.</t>
        </is>
      </c>
    </row>
    <row r="5">
      <c r="A5" s="2" t="inlineStr">
        <is>
          <t>Gross revenue</t>
        </is>
      </c>
      <c r="B5" s="2" t="inlineStr">
        <is>
          <t>Q1 2026</t>
        </is>
      </c>
      <c r="C5" s="2" t="n">
        <v>1121</v>
      </c>
      <c r="D5" s="2" t="inlineStr">
        <is>
          <t>USD mm</t>
        </is>
      </c>
      <c r="E5" s="2" t="inlineStr">
        <is>
          <t>Q1 2026 release</t>
        </is>
      </c>
      <c r="F5" s="2" t="inlineStr">
        <is>
          <t>StockAnalysis</t>
        </is>
      </c>
      <c r="G5" s="2" t="inlineStr">
        <is>
          <t>Ties.</t>
        </is>
      </c>
    </row>
    <row r="6">
      <c r="A6" s="2" t="inlineStr">
        <is>
          <t>GRLNF</t>
        </is>
      </c>
      <c r="B6" s="2" t="inlineStr">
        <is>
          <t>FY2025</t>
        </is>
      </c>
      <c r="C6" s="2" t="n">
        <v>1981</v>
      </c>
      <c r="D6" s="2" t="inlineStr">
        <is>
          <t>USD mm</t>
        </is>
      </c>
      <c r="E6" s="2" t="inlineStr">
        <is>
          <t>FOUR.md</t>
        </is>
      </c>
      <c r="F6" s="2" t="inlineStr">
        <is>
          <t>StockAnalysis</t>
        </is>
      </c>
      <c r="G6" s="2" t="inlineStr">
        <is>
          <t>Full-year FY2025.</t>
        </is>
      </c>
    </row>
    <row r="7">
      <c r="A7" s="2" t="inlineStr">
        <is>
          <t>GRLNF</t>
        </is>
      </c>
      <c r="B7" s="2" t="inlineStr">
        <is>
          <t>Q1 2026</t>
        </is>
      </c>
      <c r="C7" s="2" t="n">
        <v>549</v>
      </c>
      <c r="D7" s="2" t="inlineStr">
        <is>
          <t>USD mm</t>
        </is>
      </c>
      <c r="E7" s="2" t="inlineStr">
        <is>
          <t>Q1 2026 release</t>
        </is>
      </c>
      <c r="F7" s="2" t="inlineStr">
        <is>
          <t>StockAnalysis</t>
        </is>
      </c>
      <c r="G7" s="2" t="inlineStr">
        <is>
          <t>Q1 actual.</t>
        </is>
      </c>
    </row>
    <row r="8">
      <c r="A8" s="2" t="inlineStr">
        <is>
          <t>Adj EBITDA</t>
        </is>
      </c>
      <c r="B8" s="2" t="inlineStr">
        <is>
          <t>FY2024</t>
        </is>
      </c>
      <c r="C8" s="2" t="n">
        <v>678</v>
      </c>
      <c r="D8" s="2" t="inlineStr">
        <is>
          <t>USD mm</t>
        </is>
      </c>
      <c r="E8" s="2" t="inlineStr">
        <is>
          <t>FOUR.md</t>
        </is>
      </c>
      <c r="F8" s="2" t="inlineStr">
        <is>
          <t>StockAnalysis</t>
        </is>
      </c>
      <c r="G8" s="2" t="inlineStr">
        <is>
          <t>Ties.</t>
        </is>
      </c>
    </row>
    <row r="9">
      <c r="A9" s="2" t="inlineStr">
        <is>
          <t>Adj EBITDA</t>
        </is>
      </c>
      <c r="B9" s="2" t="inlineStr">
        <is>
          <t>FY2025</t>
        </is>
      </c>
      <c r="C9" s="2" t="n">
        <v>970</v>
      </c>
      <c r="D9" s="2" t="inlineStr">
        <is>
          <t>USD mm</t>
        </is>
      </c>
      <c r="E9" s="2" t="inlineStr">
        <is>
          <t>FOUR.md / 10-K</t>
        </is>
      </c>
      <c r="F9" s="2" t="inlineStr">
        <is>
          <t>StockAnalysis</t>
        </is>
      </c>
      <c r="G9" s="2" t="inlineStr">
        <is>
          <t>Ties.</t>
        </is>
      </c>
    </row>
    <row r="10">
      <c r="A10" s="2" t="inlineStr">
        <is>
          <t>Adj EBITDA</t>
        </is>
      </c>
      <c r="B10" s="2" t="inlineStr">
        <is>
          <t>Q1 2026</t>
        </is>
      </c>
      <c r="C10" s="2" t="n">
        <v>234</v>
      </c>
      <c r="D10" s="2" t="inlineStr">
        <is>
          <t>USD mm</t>
        </is>
      </c>
      <c r="E10" s="2" t="inlineStr">
        <is>
          <t>Q1 2026 release</t>
        </is>
      </c>
      <c r="F10" s="2" t="inlineStr">
        <is>
          <t>StockAnalysis</t>
        </is>
      </c>
      <c r="G10" s="2" t="inlineStr">
        <is>
          <t>Ties.</t>
        </is>
      </c>
    </row>
    <row r="11">
      <c r="A11" s="2" t="inlineStr">
        <is>
          <t>GAAP net income</t>
        </is>
      </c>
      <c r="B11" s="2" t="inlineStr">
        <is>
          <t>FY2024</t>
        </is>
      </c>
      <c r="C11" s="2" t="n">
        <v>295</v>
      </c>
      <c r="D11" s="2" t="inlineStr">
        <is>
          <t>USD mm</t>
        </is>
      </c>
      <c r="E11" s="2" t="inlineStr">
        <is>
          <t>FOUR.md / 10-K</t>
        </is>
      </c>
      <c r="F11" s="2" t="inlineStr">
        <is>
          <t>StockAnalysis</t>
        </is>
      </c>
      <c r="G11" s="2" t="inlineStr">
        <is>
          <t>Ties.</t>
        </is>
      </c>
    </row>
    <row r="12">
      <c r="A12" s="2" t="inlineStr">
        <is>
          <t>GAAP net income</t>
        </is>
      </c>
      <c r="B12" s="2" t="inlineStr">
        <is>
          <t>FY2025</t>
        </is>
      </c>
      <c r="C12" s="2" t="n">
        <v>147</v>
      </c>
      <c r="D12" s="2" t="inlineStr">
        <is>
          <t>USD mm</t>
        </is>
      </c>
      <c r="E12" s="2" t="inlineStr">
        <is>
          <t>FOUR.md / 10-K</t>
        </is>
      </c>
      <c r="F12" s="2" t="inlineStr">
        <is>
          <t>StockAnalysis</t>
        </is>
      </c>
      <c r="G12" s="2" t="inlineStr">
        <is>
          <t>Ties.</t>
        </is>
      </c>
    </row>
    <row r="13">
      <c r="A13" s="2" t="inlineStr">
        <is>
          <t>GAAP net income</t>
        </is>
      </c>
      <c r="B13" s="2" t="inlineStr">
        <is>
          <t>Q1 2026</t>
        </is>
      </c>
      <c r="C13" s="2" t="n">
        <v>12</v>
      </c>
      <c r="D13" s="2" t="inlineStr">
        <is>
          <t>USD mm</t>
        </is>
      </c>
      <c r="E13" s="2" t="inlineStr">
        <is>
          <t>Q1 2026 release</t>
        </is>
      </c>
      <c r="F13" s="2" t="inlineStr">
        <is>
          <t>StockAnalysis</t>
        </is>
      </c>
      <c r="G13" s="2" t="inlineStr">
        <is>
          <t>Ties.</t>
        </is>
      </c>
    </row>
    <row r="14">
      <c r="A14" s="2" t="inlineStr">
        <is>
          <t>Debt principal</t>
        </is>
      </c>
      <c r="B14" s="2" t="inlineStr">
        <is>
          <t>FY2025 YE</t>
        </is>
      </c>
      <c r="C14" s="2" t="n">
        <v>4589</v>
      </c>
      <c r="D14" s="2" t="inlineStr">
        <is>
          <t>USD mm</t>
        </is>
      </c>
      <c r="E14" s="2" t="inlineStr">
        <is>
          <t>FOUR.md / 10-K</t>
        </is>
      </c>
      <c r="F14" s="2" t="inlineStr">
        <is>
          <t>StockAnalysis</t>
        </is>
      </c>
      <c r="G14" s="2" t="inlineStr">
        <is>
          <t>All principal.</t>
        </is>
      </c>
    </row>
    <row r="15">
      <c r="A15" s="2" t="inlineStr">
        <is>
          <t>Cash</t>
        </is>
      </c>
      <c r="B15" s="2" t="inlineStr">
        <is>
          <t>FY2025 YE</t>
        </is>
      </c>
      <c r="C15" s="2" t="n">
        <v>964</v>
      </c>
      <c r="D15" s="2" t="inlineStr">
        <is>
          <t>USD mm</t>
        </is>
      </c>
      <c r="E15" s="2" t="inlineStr">
        <is>
          <t>FOUR.md / 10-K</t>
        </is>
      </c>
      <c r="F15" s="2" t="inlineStr">
        <is>
          <t>StockAnalysis</t>
        </is>
      </c>
      <c r="G15" s="2" t="inlineStr">
        <is>
          <t>Cash &amp; equivalents.</t>
        </is>
      </c>
    </row>
    <row r="16">
      <c r="A16" s="2" t="inlineStr">
        <is>
          <t>Preferred</t>
        </is>
      </c>
      <c r="B16" s="2" t="inlineStr">
        <is>
          <t>Issued 2025</t>
        </is>
      </c>
      <c r="C16" s="2" t="n">
        <v>1000</v>
      </c>
      <c r="D16" s="2" t="inlineStr">
        <is>
          <t>USD mm</t>
        </is>
      </c>
      <c r="E16" s="2" t="inlineStr">
        <is>
          <t>FOUR.md / 10-K</t>
        </is>
      </c>
      <c r="F16" s="2" t="inlineStr">
        <is>
          <t>StockAnalysis</t>
        </is>
      </c>
      <c r="G16" s="2" t="inlineStr">
        <is>
          <t>6.00% mconv.</t>
        </is>
      </c>
    </row>
    <row r="17">
      <c r="A17" s="2" t="inlineStr">
        <is>
          <t>Payment volume</t>
        </is>
      </c>
      <c r="B17" s="2" t="inlineStr">
        <is>
          <t>FY2025</t>
        </is>
      </c>
      <c r="C17" s="2" t="n">
        <v>209</v>
      </c>
      <c r="D17" s="2" t="inlineStr">
        <is>
          <t>USD B</t>
        </is>
      </c>
      <c r="E17" s="2" t="inlineStr">
        <is>
          <t>FOUR.md</t>
        </is>
      </c>
      <c r="F17" s="2" t="inlineStr">
        <is>
          <t>StockAnalysis</t>
        </is>
      </c>
      <c r="G17" s="2" t="inlineStr">
        <is>
          <t>Full-year.</t>
        </is>
      </c>
    </row>
    <row r="18">
      <c r="A18" s="2" t="inlineStr">
        <is>
          <t>Payment volume</t>
        </is>
      </c>
      <c r="B18" s="2" t="inlineStr">
        <is>
          <t>Q1 2026</t>
        </is>
      </c>
      <c r="C18" s="2" t="n">
        <v>56</v>
      </c>
      <c r="D18" s="2" t="inlineStr">
        <is>
          <t>USD B</t>
        </is>
      </c>
      <c r="E18" s="2" t="inlineStr">
        <is>
          <t>Q1 release</t>
        </is>
      </c>
      <c r="F18" s="2" t="inlineStr">
        <is>
          <t>StockAnalysis</t>
        </is>
      </c>
      <c r="G18" s="2" t="inlineStr">
        <is>
          <t>Q1 actual.</t>
        </is>
      </c>
    </row>
    <row r="19">
      <c r="A19" s="2" t="inlineStr">
        <is>
          <t>Shares outstanding</t>
        </is>
      </c>
      <c r="B19" s="2" t="inlineStr">
        <is>
          <t>2026-05-22</t>
        </is>
      </c>
      <c r="C19" s="2" t="n">
        <v>81</v>
      </c>
      <c r="D19" s="2" t="inlineStr">
        <is>
          <t>M</t>
        </is>
      </c>
      <c r="E19" s="2" t="inlineStr">
        <is>
          <t>StockAnalysis</t>
        </is>
      </c>
      <c r="F19" s="2" t="inlineStr">
        <is>
          <t>Yahoo</t>
        </is>
      </c>
      <c r="G19" s="2" t="inlineStr">
        <is>
          <t>Post-buyback approx.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25" customWidth="1" min="4" max="4"/>
    <col width="18" customWidth="1" min="5" max="5"/>
    <col width="18" customWidth="1" min="6" max="6"/>
  </cols>
  <sheetData>
    <row r="1">
      <c r="A1" s="1" t="inlineStr">
        <is>
          <t>Q Bank</t>
        </is>
      </c>
    </row>
    <row r="3">
      <c r="A3" s="2" t="n">
        <v>1</v>
      </c>
      <c r="B3" s="2" t="inlineStr">
        <is>
          <t>Is the GAAP/adjusted earnings gap structural or transitional? Can GAAP net income meaningfully close to adjusted EBITDA?</t>
        </is>
      </c>
    </row>
    <row r="4">
      <c r="A4" s="2" t="n">
        <v>2</v>
      </c>
      <c r="B4" s="2" t="inlineStr">
        <is>
          <t>How much of GRLNF growth is truly organic vs. acquired? Is SkyTab and organic hospitality growth compounding?</t>
        </is>
      </c>
    </row>
    <row r="5">
      <c r="A5" s="2" t="n">
        <v>3</v>
      </c>
      <c r="B5" s="2" t="inlineStr">
        <is>
          <t>Can Global Blue deliver the cross-sell and margin expansion management is banking on?</t>
        </is>
      </c>
    </row>
    <row r="6">
      <c r="A6" s="2" t="n">
        <v>4</v>
      </c>
      <c r="B6" s="2" t="inlineStr">
        <is>
          <t>Does the Q2 2026 guide imply conservatism, organic deceleration, or continued competitive pressure?</t>
        </is>
      </c>
    </row>
    <row r="7">
      <c r="A7" s="2" t="n">
        <v>5</v>
      </c>
      <c r="B7" s="2" t="inlineStr">
        <is>
          <t>Can adjusted FCF actually reduce net leverage instead of just maintaining it via aggressive buybacks?</t>
        </is>
      </c>
    </row>
    <row r="8">
      <c r="A8" s="2" t="n">
        <v>6</v>
      </c>
      <c r="B8" s="2" t="inlineStr">
        <is>
          <t>What happens to take-rate and GRLNF margin if large enterprises and agencies press for lower fees?</t>
        </is>
      </c>
    </row>
    <row r="9">
      <c r="A9" s="2" t="n">
        <v>7</v>
      </c>
      <c r="B9" s="2" t="inlineStr">
        <is>
          <t>Will buybacks more than offset SBC dilution without consuming strategic cash flexibility?</t>
        </is>
      </c>
    </row>
    <row r="10">
      <c r="A10" s="2" t="n">
        <v>8</v>
      </c>
      <c r="B10" s="2" t="inlineStr">
        <is>
          <t>What valuation multiple is justified if owner earnings normalize to high-single-digit growth?</t>
        </is>
      </c>
    </row>
    <row r="11">
      <c r="A11" s="2" t="n">
        <v>9</v>
      </c>
      <c r="B11" s="2" t="inlineStr">
        <is>
          <t>Which leading indicators should be monitored: organic GRLNF, spread, Global Blue contribution, net leverage, share count?</t>
        </is>
      </c>
    </row>
    <row r="12">
      <c r="A12" s="2" t="n">
        <v>10</v>
      </c>
      <c r="B12" s="2" t="inlineStr">
        <is>
          <t>Is the preferred stock likely to convert at current price levels, creating dilution?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25" customWidth="1" min="4" max="4"/>
    <col width="18" customWidth="1" min="5" max="5"/>
    <col width="18" customWidth="1" min="6" max="6"/>
  </cols>
  <sheetData>
    <row r="1">
      <c r="A1" s="3" t="inlineStr">
        <is>
          <t>Source</t>
        </is>
      </c>
      <c r="B1" s="3" t="inlineStr">
        <is>
          <t>Type</t>
        </is>
      </c>
      <c r="C1" s="3" t="inlineStr">
        <is>
          <t>Date / as-of</t>
        </is>
      </c>
      <c r="D1" s="3" t="inlineStr">
        <is>
          <t>Usage</t>
        </is>
      </c>
      <c r="E1" s="3" t="inlineStr">
        <is>
          <t>URL / note</t>
        </is>
      </c>
    </row>
    <row r="2">
      <c r="A2" s="2" t="inlineStr">
        <is>
          <t>Research/FOUR.md</t>
        </is>
      </c>
      <c r="B2" s="2" t="inlineStr">
        <is>
          <t>Primary research</t>
        </is>
      </c>
      <c r="C2" s="2" t="inlineStr">
        <is>
          <t>2026-05-24</t>
        </is>
      </c>
      <c r="D2" s="2" t="inlineStr">
        <is>
          <t>Historical actuals, capital structure, analyst consensus, scenarios.</t>
        </is>
      </c>
      <c r="E2" s="2" t="inlineStr">
        <is>
          <t>research/FOUR.md</t>
        </is>
      </c>
    </row>
    <row r="3">
      <c r="A3" s="2" t="inlineStr">
        <is>
          <t>Shift4 FY2025 Form 10-K</t>
        </is>
      </c>
      <c r="B3" s="2" t="inlineStr">
        <is>
          <t>Primary filing</t>
        </is>
      </c>
      <c r="C3" s="2" t="inlineStr">
        <is>
          <t>Filed 2026-02</t>
        </is>
      </c>
      <c r="D3" s="2" t="inlineStr">
        <is>
          <t>FY2025 actuals, balance sheet, cash flow, leases.</t>
        </is>
      </c>
      <c r="E3" s="2" t="inlineStr">
        <is>
          <t>https://www.sec.gov/Archives/edgar/data/1794669/000179466926000010/four-20251231.htm</t>
        </is>
      </c>
    </row>
    <row r="4">
      <c r="A4" s="2" t="inlineStr">
        <is>
          <t>Shift4 Q1 2026 earnings release</t>
        </is>
      </c>
      <c r="B4" s="2" t="inlineStr">
        <is>
          <t>Company release</t>
        </is>
      </c>
      <c r="C4" s="2" t="inlineStr">
        <is>
          <t>2026-05</t>
        </is>
      </c>
      <c r="D4" s="2" t="inlineStr">
        <is>
          <t>Q1 2026 actuals, guidance.</t>
        </is>
      </c>
      <c r="E4" s="2" t="inlineStr">
        <is>
          <t>https://investors.shift4.com/</t>
        </is>
      </c>
    </row>
    <row r="5">
      <c r="A5" s="2" t="inlineStr">
        <is>
          <t>StockAnalysis FOUR</t>
        </is>
      </c>
      <c r="B5" s="2" t="inlineStr">
        <is>
          <t>Market data</t>
        </is>
      </c>
      <c r="C5" s="2" t="inlineStr">
        <is>
          <t>2026-05-24</t>
        </is>
      </c>
      <c r="D5" s="2" t="inlineStr">
        <is>
          <t>Price, shares, beta, analyst targets.</t>
        </is>
      </c>
      <c r="E5" s="2" t="inlineStr">
        <is>
          <t>https://stockanalysis.com/stocks/four/</t>
        </is>
      </c>
    </row>
    <row r="6">
      <c r="A6" s="2" t="inlineStr">
        <is>
          <t>MarketBeat FOUR</t>
        </is>
      </c>
      <c r="B6" s="2" t="inlineStr">
        <is>
          <t>Market data</t>
        </is>
      </c>
      <c r="C6" s="2" t="inlineStr">
        <is>
          <t>2026-05-24</t>
        </is>
      </c>
      <c r="D6" s="2" t="inlineStr">
        <is>
          <t>Analyst targets, ownership, short interest.</t>
        </is>
      </c>
      <c r="E6" s="2" t="inlineStr">
        <is>
          <t>https://www.marketbeat.com/stocks/NYSE/FOUR/</t>
        </is>
      </c>
    </row>
    <row r="7">
      <c r="A7" s="2" t="inlineStr">
        <is>
          <t>Bob Hammel Substack</t>
        </is>
      </c>
      <c r="B7" s="2" t="inlineStr">
        <is>
          <t>Secondary analysis</t>
        </is>
      </c>
      <c r="C7" s="2" t="inlineStr">
        <is>
          <t>2025</t>
        </is>
      </c>
      <c r="D7" s="2" t="inlineStr">
        <is>
          <t>Bull case; flagged leverage, Global Blue, transition.</t>
        </is>
      </c>
      <c r="E7" s="2" t="inlineStr">
        <is>
          <t>https://bobhammel.substack.com/p/shift4-payments-positioned-to-win</t>
        </is>
      </c>
    </row>
    <row r="8">
      <c r="A8" s="2" t="inlineStr">
        <is>
          <t>Shift4 investor relations</t>
        </is>
      </c>
      <c r="B8" s="2" t="inlineStr">
        <is>
          <t>Company materials</t>
        </is>
      </c>
      <c r="C8" s="2" t="inlineStr">
        <is>
          <t>2026-05-24</t>
        </is>
      </c>
      <c r="D8" s="2" t="inlineStr">
        <is>
          <t>Earnings releases, presentations.</t>
        </is>
      </c>
      <c r="E8" s="2" t="inlineStr">
        <is>
          <t>https://investors.shift4.com/financial-information/financial-results</t>
        </is>
      </c>
    </row>
    <row r="9">
      <c r="A9" s="2" t="inlineStr">
        <is>
          <t>FRED DGS10</t>
        </is>
      </c>
      <c r="B9" s="2" t="inlineStr">
        <is>
          <t>Rate source</t>
        </is>
      </c>
      <c r="C9" s="2" t="inlineStr">
        <is>
          <t>2026-05-26</t>
        </is>
      </c>
      <c r="D9" s="2" t="inlineStr">
        <is>
          <t>10-year Treasury: 4.50%.</t>
        </is>
      </c>
      <c r="E9" s="2" t="inlineStr">
        <is>
          <t>https://fred.stlouisfed.org/series/DGS10</t>
        </is>
      </c>
    </row>
    <row r="10">
      <c r="A10" s="2" t="inlineStr">
        <is>
          <t>Seeking Alpha FOUR</t>
        </is>
      </c>
      <c r="B10" s="2" t="inlineStr">
        <is>
          <t>Analyst debate</t>
        </is>
      </c>
      <c r="C10" s="2" t="inlineStr">
        <is>
          <t>2026-05-24</t>
        </is>
      </c>
      <c r="D10" s="2" t="inlineStr">
        <is>
          <t>Sell-side articles (partially paywalled).</t>
        </is>
      </c>
      <c r="E10" s="2" t="inlineStr">
        <is>
          <t>https://seekingalpha.com/symbol/FOUR/analysis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2026-05-28T23:03:50Z</dcterms:created>
  <dcterms:modified xsi:type="dcterms:W3CDTF">2026-05-28T23:03:50Z</dcterms:modified>
</cp:coreProperties>
</file>