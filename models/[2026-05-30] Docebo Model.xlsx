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  <sz val="14"/>
    </font>
    <font>
      <b val="1"/>
      <color rgb="00FFFFFF"/>
      <sz val="11"/>
    </font>
    <font>
      <color rgb="00FFFFFF"/>
      <sz val="11"/>
    </font>
    <font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B82F6"/>
      </patternFill>
    </fill>
    <fill>
      <patternFill patternType="solid">
        <fgColor rgb="00F3F4F6"/>
      </patternFill>
    </fill>
    <fill>
      <patternFill patternType="solid">
        <fgColor rgb="0010B981"/>
      </patternFill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6" customHeight="1">
      <c r="A1" s="1" t="inlineStr">
        <is>
          <t>Docebo Inc. (NASDAQ: DCBO) — Valuation</t>
        </is>
      </c>
    </row>
    <row r="2">
      <c r="A2" s="2" t="inlineStr">
        <is>
          <t>Date:</t>
        </is>
      </c>
      <c r="B2" s="3" t="inlineStr">
        <is>
          <t>2026-05-29</t>
        </is>
      </c>
    </row>
    <row r="3">
      <c r="A3" s="2" t="inlineStr">
        <is>
          <t>Ticker:</t>
        </is>
      </c>
      <c r="B3" s="3" t="inlineStr">
        <is>
          <t>NASDAQ: DCBO</t>
        </is>
      </c>
    </row>
    <row r="4">
      <c r="A4" s="2" t="inlineStr">
        <is>
          <t>Close Price:</t>
        </is>
      </c>
      <c r="B4" s="3" t="inlineStr">
        <is>
          <t>$18.28</t>
        </is>
      </c>
    </row>
    <row r="5">
      <c r="A5" s="2" t="inlineStr">
        <is>
          <t>Diluted Shares:</t>
        </is>
      </c>
      <c r="B5" s="3" t="inlineStr">
        <is>
          <t>25.38M</t>
        </is>
      </c>
    </row>
    <row r="6">
      <c r="A6" s="2" t="inlineStr">
        <is>
          <t>Market Cap:</t>
        </is>
      </c>
      <c r="B6" s="3" t="inlineStr">
        <is>
          <t>$456.3M</t>
        </is>
      </c>
    </row>
    <row r="7">
      <c r="A7" s="2" t="inlineStr">
        <is>
          <t>Enterprise Value:</t>
        </is>
      </c>
      <c r="B7" s="3" t="inlineStr">
        <is>
          <t>$477.2M</t>
        </is>
      </c>
    </row>
    <row r="8">
      <c r="A8" s="2" t="inlineStr">
        <is>
          <t>Primary Lens:</t>
        </is>
      </c>
      <c r="B8" s="3" t="inlineStr">
        <is>
          <t>FCF multiple, owner earnings, reverse DCF</t>
        </is>
      </c>
    </row>
    <row r="9">
      <c r="A9" s="2" t="inlineStr">
        <is>
          <t>Stance:</t>
        </is>
      </c>
      <c r="B9" s="3" t="inlineStr">
        <is>
          <t>Own / attractively valued cash-flow compounder</t>
        </is>
      </c>
    </row>
    <row r="12">
      <c r="A12" s="4" t="inlineStr">
        <is>
          <t>Key Valuation Metrics</t>
        </is>
      </c>
    </row>
    <row r="13">
      <c r="A13" s="5" t="inlineStr">
        <is>
          <t>Trailing P/E</t>
        </is>
      </c>
      <c r="B13" t="inlineStr">
        <is>
          <t>13.26x</t>
        </is>
      </c>
      <c r="C13" s="3" t="inlineStr">
        <is>
          <t>Reasonable for profitable SaaS</t>
        </is>
      </c>
    </row>
    <row r="14">
      <c r="A14" s="5" t="inlineStr">
        <is>
          <t>Forward P/E</t>
        </is>
      </c>
      <c r="B14" t="inlineStr">
        <is>
          <t>8.89x</t>
        </is>
      </c>
      <c r="C14" s="3" t="inlineStr">
        <is>
          <t>Very cheap forward basis</t>
        </is>
      </c>
    </row>
    <row r="15">
      <c r="A15" s="5" t="inlineStr">
        <is>
          <t>P/S</t>
        </is>
      </c>
      <c r="B15" t="inlineStr">
        <is>
          <t>1.82x</t>
        </is>
      </c>
      <c r="C15" s="3" t="inlineStr">
        <is>
          <t>Below 2x even at growth rates</t>
        </is>
      </c>
    </row>
    <row r="16">
      <c r="A16" s="5" t="inlineStr">
        <is>
          <t>Forward P/S</t>
        </is>
      </c>
      <c r="B16" t="inlineStr">
        <is>
          <t>1.62x</t>
        </is>
      </c>
      <c r="C16" s="3" t="inlineStr">
        <is>
          <t>Attractive for software</t>
        </is>
      </c>
    </row>
    <row r="17">
      <c r="A17" s="5" t="inlineStr">
        <is>
          <t>P/FCF</t>
        </is>
      </c>
      <c r="B17" t="inlineStr">
        <is>
          <t>10.31x</t>
        </is>
      </c>
      <c r="C17" s="3" t="inlineStr">
        <is>
          <t>Cheap for high-margin software</t>
        </is>
      </c>
    </row>
    <row r="18">
      <c r="A18" s="5" t="inlineStr">
        <is>
          <t>EV/FCF</t>
        </is>
      </c>
      <c r="B18" t="inlineStr">
        <is>
          <t>10.79x</t>
        </is>
      </c>
      <c r="C18" s="3" t="inlineStr">
        <is>
          <t>Still cheap after debt adj</t>
        </is>
      </c>
    </row>
    <row r="19">
      <c r="A19" s="5" t="inlineStr">
        <is>
          <t>EV/Sales</t>
        </is>
      </c>
      <c r="B19" t="inlineStr">
        <is>
          <t>1.90x</t>
        </is>
      </c>
      <c r="C19" s="3" t="inlineStr">
        <is>
          <t>Compressed SaaS multiple</t>
        </is>
      </c>
    </row>
    <row r="20">
      <c r="A20" s="5" t="inlineStr">
        <is>
          <t>EV/EBITDA</t>
        </is>
      </c>
      <c r="B20" t="inlineStr">
        <is>
          <t>16.19x</t>
        </is>
      </c>
      <c r="C20" s="3" t="inlineStr">
        <is>
          <t>Looks normal but EBITDA is small</t>
        </is>
      </c>
    </row>
    <row r="21">
      <c r="A21" s="5" t="inlineStr">
        <is>
          <t>ROE (TTM)</t>
        </is>
      </c>
      <c r="B21" t="inlineStr">
        <is>
          <t>132.85%</t>
        </is>
      </c>
      <c r="C21" s="3" t="inlineStr">
        <is>
          <t>Distorted by negative equity post-buyback</t>
        </is>
      </c>
    </row>
    <row r="22">
      <c r="A22" s="5" t="inlineStr">
        <is>
          <t>ROIC</t>
        </is>
      </c>
      <c r="B22" t="inlineStr">
        <is>
          <t>245.93%</t>
        </is>
      </c>
      <c r="C22" s="3" t="inlineStr">
        <is>
          <t>Very high — low capital base</t>
        </is>
      </c>
    </row>
    <row r="25">
      <c r="A25" s="6" t="inlineStr">
        <is>
          <t>Historical Financial Summary ($M)</t>
        </is>
      </c>
    </row>
    <row r="26">
      <c r="A26" s="7" t="inlineStr"/>
      <c r="B26" s="7" t="inlineStr">
        <is>
          <t>TTM</t>
        </is>
      </c>
      <c r="C26" s="7" t="inlineStr">
        <is>
          <t>FY2025</t>
        </is>
      </c>
      <c r="D26" s="7" t="inlineStr">
        <is>
          <t>FY2024</t>
        </is>
      </c>
      <c r="E26" s="7" t="inlineStr">
        <is>
          <t>FY2023</t>
        </is>
      </c>
      <c r="F26" s="7" t="inlineStr">
        <is>
          <t>FY2022</t>
        </is>
      </c>
      <c r="G26" s="7" t="inlineStr">
        <is>
          <t>FY2021</t>
        </is>
      </c>
    </row>
    <row r="27">
      <c r="A27" s="8" t="inlineStr">
        <is>
          <t>Revenue</t>
        </is>
      </c>
      <c r="B27" s="9" t="n">
        <v>251.01</v>
      </c>
      <c r="C27" s="9" t="n">
        <v>242.69</v>
      </c>
      <c r="D27" s="9" t="n">
        <v>216.93</v>
      </c>
      <c r="E27" s="9" t="n">
        <v>180.84</v>
      </c>
      <c r="F27" s="9" t="n">
        <v>142.91</v>
      </c>
      <c r="G27" s="9" t="n">
        <v>104.24</v>
      </c>
    </row>
    <row r="28">
      <c r="A28" s="8" t="inlineStr">
        <is>
          <t>Revenue Growth (%)</t>
        </is>
      </c>
      <c r="B28" s="9" t="n">
        <v>12.65</v>
      </c>
      <c r="C28" s="9" t="n">
        <v>11.87</v>
      </c>
      <c r="D28" s="9" t="n">
        <v>19.96</v>
      </c>
      <c r="E28" s="9" t="n">
        <v>26.54</v>
      </c>
      <c r="F28" s="9" t="n">
        <v>37.1</v>
      </c>
      <c r="G28" s="9" t="n">
        <v>65.68000000000001</v>
      </c>
    </row>
    <row r="29">
      <c r="A29" s="8" t="inlineStr">
        <is>
          <t>Gross Profit</t>
        </is>
      </c>
      <c r="B29" s="9" t="n">
        <v>200.2</v>
      </c>
      <c r="C29" s="9" t="n">
        <v>194.84</v>
      </c>
      <c r="D29" s="9" t="n">
        <v>175.64</v>
      </c>
      <c r="E29" s="9" t="n">
        <v>146.34</v>
      </c>
      <c r="F29" s="9" t="n">
        <v>114.73</v>
      </c>
      <c r="G29" s="9" t="n">
        <v>83.45999999999999</v>
      </c>
    </row>
    <row r="30">
      <c r="A30" s="8" t="inlineStr">
        <is>
          <t>Gross Margin (%)</t>
        </is>
      </c>
      <c r="B30" s="9" t="n">
        <v>79.76000000000001</v>
      </c>
      <c r="C30" s="9" t="n">
        <v>80.28</v>
      </c>
      <c r="D30" s="9" t="n">
        <v>80.95999999999999</v>
      </c>
      <c r="E30" s="9" t="n">
        <v>80.92</v>
      </c>
      <c r="F30" s="9" t="n">
        <v>80.28</v>
      </c>
      <c r="G30" s="9" t="n">
        <v>80.06</v>
      </c>
    </row>
    <row r="31">
      <c r="A31" s="8" t="inlineStr">
        <is>
          <t>Op. Income</t>
        </is>
      </c>
      <c r="B31" s="9" t="n">
        <v>20.04</v>
      </c>
      <c r="C31" s="9" t="n">
        <v>23.24</v>
      </c>
      <c r="D31" s="9" t="n">
        <v>21.29</v>
      </c>
      <c r="E31" s="9" t="n">
        <v>-3.71</v>
      </c>
      <c r="F31" s="9" t="n">
        <v>4.19</v>
      </c>
      <c r="G31" s="9" t="n">
        <v>-13.45</v>
      </c>
    </row>
    <row r="32">
      <c r="A32" s="8" t="inlineStr">
        <is>
          <t>Op. Margin (%)</t>
        </is>
      </c>
      <c r="B32" s="9" t="n">
        <v>7.98</v>
      </c>
      <c r="C32" s="9" t="n">
        <v>9.57</v>
      </c>
      <c r="D32" s="9" t="n">
        <v>9.82</v>
      </c>
      <c r="E32" s="9" t="n">
        <v>-2.05</v>
      </c>
      <c r="F32" s="9" t="n">
        <v>2.93</v>
      </c>
      <c r="G32" s="9" t="n">
        <v>-12.9</v>
      </c>
    </row>
    <row r="33">
      <c r="A33" s="8" t="inlineStr">
        <is>
          <t>EBITDA</t>
        </is>
      </c>
      <c r="B33" s="9" t="n">
        <v>24.35</v>
      </c>
      <c r="C33" s="9" t="n">
        <v>26.42</v>
      </c>
      <c r="D33" s="9" t="n">
        <v>24.68</v>
      </c>
      <c r="E33" s="9" t="n">
        <v>-0.57</v>
      </c>
      <c r="F33" s="9" t="n">
        <v>6.52</v>
      </c>
      <c r="G33" s="9" t="n">
        <v>-11.43</v>
      </c>
    </row>
    <row r="34">
      <c r="A34" s="8" t="inlineStr">
        <is>
          <t>EBITDA Margin (%)</t>
        </is>
      </c>
      <c r="B34" s="9" t="n">
        <v>9.699999999999999</v>
      </c>
      <c r="C34" s="9" t="n">
        <v>10.89</v>
      </c>
      <c r="D34" s="9" t="n">
        <v>11.38</v>
      </c>
      <c r="E34" s="9" t="n">
        <v>-0.31</v>
      </c>
      <c r="F34" s="9" t="n">
        <v>4.56</v>
      </c>
      <c r="G34" s="9" t="n">
        <v>-10.96</v>
      </c>
    </row>
    <row r="35">
      <c r="A35" s="8" t="inlineStr">
        <is>
          <t>Net Income</t>
        </is>
      </c>
      <c r="B35" s="9" t="n">
        <v>34.42</v>
      </c>
      <c r="C35" s="9" t="n">
        <v>37.51</v>
      </c>
      <c r="D35" s="9" t="n">
        <v>26.74</v>
      </c>
      <c r="E35" s="9" t="n">
        <v>2.84</v>
      </c>
      <c r="F35" s="9" t="n">
        <v>7.02</v>
      </c>
      <c r="G35" s="9" t="n">
        <v>-13.6</v>
      </c>
    </row>
    <row r="36">
      <c r="A36" s="8" t="inlineStr">
        <is>
          <t>Net Margin (%)</t>
        </is>
      </c>
      <c r="B36" s="9" t="n">
        <v>13.71</v>
      </c>
      <c r="C36" s="9" t="n">
        <v>15.46</v>
      </c>
      <c r="D36" s="9" t="n">
        <v>12.32</v>
      </c>
      <c r="E36" s="9" t="n">
        <v>1.57</v>
      </c>
      <c r="F36" s="9" t="n">
        <v>4.91</v>
      </c>
      <c r="G36" s="9" t="n">
        <v>-13.05</v>
      </c>
    </row>
    <row r="37">
      <c r="A37" s="8" t="inlineStr">
        <is>
          <t>EPS Diluted</t>
        </is>
      </c>
      <c r="B37" s="9" t="n">
        <v>1.16</v>
      </c>
      <c r="C37" s="9" t="n">
        <v>1.28</v>
      </c>
      <c r="D37" s="9" t="n">
        <v>0.86</v>
      </c>
      <c r="E37" s="9" t="n">
        <v>0.08</v>
      </c>
      <c r="F37" s="9" t="n">
        <v>0.21</v>
      </c>
      <c r="G37" s="9" t="n">
        <v>-0.41</v>
      </c>
    </row>
    <row r="38">
      <c r="A38" s="8" t="inlineStr">
        <is>
          <t>Op. Cash Flow</t>
        </is>
      </c>
      <c r="B38" s="9" t="n">
        <v>45.03</v>
      </c>
      <c r="C38" s="9" t="n">
        <v>28.17</v>
      </c>
      <c r="D38" s="9" t="n">
        <v>29.25</v>
      </c>
      <c r="E38" s="9" t="n">
        <v>15.96</v>
      </c>
      <c r="F38" s="9" t="n">
        <v>2.29</v>
      </c>
      <c r="G38" s="9" t="n">
        <v>-3.25</v>
      </c>
    </row>
    <row r="39">
      <c r="A39" s="8" t="inlineStr">
        <is>
          <t>Capex</t>
        </is>
      </c>
      <c r="B39" s="9" t="n">
        <v>0.79</v>
      </c>
      <c r="C39" s="9" t="n">
        <v>0.98</v>
      </c>
      <c r="D39" s="9" t="n">
        <v>1.25</v>
      </c>
      <c r="E39" s="9" t="n">
        <v>0.64</v>
      </c>
      <c r="F39" s="9" t="n">
        <v>1.08</v>
      </c>
      <c r="G39" s="9" t="n">
        <v>1.15</v>
      </c>
    </row>
    <row r="40">
      <c r="A40" s="8" t="inlineStr">
        <is>
          <t>Free Cash Flow</t>
        </is>
      </c>
      <c r="B40" s="9" t="n">
        <v>44.24</v>
      </c>
      <c r="C40" s="9" t="n">
        <v>27.19</v>
      </c>
      <c r="D40" s="9" t="n">
        <v>28</v>
      </c>
      <c r="E40" s="9" t="n">
        <v>15.33</v>
      </c>
      <c r="F40" s="9" t="n">
        <v>1.21</v>
      </c>
      <c r="G40" s="9" t="n">
        <v>-4.4</v>
      </c>
    </row>
    <row r="41">
      <c r="A41" s="8" t="inlineStr">
        <is>
          <t>FCF Margin (%)</t>
        </is>
      </c>
      <c r="B41" s="9" t="n">
        <v>17.63</v>
      </c>
      <c r="C41" s="9" t="n">
        <v>11.2</v>
      </c>
      <c r="D41" s="9" t="n">
        <v>12.91</v>
      </c>
      <c r="E41" s="9" t="n">
        <v>8.48</v>
      </c>
      <c r="F41" s="9" t="n">
        <v>0.84</v>
      </c>
      <c r="G41" s="9" t="n">
        <v>-4.22</v>
      </c>
    </row>
    <row r="42">
      <c r="A42" s="8" t="inlineStr">
        <is>
          <t>FCF Per Share</t>
        </is>
      </c>
      <c r="B42" s="9" t="n">
        <v>1.74</v>
      </c>
      <c r="C42" s="9" t="n">
        <v>0.95</v>
      </c>
      <c r="D42" s="9" t="n">
        <v>0.93</v>
      </c>
      <c r="E42" s="9" t="n">
        <v>0.51</v>
      </c>
      <c r="F42" s="9" t="n">
        <v>0.04</v>
      </c>
      <c r="G42" s="9" t="n">
        <v>-0.13</v>
      </c>
    </row>
    <row r="43">
      <c r="A43" s="8" t="inlineStr">
        <is>
          <t>Diluted Shares (M)</t>
        </is>
      </c>
      <c r="B43" s="9" t="n">
        <v>29</v>
      </c>
      <c r="C43" s="9" t="n">
        <v>29</v>
      </c>
      <c r="D43" s="9" t="n">
        <v>31</v>
      </c>
      <c r="E43" s="9" t="n">
        <v>34</v>
      </c>
      <c r="F43" s="9" t="n">
        <v>33</v>
      </c>
      <c r="G43" s="9" t="n">
        <v>33</v>
      </c>
    </row>
    <row r="44">
      <c r="A44" s="8" t="inlineStr">
        <is>
          <t>Shares Outstanding (M)</t>
        </is>
      </c>
      <c r="B44" s="9" t="n">
        <v>25.38</v>
      </c>
      <c r="C44" s="9" t="n">
        <v>28.75</v>
      </c>
      <c r="D44" s="9" t="n">
        <v>30.26</v>
      </c>
      <c r="E44" s="9" t="n">
        <v>30.31</v>
      </c>
      <c r="F44" s="9" t="n">
        <v>32.91</v>
      </c>
      <c r="G44" s="9" t="n">
        <v>32.86</v>
      </c>
    </row>
    <row r="45">
      <c r="A45" s="8" t="inlineStr">
        <is>
          <t>SBC ($M)</t>
        </is>
      </c>
      <c r="B45" s="9" t="n">
        <v>6.49</v>
      </c>
      <c r="C45" s="9" t="n">
        <v>6</v>
      </c>
      <c r="D45" s="9" t="n">
        <v>7.33</v>
      </c>
      <c r="E45" s="9" t="n">
        <v>6.05</v>
      </c>
      <c r="F45" s="9" t="n">
        <v>4.71</v>
      </c>
      <c r="G45" s="9" t="n">
        <v>2.26</v>
      </c>
    </row>
    <row r="46">
      <c r="A46" s="8" t="inlineStr">
        <is>
          <t>Cash ($M)</t>
        </is>
      </c>
      <c r="B46" s="9" t="n">
        <v>63.19</v>
      </c>
      <c r="C46" s="9" t="n">
        <v>74.04000000000001</v>
      </c>
      <c r="D46" s="9" t="n">
        <v>92.54000000000001</v>
      </c>
      <c r="E46" s="9" t="n">
        <v>71.95</v>
      </c>
      <c r="F46" s="9" t="n">
        <v>216.29</v>
      </c>
      <c r="G46" s="9" t="n">
        <v>215.32</v>
      </c>
    </row>
    <row r="47">
      <c r="A47" s="8" t="inlineStr">
        <is>
          <t>Total Debt ($M)</t>
        </is>
      </c>
      <c r="B47" s="9" t="n">
        <v>83.8</v>
      </c>
      <c r="C47" s="9" t="n">
        <v>2.56</v>
      </c>
      <c r="D47" s="9" t="n">
        <v>1.5</v>
      </c>
      <c r="E47" s="9" t="n">
        <v>2.11</v>
      </c>
      <c r="F47" s="9" t="n">
        <v>3.07</v>
      </c>
      <c r="G47" s="9" t="n">
        <v>4</v>
      </c>
    </row>
    <row r="48">
      <c r="A48" s="8" t="inlineStr">
        <is>
          <t>Net Cash ($M)</t>
        </is>
      </c>
      <c r="B48" s="9" t="n">
        <v>-20.61</v>
      </c>
      <c r="C48" s="9" t="n">
        <v>71.48</v>
      </c>
      <c r="D48" s="9" t="n">
        <v>91.05</v>
      </c>
      <c r="E48" s="9" t="n">
        <v>69.84</v>
      </c>
      <c r="F48" s="9" t="n">
        <v>213.23</v>
      </c>
      <c r="G48" s="9" t="n">
        <v>211.32</v>
      </c>
    </row>
  </sheetData>
  <mergeCells count="3">
    <mergeCell ref="A1:G1"/>
    <mergeCell ref="A12:G12"/>
    <mergeCell ref="A25:G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2" customWidth="1" min="3" max="3"/>
  </cols>
  <sheetData>
    <row r="1">
      <c r="A1" s="1" t="inlineStr">
        <is>
          <t>Docebo (DCBO) — WACC Calculation</t>
        </is>
      </c>
    </row>
    <row r="3">
      <c r="A3" s="8" t="inlineStr">
        <is>
          <t>Component</t>
        </is>
      </c>
      <c r="B3" s="9" t="inlineStr">
        <is>
          <t>Value</t>
        </is>
      </c>
      <c r="C3" s="3" t="inlineStr">
        <is>
          <t>Rationale</t>
        </is>
      </c>
    </row>
    <row r="4">
      <c r="A4" s="8" t="inlineStr">
        <is>
          <t>Risk-free Rate (10y US)</t>
        </is>
      </c>
      <c r="B4" s="9" t="inlineStr">
        <is>
          <t>4.25%</t>
        </is>
      </c>
      <c r="C4" s="3" t="inlineStr">
        <is>
          <t>Current 10y note yield</t>
        </is>
      </c>
    </row>
    <row r="5">
      <c r="A5" s="8" t="inlineStr">
        <is>
          <t>Equity Risk Premium</t>
        </is>
      </c>
      <c r="B5" s="9" t="inlineStr">
        <is>
          <t>5.00%</t>
        </is>
      </c>
      <c r="C5" s="3" t="inlineStr">
        <is>
          <t>Standard ERP</t>
        </is>
      </c>
    </row>
    <row r="6">
      <c r="A6" s="8" t="inlineStr">
        <is>
          <t>Beta (Levered)</t>
        </is>
      </c>
      <c r="B6" s="9" t="inlineStr">
        <is>
          <t>0.90</t>
        </is>
      </c>
      <c r="C6" s="3" t="inlineStr">
        <is>
          <t>Moderate - SaaS but volatile</t>
        </is>
      </c>
    </row>
    <row r="7">
      <c r="A7" s="8" t="inlineStr">
        <is>
          <t>Cost of Equity (CAPM)</t>
        </is>
      </c>
      <c r="B7" s="9" t="inlineStr">
        <is>
          <t>8.75%</t>
        </is>
      </c>
      <c r="C7" s="3">
        <f>Rfr + Beta x ERP</f>
        <v/>
      </c>
    </row>
    <row r="8">
      <c r="A8" s="8" t="inlineStr">
        <is>
          <t>Cost of Debt</t>
        </is>
      </c>
      <c r="B8" s="9" t="inlineStr">
        <is>
          <t>5.50%</t>
        </is>
      </c>
      <c r="C8" s="3" t="inlineStr">
        <is>
          <t>Est. blended rate</t>
        </is>
      </c>
    </row>
    <row r="9">
      <c r="A9" s="8" t="inlineStr">
        <is>
          <t>Tax Rate</t>
        </is>
      </c>
      <c r="B9" s="9" t="inlineStr">
        <is>
          <t>15.00%</t>
        </is>
      </c>
      <c r="C9" s="3" t="inlineStr">
        <is>
          <t>GAAP effective rate</t>
        </is>
      </c>
    </row>
    <row r="10">
      <c r="A10" s="8" t="inlineStr">
        <is>
          <t>Market Cap ($M)</t>
        </is>
      </c>
      <c r="B10" s="9" t="inlineStr">
        <is>
          <t>456.29</t>
        </is>
      </c>
      <c r="C10" s="3" t="inlineStr">
        <is>
          <t>As of 2026-05-29</t>
        </is>
      </c>
    </row>
    <row r="11">
      <c r="A11" s="8" t="inlineStr">
        <is>
          <t>Total Debt ($M)</t>
        </is>
      </c>
      <c r="B11" s="9" t="inlineStr">
        <is>
          <t>83.80</t>
        </is>
      </c>
      <c r="C11" s="3" t="inlineStr">
        <is>
          <t>Q1 FY2026</t>
        </is>
      </c>
    </row>
    <row r="12">
      <c r="A12" s="8" t="inlineStr">
        <is>
          <t>Equity Weight</t>
        </is>
      </c>
      <c r="B12" s="9" t="inlineStr">
        <is>
          <t>84.4%</t>
        </is>
      </c>
      <c r="C12" s="3">
        <f>E/M</f>
        <v/>
      </c>
    </row>
    <row r="13">
      <c r="A13" s="8" t="inlineStr">
        <is>
          <t>Debt Weight</t>
        </is>
      </c>
      <c r="B13" s="9" t="inlineStr">
        <is>
          <t>15.6%</t>
        </is>
      </c>
      <c r="C13" s="3">
        <f>D/M</f>
        <v/>
      </c>
    </row>
    <row r="14">
      <c r="A14" s="8" t="inlineStr">
        <is>
          <t>WACC</t>
        </is>
      </c>
      <c r="B14" s="9" t="inlineStr">
        <is>
          <t>7.9%</t>
        </is>
      </c>
      <c r="C14" s="3">
        <f>we x Re + wd x (1-t) x Rd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Docebo (DCBO) — Scenario Analysis</t>
        </is>
      </c>
    </row>
    <row r="3">
      <c r="A3" s="7" t="inlineStr">
        <is>
          <t>Metric</t>
        </is>
      </c>
      <c r="B3" s="7" t="inlineStr">
        <is>
          <t>Bear</t>
        </is>
      </c>
      <c r="C3" s="7" t="inlineStr">
        <is>
          <t>Base</t>
        </is>
      </c>
      <c r="D3" s="7" t="inlineStr">
        <is>
          <t>Bull</t>
        </is>
      </c>
    </row>
    <row r="4">
      <c r="A4" s="5" t="inlineStr">
        <is>
          <t>Revenue CAGR (5Y)</t>
        </is>
      </c>
      <c r="B4" s="5" t="inlineStr">
        <is>
          <t>6%</t>
        </is>
      </c>
      <c r="C4" s="5" t="inlineStr">
        <is>
          <t>10%</t>
        </is>
      </c>
      <c r="D4" s="5" t="inlineStr">
        <is>
          <t>14%</t>
        </is>
      </c>
    </row>
    <row r="5">
      <c r="A5" s="9" t="inlineStr">
        <is>
          <t>Terminal Revenue ($M)</t>
        </is>
      </c>
      <c r="B5" s="9" t="inlineStr">
        <is>
          <t>333</t>
        </is>
      </c>
      <c r="C5" s="9" t="inlineStr">
        <is>
          <t>395</t>
        </is>
      </c>
      <c r="D5" s="9" t="inlineStr">
        <is>
          <t>480</t>
        </is>
      </c>
    </row>
    <row r="6">
      <c r="A6" s="5" t="inlineStr">
        <is>
          <t>FCF Margin</t>
        </is>
      </c>
      <c r="B6" s="5" t="inlineStr">
        <is>
          <t>13%</t>
        </is>
      </c>
      <c r="C6" s="5" t="inlineStr">
        <is>
          <t>17%</t>
        </is>
      </c>
      <c r="D6" s="5" t="inlineStr">
        <is>
          <t>22%</t>
        </is>
      </c>
    </row>
    <row r="7">
      <c r="A7" s="9" t="inlineStr">
        <is>
          <t>Terminal FCF ($M)</t>
        </is>
      </c>
      <c r="B7" s="9" t="inlineStr">
        <is>
          <t>43</t>
        </is>
      </c>
      <c r="C7" s="9" t="inlineStr">
        <is>
          <t>67</t>
        </is>
      </c>
      <c r="D7" s="9" t="inlineStr">
        <is>
          <t>106</t>
        </is>
      </c>
    </row>
    <row r="8">
      <c r="A8" s="5" t="inlineStr">
        <is>
          <t>Exit Multiple (FCF)</t>
        </is>
      </c>
      <c r="B8" s="5" t="inlineStr">
        <is>
          <t>10x</t>
        </is>
      </c>
      <c r="C8" s="5" t="inlineStr">
        <is>
          <t>13x</t>
        </is>
      </c>
      <c r="D8" s="5" t="inlineStr">
        <is>
          <t>18x</t>
        </is>
      </c>
    </row>
    <row r="9">
      <c r="A9" s="9" t="inlineStr">
        <is>
          <t>Implied EV</t>
        </is>
      </c>
      <c r="B9" s="9" t="inlineStr">
        <is>
          <t>$433M</t>
        </is>
      </c>
      <c r="C9" s="9" t="inlineStr">
        <is>
          <t>$871M</t>
        </is>
      </c>
      <c r="D9" s="9" t="inlineStr">
        <is>
          <t>$1.91B</t>
        </is>
      </c>
    </row>
    <row r="10">
      <c r="A10" s="5" t="inlineStr">
        <is>
          <t>Less: Net Debt</t>
        </is>
      </c>
      <c r="B10" s="5" t="inlineStr">
        <is>
          <t>$20.6M</t>
        </is>
      </c>
      <c r="C10" s="5" t="inlineStr">
        <is>
          <t>$20.6M</t>
        </is>
      </c>
      <c r="D10" s="5" t="inlineStr">
        <is>
          <t>$20.6M</t>
        </is>
      </c>
    </row>
    <row r="11">
      <c r="A11" s="9" t="inlineStr">
        <is>
          <t>Implied Equity Value</t>
        </is>
      </c>
      <c r="B11" s="9" t="inlineStr">
        <is>
          <t>$412M</t>
        </is>
      </c>
      <c r="C11" s="9" t="inlineStr">
        <is>
          <t>$850M</t>
        </is>
      </c>
      <c r="D11" s="9" t="inlineStr">
        <is>
          <t>$1.89B</t>
        </is>
      </c>
    </row>
    <row r="12">
      <c r="A12" s="5" t="inlineStr">
        <is>
          <t>Shares (M)</t>
        </is>
      </c>
      <c r="B12" s="5" t="inlineStr">
        <is>
          <t>25.0</t>
        </is>
      </c>
      <c r="C12" s="5" t="inlineStr">
        <is>
          <t>25.0</t>
        </is>
      </c>
      <c r="D12" s="5" t="inlineStr">
        <is>
          <t>25.0</t>
        </is>
      </c>
    </row>
    <row r="13">
      <c r="A13" s="9" t="inlineStr">
        <is>
          <t>Value/Share</t>
        </is>
      </c>
      <c r="B13" s="9" t="inlineStr">
        <is>
          <t>$16.50</t>
        </is>
      </c>
      <c r="C13" s="9" t="inlineStr">
        <is>
          <t>$34.00</t>
        </is>
      </c>
      <c r="D13" s="9" t="inlineStr">
        <is>
          <t>$75.60</t>
        </is>
      </c>
    </row>
    <row r="14">
      <c r="A14" s="5" t="inlineStr">
        <is>
          <t>Return from $18.28</t>
        </is>
      </c>
      <c r="B14" s="5" t="inlineStr">
        <is>
          <t>-10%</t>
        </is>
      </c>
      <c r="C14" s="5" t="inlineStr">
        <is>
          <t>+86%</t>
        </is>
      </c>
      <c r="D14" s="5" t="inlineStr">
        <is>
          <t>+314%</t>
        </is>
      </c>
    </row>
    <row r="15">
      <c r="A15" s="9" t="inlineStr">
        <is>
          <t>Weight</t>
        </is>
      </c>
      <c r="B15" s="9" t="inlineStr">
        <is>
          <t>20%</t>
        </is>
      </c>
      <c r="C15" s="9" t="inlineStr">
        <is>
          <t>50%</t>
        </is>
      </c>
      <c r="D15" s="9" t="inlineStr">
        <is>
          <t>30%</t>
        </is>
      </c>
    </row>
    <row r="16">
      <c r="A16" s="5" t="inlineStr">
        <is>
          <t>Weighted Value/Share</t>
        </is>
      </c>
      <c r="B16" s="5" t="inlineStr">
        <is>
          <t>$3.30</t>
        </is>
      </c>
      <c r="C16" s="5" t="inlineStr">
        <is>
          <t>$17.00</t>
        </is>
      </c>
      <c r="D16" s="5" t="inlineStr">
        <is>
          <t>$22.68</t>
        </is>
      </c>
    </row>
    <row r="17">
      <c r="A17" s="10" t="inlineStr"/>
      <c r="B17" s="10" t="inlineStr">
        <is>
          <t>Total Probability-Weighted FV</t>
        </is>
      </c>
      <c r="C17" s="10" t="inlineStr"/>
      <c r="D17" s="10" t="inlineStr">
        <is>
          <t>$42.98</t>
        </is>
      </c>
    </row>
    <row r="18">
      <c r="A18" s="5" t="inlineStr"/>
      <c r="B18" s="5" t="inlineStr">
        <is>
          <t>Upside from $18.28</t>
        </is>
      </c>
      <c r="C18" s="5" t="inlineStr"/>
      <c r="D18" s="5" t="inlineStr">
        <is>
          <t>+135%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4" customWidth="1" min="3" max="3"/>
    <col width="56" customWidth="1" min="4" max="4"/>
  </cols>
  <sheetData>
    <row r="1">
      <c r="A1" s="1" t="inlineStr">
        <is>
          <t>Docebo (DCBO) — Data Sources &amp; Audit</t>
        </is>
      </c>
    </row>
    <row r="2">
      <c r="A2" s="7" t="inlineStr">
        <is>
          <t>Data Point</t>
        </is>
      </c>
      <c r="B2" s="7" t="inlineStr">
        <is>
          <t>Source</t>
        </is>
      </c>
      <c r="C2" s="7" t="inlineStr">
        <is>
          <t>Date</t>
        </is>
      </c>
      <c r="D2" s="7" t="inlineStr">
        <is>
          <t>Notes</t>
        </is>
      </c>
    </row>
    <row r="3">
      <c r="A3" s="8" t="inlineStr">
        <is>
          <t>Stock Price</t>
        </is>
      </c>
      <c r="B3" s="3" t="inlineStr">
        <is>
          <t>StockAnalysis/Yahoo</t>
        </is>
      </c>
      <c r="C3" s="3" t="inlineStr">
        <is>
          <t>2026-05-29</t>
        </is>
      </c>
      <c r="D3" s="3" t="inlineStr">
        <is>
          <t>Closed $18.28</t>
        </is>
      </c>
    </row>
    <row r="4">
      <c r="A4" s="8" t="inlineStr">
        <is>
          <t>Mkt Cap / EV / Shares</t>
        </is>
      </c>
      <c r="B4" s="3" t="inlineStr">
        <is>
          <t>StockAnalysis Stats</t>
        </is>
      </c>
      <c r="C4" s="3" t="inlineStr">
        <is>
          <t>2026-05-29</t>
        </is>
      </c>
      <c r="D4" s="3" t="inlineStr">
        <is>
          <t>25.38M dil, $456.3M mc, $477.2M EV</t>
        </is>
      </c>
    </row>
    <row r="5">
      <c r="A5" s="8" t="inlineStr">
        <is>
          <t>Income Statement</t>
        </is>
      </c>
      <c r="B5" s="3" t="inlineStr">
        <is>
          <t>StockAnalysis</t>
        </is>
      </c>
      <c r="C5" s="3" t="inlineStr">
        <is>
          <t>2026-05-30</t>
        </is>
      </c>
      <c r="D5" s="3" t="inlineStr">
        <is>
          <t>TTM through Mar 2026</t>
        </is>
      </c>
    </row>
    <row r="6">
      <c r="A6" s="8" t="inlineStr">
        <is>
          <t>Balance Sheet</t>
        </is>
      </c>
      <c r="B6" s="3" t="inlineStr">
        <is>
          <t>StockAnalysis</t>
        </is>
      </c>
      <c r="C6" s="3" t="inlineStr">
        <is>
          <t>2026-05-30</t>
        </is>
      </c>
      <c r="D6" s="3" t="inlineStr">
        <is>
          <t>New debt $83.8M, goodwill $49.4M</t>
        </is>
      </c>
    </row>
    <row r="7">
      <c r="A7" s="8" t="inlineStr">
        <is>
          <t>Cash Flow</t>
        </is>
      </c>
      <c r="B7" s="3" t="inlineStr">
        <is>
          <t>StockAnalysis</t>
        </is>
      </c>
      <c r="C7" s="3" t="inlineStr">
        <is>
          <t>2026-05-30</t>
        </is>
      </c>
      <c r="D7" s="3" t="inlineStr">
        <is>
          <t>TTM FCF $44.2M</t>
        </is>
      </c>
    </row>
    <row r="8">
      <c r="A8" s="8" t="inlineStr">
        <is>
          <t>Analyst Estimates</t>
        </is>
      </c>
      <c r="B8" s="3" t="inlineStr">
        <is>
          <t>StockAnalysis (S&amp;P Global)</t>
        </is>
      </c>
      <c r="C8" s="3" t="inlineStr">
        <is>
          <t>2026-05-30</t>
        </is>
      </c>
      <c r="D8" s="3" t="inlineStr">
        <is>
          <t>12 anlsysts, Buy, avg $28.55</t>
        </is>
      </c>
    </row>
    <row r="9">
      <c r="A9" s="8" t="inlineStr">
        <is>
          <t>Valuation Ratios</t>
        </is>
      </c>
      <c r="B9" s="3" t="inlineStr">
        <is>
          <t>StockAnalysis Stats</t>
        </is>
      </c>
      <c r="C9" s="3" t="inlineStr">
        <is>
          <t>2026-05-29</t>
        </is>
      </c>
      <c r="D9" s="3" t="inlineStr">
        <is>
          <t>P/E 13.26, Fwd 8.89, P/FCF 10.31</t>
        </is>
      </c>
    </row>
    <row r="10">
      <c r="A10" s="8" t="inlineStr">
        <is>
          <t>Last Earnings</t>
        </is>
      </c>
      <c r="B10" s="3" t="inlineStr">
        <is>
          <t>StockAnalysis Stats</t>
        </is>
      </c>
      <c r="C10" s="3" t="inlineStr">
        <is>
          <t>2026-05-29</t>
        </is>
      </c>
      <c r="D10" s="3" t="inlineStr">
        <is>
          <t>May 8, 2026, before open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Docebo (DCBO) — Open Questions</t>
        </is>
      </c>
    </row>
    <row r="3">
      <c r="A3" t="n">
        <v>1</v>
      </c>
      <c r="B3" s="3" t="inlineStr">
        <is>
          <t>What caused Q1 FY2026 debt jump to $83.8M and goodwill to $49.4M — what acquisition?</t>
        </is>
      </c>
    </row>
    <row r="4">
      <c r="A4" t="n">
        <v>2</v>
      </c>
      <c r="B4" s="3" t="inlineStr">
        <is>
          <t>Negative equity ($-0.62M TTM) — buybacks + net income drag? Is this sustainable?</t>
        </is>
      </c>
    </row>
    <row r="5">
      <c r="A5" t="n">
        <v>3</v>
      </c>
      <c r="B5" s="3" t="inlineStr">
        <is>
          <t>TTM tax rate -70.5% — deferred tax releases or credit carryforwards?</t>
        </is>
      </c>
    </row>
    <row r="6">
      <c r="A6" t="n">
        <v>4</v>
      </c>
      <c r="B6" s="3" t="inlineStr">
        <is>
          <t>Massive buybacks: $101M TTM, $159M FY2023 — value creation or hiding weak growth?</t>
        </is>
      </c>
    </row>
    <row r="7">
      <c r="A7" t="n">
        <v>5</v>
      </c>
      <c r="B7" s="3" t="inlineStr">
        <is>
          <t>Is deferred revenue growth ($+13.6M TTM) enough to support $340M annualized rev?</t>
        </is>
      </c>
    </row>
    <row r="8">
      <c r="A8" t="n">
        <v>6</v>
      </c>
      <c r="B8" s="3" t="inlineStr">
        <is>
          <t>SBC only $6.5/2.6% rev — high owner earnings quality?</t>
        </is>
      </c>
    </row>
    <row r="9">
      <c r="A9" t="n">
        <v>7</v>
      </c>
      <c r="B9" s="3" t="inlineStr">
        <is>
          <t>How much rev is truly recurring vs project-based?</t>
        </is>
      </c>
    </row>
    <row r="10">
      <c r="A10" t="n">
        <v>8</v>
      </c>
      <c r="B10" s="3" t="inlineStr">
        <is>
          <t>AI learning platform vs Cornerstone/360Learning/Litmos?</t>
        </is>
      </c>
    </row>
    <row r="11">
      <c r="A11" t="n">
        <v>9</v>
      </c>
      <c r="B11" s="3" t="inlineStr">
        <is>
          <t>Customer concentration risk? Any single customer &gt;5%?</t>
        </is>
      </c>
    </row>
    <row r="12">
      <c r="A12" t="n">
        <v>10</v>
      </c>
      <c r="B12" s="3" t="inlineStr">
        <is>
          <t>NRR/GRR not disclosed — can we infer from deferred rev growth vs revenue?</t>
        </is>
      </c>
    </row>
    <row r="13">
      <c r="A13" t="n">
        <v>11</v>
      </c>
      <c r="B13" s="3" t="inlineStr">
        <is>
          <t>When is next earnings report?</t>
        </is>
      </c>
    </row>
    <row r="14">
      <c r="A14" t="n">
        <v>12</v>
      </c>
      <c r="B14" s="3" t="inlineStr">
        <is>
          <t>Why did stock drop this much vs peers if growth is solid?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</cols>
  <sheetData>
    <row r="1">
      <c r="A1" s="1" t="inlineStr">
        <is>
          <t>Docebo (DCBO) — Sources</t>
        </is>
      </c>
    </row>
    <row r="3">
      <c r="A3" t="n">
        <v>1</v>
      </c>
      <c r="B3" s="3" t="inlineStr">
        <is>
          <t>StockAnalysis DCBO Overview</t>
        </is>
      </c>
    </row>
    <row r="4">
      <c r="A4" t="n">
        <v>2</v>
      </c>
      <c r="B4" s="3" t="inlineStr">
        <is>
          <t>https://stockanalysis.com/stocks/dcbo/</t>
        </is>
      </c>
    </row>
    <row r="5">
      <c r="A5" t="n">
        <v>3</v>
      </c>
      <c r="B5" s="3" t="inlineStr">
        <is>
          <t>Financials (Income/Cash Flow/Balance Sheet)</t>
        </is>
      </c>
    </row>
    <row r="6">
      <c r="A6" t="n">
        <v>4</v>
      </c>
      <c r="B6" s="3" t="inlineStr">
        <is>
          <t>https://stockanalysis.com/stocks/dcbo/financials/</t>
        </is>
      </c>
    </row>
    <row r="7">
      <c r="A7" t="n">
        <v>5</v>
      </c>
      <c r="B7" s="3" t="inlineStr">
        <is>
          <t>Statistics</t>
        </is>
      </c>
    </row>
    <row r="8">
      <c r="A8" t="n">
        <v>6</v>
      </c>
      <c r="B8" s="3" t="inlineStr">
        <is>
          <t>https://stockanalysis.com/stocks/dcbo/statistics/</t>
        </is>
      </c>
    </row>
    <row r="9">
      <c r="A9" t="n">
        <v>7</v>
      </c>
      <c r="B9" s="3" t="inlineStr">
        <is>
          <t>Forecast/Analyst Estimates</t>
        </is>
      </c>
    </row>
    <row r="10">
      <c r="A10" t="n">
        <v>8</v>
      </c>
      <c r="B10" s="3" t="inlineStr">
        <is>
          <t>https://stockanalysis.com/stocks/dcbo/forecast/</t>
        </is>
      </c>
    </row>
    <row r="11">
      <c r="A11" t="n">
        <v>9</v>
      </c>
      <c r="B11" s="3" t="inlineStr">
        <is>
          <t>Price History</t>
        </is>
      </c>
    </row>
    <row r="12">
      <c r="A12" t="n">
        <v>10</v>
      </c>
      <c r="B12" s="3" t="inlineStr">
        <is>
          <t>https://stockanalysis.com/stocks/dcbo/history/</t>
        </is>
      </c>
    </row>
    <row r="13">
      <c r="A13" t="n">
        <v>11</v>
      </c>
      <c r="B13" s="3" t="inlineStr">
        <is>
          <t>SEC EDGAR (CIK 0001786988)</t>
        </is>
      </c>
    </row>
    <row r="14">
      <c r="A14" t="n">
        <v>12</v>
      </c>
      <c r="B14" s="3" t="inlineStr">
        <is>
          <t>https://www.sec.gov/cgi-bin/browse-edgar?action=getcompany&amp;CIK=0001786988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2026-05-30T09:50:10Z</dcterms:created>
  <dcterms:modified xsi:type="dcterms:W3CDTF">2026-05-30T09:50:10Z</dcterms:modified>
</cp:coreProperties>
</file>