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i val="1"/>
      <sz val="10"/>
    </font>
    <font>
      <name val="Calibri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wrapText="1"/>
    </xf>
    <xf numFmtId="0" fontId="4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5" customWidth="1" min="3" max="3"/>
  </cols>
  <sheetData>
    <row r="1" ht="30" customHeight="1">
      <c r="A1" s="1" t="inlineStr">
        <is>
          <t>Solventum Corporation (SOLV) - Valuation Summary</t>
        </is>
      </c>
    </row>
    <row r="2">
      <c r="A2" s="2" t="inlineStr">
        <is>
          <t>Company</t>
        </is>
      </c>
      <c r="B2" s="3" t="inlineStr">
        <is>
          <t>Solventum Corporation</t>
        </is>
      </c>
      <c r="C2" s="4" t="inlineStr">
        <is>
          <t>Medtech post-spinoff from 3M (2023)</t>
        </is>
      </c>
    </row>
    <row r="3">
      <c r="A3" s="2" t="inlineStr">
        <is>
          <t>Ticker</t>
        </is>
      </c>
      <c r="B3" s="3" t="inlineStr">
        <is>
          <t>NYSE: SOLV</t>
        </is>
      </c>
      <c r="C3" s="4" t="inlineStr">
        <is>
          <t>Healthcare / Medical Instruments &amp; Supplies</t>
        </is>
      </c>
    </row>
    <row r="4">
      <c r="A4" s="2" t="inlineStr">
        <is>
          <t>Date</t>
        </is>
      </c>
      <c r="B4" s="3" t="inlineStr">
        <is>
          <t>2026-08-27</t>
        </is>
      </c>
      <c r="C4" s="4" t="inlineStr">
        <is>
          <t>As of Aug 27 close</t>
        </is>
      </c>
    </row>
    <row r="5">
      <c r="A5" s="2" t="inlineStr">
        <is>
          <t>Price</t>
        </is>
      </c>
      <c r="B5" s="3" t="inlineStr">
        <is>
          <t>$90.93</t>
        </is>
      </c>
      <c r="C5" s="4" t="inlineStr">
        <is>
          <t>NYSE close</t>
        </is>
      </c>
    </row>
    <row r="6">
      <c r="A6" s="2" t="inlineStr">
        <is>
          <t>Shares Outstanding</t>
        </is>
      </c>
      <c r="B6" s="3" t="inlineStr">
        <is>
          <t>173.5M</t>
        </is>
      </c>
      <c r="C6" s="4" t="inlineStr">
        <is>
          <t>Balance sheet issued shares, FY25</t>
        </is>
      </c>
    </row>
    <row r="7">
      <c r="A7" s="2" t="inlineStr">
        <is>
          <t>Market Cap</t>
        </is>
      </c>
      <c r="B7" s="3" t="inlineStr">
        <is>
          <t>$15.48B</t>
        </is>
      </c>
      <c r="C7" s="4" t="inlineStr">
        <is>
          <t>Intraday per Yahoo Finance</t>
        </is>
      </c>
    </row>
    <row r="8">
      <c r="A8" s="2" t="inlineStr">
        <is>
          <t>Total Debt</t>
        </is>
      </c>
      <c r="B8" s="3" t="inlineStr">
        <is>
          <t>$5.035B</t>
        </is>
      </c>
      <c r="C8" s="4" t="inlineStr">
        <is>
          <t>Balance sheet, down from $8.035B FY24</t>
        </is>
      </c>
    </row>
    <row r="9">
      <c r="A9" s="2" t="inlineStr">
        <is>
          <t>Cash</t>
        </is>
      </c>
      <c r="B9" s="3" t="inlineStr">
        <is>
          <t>$0.40B</t>
        </is>
      </c>
      <c r="C9" s="4" t="inlineStr">
        <is>
          <t>Cash flow statement end position TTM</t>
        </is>
      </c>
    </row>
    <row r="10">
      <c r="A10" s="2" t="inlineStr">
        <is>
          <t>Enterprise Value</t>
        </is>
      </c>
      <c r="B10" s="3" t="inlineStr">
        <is>
          <t>$20.12B</t>
        </is>
      </c>
      <c r="C10" s="4" t="inlineStr">
        <is>
          <t>MC + Debt - Cash</t>
        </is>
      </c>
    </row>
    <row r="11">
      <c r="A11" s="2" t="inlineStr">
        <is>
          <t>Net Debt</t>
        </is>
      </c>
      <c r="B11" s="3" t="inlineStr">
        <is>
          <t>$4.16B</t>
        </is>
      </c>
      <c r="C11" s="4" t="inlineStr">
        <is>
          <t>Debt - Cash; deleveraging from $7.25B FY24</t>
        </is>
      </c>
    </row>
    <row r="12">
      <c r="A12" s="2" t="inlineStr">
        <is>
          <t>FCF (TTM)</t>
        </is>
      </c>
      <c r="B12" s="3" t="inlineStr">
        <is>
          <t>$-0.00B (negative)</t>
        </is>
      </c>
      <c r="C12" s="4" t="inlineStr">
        <is>
          <t>Capex cycle + restructuring; FCF framework N/A</t>
        </is>
      </c>
    </row>
    <row r="13">
      <c r="A13" s="2" t="inlineStr">
        <is>
          <t>Primary Lens</t>
        </is>
      </c>
      <c r="B13" s="3" t="inlineStr">
        <is>
          <t>Forward P/E</t>
        </is>
      </c>
      <c r="C13" s="4" t="inlineStr">
        <is>
          <t>Analyst consensus normalized non-GAAP; FCF negative</t>
        </is>
      </c>
    </row>
    <row r="14">
      <c r="A14" s="2" t="inlineStr">
        <is>
          <t>Stance</t>
        </is>
      </c>
      <c r="B14" s="3" t="inlineStr">
        <is>
          <t>Watch / Cautiously Positive</t>
        </is>
      </c>
      <c r="C14" s="4" t="inlineStr">
        <is>
          <t>Post-HIS spinoff inflection. Q2 beat 33.8%. Nov 5 earnings catalyst.</t>
        </is>
      </c>
    </row>
    <row r="16">
      <c r="A16" s="5" t="inlineStr">
        <is>
          <t>Metric</t>
        </is>
      </c>
      <c r="B16" s="5" t="inlineStr">
        <is>
          <t>Value</t>
        </is>
      </c>
      <c r="C16" s="5" t="inlineStr">
        <is>
          <t>Comment</t>
        </is>
      </c>
    </row>
    <row r="17">
      <c r="A17" s="2" t="inlineStr">
        <is>
          <t>P/E (TTM)</t>
        </is>
      </c>
      <c r="B17" s="3" t="inlineStr">
        <is>
          <t>11.12x</t>
        </is>
      </c>
      <c r="C17" s="4" t="inlineStr">
        <is>
          <t>Distorted by $1.43B one-time non-operating gain (HIS divestiture)</t>
        </is>
      </c>
    </row>
    <row r="18">
      <c r="A18" s="2" t="inlineStr">
        <is>
          <t>Forward P/E (FY26)</t>
        </is>
      </c>
      <c r="B18" s="3" t="inlineStr">
        <is>
          <t>12.66x</t>
        </is>
      </c>
      <c r="C18" s="4" t="inlineStr">
        <is>
          <t>On FY26 consensus EPS $7.18 (non-GAAP normalized)</t>
        </is>
      </c>
    </row>
    <row r="19">
      <c r="A19" s="2" t="inlineStr">
        <is>
          <t>P/S</t>
        </is>
      </c>
      <c r="B19" s="3" t="inlineStr">
        <is>
          <t>1.86x</t>
        </is>
      </c>
      <c r="C19" s="4" t="inlineStr">
        <is>
          <t>Revenue flat at ~$8.3B post-spinoff</t>
        </is>
      </c>
    </row>
    <row r="20">
      <c r="A20" s="2" t="inlineStr">
        <is>
          <t>P/FCF</t>
        </is>
      </c>
      <c r="B20" s="3" t="inlineStr">
        <is>
          <t>N/A</t>
        </is>
      </c>
      <c r="C20" s="4" t="inlineStr">
        <is>
          <t>FCF negative (-$118M TTM) from capex cycle</t>
        </is>
      </c>
    </row>
    <row r="21">
      <c r="A21" s="2" t="inlineStr">
        <is>
          <t>EV/FCF</t>
        </is>
      </c>
      <c r="B21" s="3" t="inlineStr">
        <is>
          <t>N/A</t>
        </is>
      </c>
      <c r="C21" s="4" t="inlineStr">
        <is>
          <t>Not applicable; negative FCF breaks the framework</t>
        </is>
      </c>
    </row>
    <row r="22">
      <c r="A22" s="2" t="inlineStr">
        <is>
          <t>EV/Sales</t>
        </is>
      </c>
      <c r="B22" s="3" t="inlineStr">
        <is>
          <t>2.42x</t>
        </is>
      </c>
      <c r="C22" s="4" t="inlineStr">
        <is>
          <t>EV $20.12B / Rev $8.31B</t>
        </is>
      </c>
    </row>
    <row r="23">
      <c r="A23" s="2" t="inlineStr">
        <is>
          <t>EV/EBITDA</t>
        </is>
      </c>
      <c r="B23" s="3" t="inlineStr">
        <is>
          <t>8.16x</t>
        </is>
      </c>
      <c r="C23" s="4" t="inlineStr">
        <is>
          <t>EV $20.12B / EBITDA $2.47B</t>
        </is>
      </c>
    </row>
    <row r="24">
      <c r="A24" s="2" t="inlineStr">
        <is>
          <t>Forward P/S</t>
        </is>
      </c>
      <c r="B24" s="3" t="inlineStr">
        <is>
          <t>2.44x</t>
        </is>
      </c>
      <c r="C24" s="4" t="inlineStr">
        <is>
          <t>EV / FY26 revenue consensus</t>
        </is>
      </c>
    </row>
    <row r="25">
      <c r="A25" s="2" t="inlineStr">
        <is>
          <t>EV/EBITDA (Normalized)</t>
        </is>
      </c>
      <c r="B25" s="3" t="inlineStr">
        <is>
          <t>13.92x</t>
        </is>
      </c>
      <c r="C25" s="4" t="inlineStr">
        <is>
          <t>Using normalized EBITDA proxy</t>
        </is>
      </c>
    </row>
    <row r="26">
      <c r="A26" s="2" t="inlineStr">
        <is>
          <t>52-Week Range</t>
        </is>
      </c>
      <c r="B26" s="3" t="inlineStr">
        <is>
          <t>$62.38 - $92.71</t>
        </is>
      </c>
      <c r="C26" s="4" t="inlineStr">
        <is>
          <t>Near 52-week high</t>
        </is>
      </c>
    </row>
    <row r="27">
      <c r="A27" s="2" t="inlineStr">
        <is>
          <t>Beta (5Y)</t>
        </is>
      </c>
      <c r="B27" s="3" t="inlineStr">
        <is>
          <t>0.67</t>
        </is>
      </c>
      <c r="C27" s="4" t="inlineStr">
        <is>
          <t>Low volatility relative to market</t>
        </is>
      </c>
    </row>
    <row r="28">
      <c r="A28" s="2" t="inlineStr">
        <is>
          <t>Analyst Avg PT</t>
        </is>
      </c>
      <c r="B28" s="3" t="inlineStr">
        <is>
          <t>$93.92</t>
        </is>
      </c>
      <c r="C28" s="4" t="inlineStr">
        <is>
          <t>~3% above current price</t>
        </is>
      </c>
    </row>
    <row r="29">
      <c r="A29" s="2" t="inlineStr">
        <is>
          <t>Dividend</t>
        </is>
      </c>
      <c r="B29" s="3" t="inlineStr">
        <is>
          <t>None</t>
        </is>
      </c>
      <c r="C29" s="4" t="inlineStr">
        <is>
          <t>No dividend declared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</cols>
  <sheetData>
    <row r="1" ht="30" customHeight="1">
      <c r="A1" s="1" t="inlineStr">
        <is>
          <t>WACC - Weighted Average Cost of Capital</t>
        </is>
      </c>
    </row>
    <row r="2">
      <c r="A2" s="2" t="inlineStr">
        <is>
          <t>CAPM Components</t>
        </is>
      </c>
      <c r="B2" s="3" t="inlineStr"/>
      <c r="C2" s="4" t="inlineStr"/>
    </row>
    <row r="3">
      <c r="A3" s="2" t="inlineStr">
        <is>
          <t>Risk-Free Rate (10Y US Treasury)</t>
        </is>
      </c>
      <c r="B3" s="3" t="inlineStr">
        <is>
          <t>4.68%</t>
        </is>
      </c>
      <c r="C3" s="4" t="inlineStr">
        <is>
          <t>CNBC Aug 27, 2026</t>
        </is>
      </c>
    </row>
    <row r="4">
      <c r="A4" s="2" t="inlineStr">
        <is>
          <t>Equity Risk Premium</t>
        </is>
      </c>
      <c r="B4" s="3" t="inlineStr">
        <is>
          <t>5.0%</t>
        </is>
      </c>
      <c r="C4" s="4" t="inlineStr">
        <is>
          <t>Standard assumption</t>
        </is>
      </c>
    </row>
    <row r="5">
      <c r="A5" s="2" t="inlineStr">
        <is>
          <t>Beta (Levered, 5Y Monthly)</t>
        </is>
      </c>
      <c r="B5" s="3" t="inlineStr">
        <is>
          <t>0.67</t>
        </is>
      </c>
      <c r="C5" s="4" t="inlineStr">
        <is>
          <t>Yahoo Finance Key Statistics</t>
        </is>
      </c>
    </row>
    <row r="6">
      <c r="A6" s="3" t="inlineStr"/>
      <c r="B6" s="3" t="inlineStr"/>
      <c r="C6" s="4" t="inlineStr"/>
    </row>
    <row r="7">
      <c r="A7" s="2" t="inlineStr">
        <is>
          <t>Cost of Equity (Ke)</t>
        </is>
      </c>
      <c r="B7" s="3" t="inlineStr">
        <is>
          <t>8.03%</t>
        </is>
      </c>
      <c r="C7" s="4">
        <f> 4.68% + 0.67 × 5%</f>
        <v/>
      </c>
    </row>
    <row r="8">
      <c r="A8" s="3" t="inlineStr"/>
      <c r="B8" s="3" t="inlineStr"/>
      <c r="C8" s="4" t="inlineStr"/>
    </row>
    <row r="9">
      <c r="A9" s="2" t="inlineStr">
        <is>
          <t>Cost of Debt</t>
        </is>
      </c>
      <c r="B9" s="3" t="inlineStr"/>
      <c r="C9" s="4" t="inlineStr"/>
    </row>
    <row r="10">
      <c r="A10" s="2" t="inlineStr">
        <is>
          <t>Interest Paid (FY25)</t>
        </is>
      </c>
      <c r="B10" s="3" t="inlineStr">
        <is>
          <t>$181M</t>
        </is>
      </c>
      <c r="C10" s="4" t="inlineStr">
        <is>
          <t>Cash flow statement</t>
        </is>
      </c>
    </row>
    <row r="11">
      <c r="A11" s="2" t="inlineStr">
        <is>
          <t>Total Debt</t>
        </is>
      </c>
      <c r="B11" s="3" t="inlineStr">
        <is>
          <t>$5.04B</t>
        </is>
      </c>
      <c r="C11" s="4" t="inlineStr">
        <is>
          <t>Balance sheet FY25</t>
        </is>
      </c>
    </row>
    <row r="12">
      <c r="A12" s="2" t="inlineStr">
        <is>
          <t>Cost of Debt (Kd, pre-tax)</t>
        </is>
      </c>
      <c r="B12" s="3" t="inlineStr">
        <is>
          <t>3.59%</t>
        </is>
      </c>
      <c r="C12" s="4">
        <f> $181M / $5.04B</f>
        <v/>
      </c>
    </row>
    <row r="13">
      <c r="A13" s="3" t="inlineStr"/>
      <c r="B13" s="3" t="inlineStr"/>
      <c r="C13" s="4" t="inlineStr"/>
    </row>
    <row r="14">
      <c r="A14" s="2" t="inlineStr">
        <is>
          <t>Capital Structure</t>
        </is>
      </c>
      <c r="B14" s="3" t="inlineStr"/>
      <c r="C14" s="4" t="inlineStr"/>
    </row>
    <row r="15">
      <c r="A15" s="2" t="inlineStr">
        <is>
          <t>Market Cap (E)</t>
        </is>
      </c>
      <c r="B15" s="3" t="inlineStr">
        <is>
          <t>$15.48B</t>
        </is>
      </c>
      <c r="C15" s="4" t="inlineStr">
        <is>
          <t>Intraday</t>
        </is>
      </c>
    </row>
    <row r="16">
      <c r="A16" s="2" t="inlineStr">
        <is>
          <t>Total Debt (D)</t>
        </is>
      </c>
      <c r="B16" s="3" t="inlineStr">
        <is>
          <t>$5.04B</t>
        </is>
      </c>
      <c r="C16" s="4" t="inlineStr">
        <is>
          <t>Balance sheet</t>
        </is>
      </c>
    </row>
    <row r="17">
      <c r="A17" s="2" t="inlineStr">
        <is>
          <t>Equity Weight</t>
        </is>
      </c>
      <c r="B17" s="3" t="inlineStr">
        <is>
          <t>0.755</t>
        </is>
      </c>
      <c r="C17" s="4">
        <f> 15.48 / (15.48+5.04)</f>
        <v/>
      </c>
    </row>
    <row r="18">
      <c r="A18" s="2" t="inlineStr">
        <is>
          <t>Debt Weight</t>
        </is>
      </c>
      <c r="B18" s="3" t="inlineStr">
        <is>
          <t>0.245</t>
        </is>
      </c>
      <c r="C18" s="4">
        <f> 5.04 / (15.48+5.04)</f>
        <v/>
      </c>
    </row>
    <row r="19">
      <c r="A19" s="3" t="inlineStr"/>
      <c r="B19" s="3" t="inlineStr"/>
      <c r="C19" s="4" t="inlineStr"/>
    </row>
    <row r="20">
      <c r="A20" s="2" t="inlineStr">
        <is>
          <t>Tax Rate</t>
        </is>
      </c>
      <c r="B20" s="3" t="inlineStr">
        <is>
          <t>21%</t>
        </is>
      </c>
      <c r="C20" s="4" t="inlineStr">
        <is>
          <t>Estimated US corporate rate</t>
        </is>
      </c>
    </row>
    <row r="21">
      <c r="A21" s="3" t="inlineStr"/>
      <c r="B21" s="3" t="inlineStr"/>
      <c r="C21" s="4" t="inlineStr"/>
    </row>
    <row r="22">
      <c r="A22" s="2" t="inlineStr">
        <is>
          <t>WACC</t>
        </is>
      </c>
      <c r="B22" s="3" t="inlineStr">
        <is>
          <t>6.76%</t>
        </is>
      </c>
      <c r="C22" s="4">
        <f> 0.755×8.03% + 0.245×3.59%×(1-21%)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60" customWidth="1" min="5" max="5"/>
  </cols>
  <sheetData>
    <row r="1" ht="30" customHeight="1">
      <c r="A1" s="1" t="inlineStr">
        <is>
          <t>Scenario Analysis - Forward P/E Framework</t>
        </is>
      </c>
    </row>
    <row r="2">
      <c r="A2" s="6" t="inlineStr">
        <is>
          <t>Framework: Forward P/E (NOT FCF multiples) — TTM FCF is -$118M (negative). Analyst consensus normalized non-GAAP EPS excludes one-time HIS divestiture items.</t>
        </is>
      </c>
    </row>
    <row r="4">
      <c r="A4" s="5" t="inlineStr">
        <is>
          <t>Metric</t>
        </is>
      </c>
      <c r="B4" s="5" t="inlineStr">
        <is>
          <t>Bear</t>
        </is>
      </c>
      <c r="C4" s="5" t="inlineStr">
        <is>
          <t>Base</t>
        </is>
      </c>
      <c r="D4" s="5" t="inlineStr">
        <is>
          <t>Bull</t>
        </is>
      </c>
      <c r="E4" s="5" t="inlineStr">
        <is>
          <t>Notes</t>
        </is>
      </c>
    </row>
    <row r="5">
      <c r="A5" s="3" t="inlineStr"/>
      <c r="B5" s="3" t="inlineStr"/>
      <c r="C5" s="3" t="inlineStr"/>
      <c r="D5" s="3" t="inlineStr"/>
      <c r="E5" s="4" t="inlineStr"/>
    </row>
    <row r="6">
      <c r="A6" s="2" t="inlineStr">
        <is>
          <t>Revenue CAGR (5Y)</t>
        </is>
      </c>
      <c r="B6" s="3" t="inlineStr">
        <is>
          <t>0-1%</t>
        </is>
      </c>
      <c r="C6" s="3" t="inlineStr">
        <is>
          <t>2-3%</t>
        </is>
      </c>
      <c r="D6" s="3" t="inlineStr">
        <is>
          <t>4-5%</t>
        </is>
      </c>
      <c r="E6" s="4" t="inlineStr">
        <is>
          <t>Medtech mature growth, post-spinoff normalization</t>
        </is>
      </c>
    </row>
    <row r="7">
      <c r="A7" s="2" t="inlineStr">
        <is>
          <t>FY26 Revenue (Consensus)</t>
        </is>
      </c>
      <c r="B7" s="3" t="inlineStr">
        <is>
          <t>$8.23B</t>
        </is>
      </c>
      <c r="C7" s="3" t="inlineStr">
        <is>
          <t>$8.23B</t>
        </is>
      </c>
      <c r="D7" s="3" t="inlineStr">
        <is>
          <t>$8.23B</t>
        </is>
      </c>
      <c r="E7" s="4" t="inlineStr">
        <is>
          <t>13 analysts</t>
        </is>
      </c>
    </row>
    <row r="8">
      <c r="A8" s="2" t="inlineStr">
        <is>
          <t>Terminal Revenue (5Y)</t>
        </is>
      </c>
      <c r="B8" s="3" t="inlineStr">
        <is>
          <t>$8.6B</t>
        </is>
      </c>
      <c r="C8" s="3" t="inlineStr">
        <is>
          <t>$9.5B</t>
        </is>
      </c>
      <c r="D8" s="3" t="inlineStr">
        <is>
          <t>$10.5B</t>
        </is>
      </c>
      <c r="E8" s="4" t="inlineStr"/>
    </row>
    <row r="9">
      <c r="A9" s="3" t="inlineStr"/>
      <c r="B9" s="3" t="inlineStr"/>
      <c r="C9" s="3" t="inlineStr"/>
      <c r="D9" s="3" t="inlineStr"/>
      <c r="E9" s="4" t="inlineStr"/>
    </row>
    <row r="10">
      <c r="A10" s="2" t="inlineStr">
        <is>
          <t>Terminal EPS</t>
        </is>
      </c>
      <c r="B10" s="3" t="inlineStr">
        <is>
          <t>$5.50</t>
        </is>
      </c>
      <c r="C10" s="3" t="inlineStr">
        <is>
          <t>$6.80</t>
        </is>
      </c>
      <c r="D10" s="3" t="inlineStr">
        <is>
          <t>$8.00</t>
        </is>
      </c>
      <c r="E10" s="4" t="inlineStr">
        <is>
          <t>Non-GAAP normalized</t>
        </is>
      </c>
    </row>
    <row r="11">
      <c r="A11" s="3" t="inlineStr"/>
      <c r="B11" s="3" t="inlineStr"/>
      <c r="C11" s="3" t="inlineStr"/>
      <c r="D11" s="3" t="inlineStr"/>
      <c r="E11" s="4" t="inlineStr"/>
    </row>
    <row r="12">
      <c r="A12" s="2" t="inlineStr">
        <is>
          <t>Exit P/E Multiple</t>
        </is>
      </c>
      <c r="B12" s="3" t="inlineStr">
        <is>
          <t>10x</t>
        </is>
      </c>
      <c r="C12" s="3" t="inlineStr">
        <is>
          <t>13x</t>
        </is>
      </c>
      <c r="D12" s="3" t="inlineStr">
        <is>
          <t>16x</t>
        </is>
      </c>
      <c r="E12" s="4" t="inlineStr">
        <is>
          <t>Bear: distressed medtech, Base: peer norm, Bull: margin recovery</t>
        </is>
      </c>
    </row>
    <row r="13">
      <c r="A13" s="3" t="inlineStr"/>
      <c r="B13" s="3" t="inlineStr"/>
      <c r="C13" s="3" t="inlineStr"/>
      <c r="D13" s="3" t="inlineStr"/>
      <c r="E13" s="4" t="inlineStr"/>
    </row>
    <row r="14">
      <c r="A14" s="2" t="inlineStr">
        <is>
          <t>Implied Target Price</t>
        </is>
      </c>
      <c r="B14" s="3" t="inlineStr">
        <is>
          <t>$55.00</t>
        </is>
      </c>
      <c r="C14" s="3" t="inlineStr">
        <is>
          <t>$88.40</t>
        </is>
      </c>
      <c r="D14" s="3" t="inlineStr">
        <is>
          <t>$128.00</t>
        </is>
      </c>
      <c r="E14" s="4" t="inlineStr">
        <is>
          <t>Terminal EPS × Exit P/E</t>
        </is>
      </c>
    </row>
    <row r="15">
      <c r="A15" s="2" t="inlineStr">
        <is>
          <t>Upside / (Downside)</t>
        </is>
      </c>
      <c r="B15" s="3" t="inlineStr">
        <is>
          <t>-39.5%</t>
        </is>
      </c>
      <c r="C15" s="3" t="inlineStr">
        <is>
          <t>-2.8%</t>
        </is>
      </c>
      <c r="D15" s="3" t="inlineStr">
        <is>
          <t>40.8%</t>
        </is>
      </c>
      <c r="E15" s="4" t="inlineStr">
        <is>
          <t>vs current price</t>
        </is>
      </c>
    </row>
    <row r="16">
      <c r="A16" s="3" t="inlineStr"/>
      <c r="B16" s="3" t="inlineStr"/>
      <c r="C16" s="3" t="inlineStr"/>
      <c r="D16" s="3" t="inlineStr"/>
      <c r="E16" s="4" t="inlineStr"/>
    </row>
    <row r="17">
      <c r="A17" s="2" t="inlineStr">
        <is>
          <t>Weight</t>
        </is>
      </c>
      <c r="B17" s="3" t="inlineStr">
        <is>
          <t>20%</t>
        </is>
      </c>
      <c r="C17" s="3" t="inlineStr">
        <is>
          <t>50%</t>
        </is>
      </c>
      <c r="D17" s="3" t="inlineStr">
        <is>
          <t>30%</t>
        </is>
      </c>
      <c r="E17" s="4" t="inlineStr"/>
    </row>
    <row r="18">
      <c r="A18" s="2" t="inlineStr">
        <is>
          <t>Weighted Value/Share</t>
        </is>
      </c>
      <c r="B18" s="3" t="inlineStr">
        <is>
          <t>$11.00</t>
        </is>
      </c>
      <c r="C18" s="3" t="inlineStr">
        <is>
          <t>$44.20</t>
        </is>
      </c>
      <c r="D18" s="3" t="inlineStr">
        <is>
          <t>$38.40</t>
        </is>
      </c>
      <c r="E18" s="4" t="inlineStr"/>
    </row>
    <row r="19">
      <c r="A19" s="3" t="inlineStr"/>
      <c r="B19" s="3" t="inlineStr"/>
      <c r="C19" s="3" t="inlineStr"/>
      <c r="D19" s="3" t="inlineStr"/>
      <c r="E19" s="4" t="inlineStr"/>
    </row>
    <row r="20">
      <c r="A20" s="2" t="inlineStr">
        <is>
          <t>Probability-Weighted FV</t>
        </is>
      </c>
      <c r="B20" s="3" t="inlineStr"/>
      <c r="C20" s="3" t="inlineStr"/>
      <c r="D20" s="3" t="inlineStr">
        <is>
          <t>$93.60</t>
        </is>
      </c>
      <c r="E20" s="4" t="inlineStr">
        <is>
          <t>Sum of weighted values</t>
        </is>
      </c>
    </row>
    <row r="21">
      <c r="A21" s="2" t="inlineStr">
        <is>
          <t>Upside from Current</t>
        </is>
      </c>
      <c r="B21" s="3" t="inlineStr"/>
      <c r="C21" s="3" t="inlineStr"/>
      <c r="D21" s="3" t="inlineStr">
        <is>
          <t>2.9%</t>
        </is>
      </c>
      <c r="E21" s="4" t="inlineStr"/>
    </row>
    <row r="22">
      <c r="A22" s="3" t="inlineStr"/>
      <c r="B22" s="3" t="inlineStr"/>
      <c r="C22" s="3" t="inlineStr"/>
      <c r="D22" s="3" t="inlineStr"/>
      <c r="E22" s="4" t="inlineStr"/>
    </row>
    <row r="23">
      <c r="A23" s="2" t="inlineStr">
        <is>
          <t>WACC</t>
        </is>
      </c>
      <c r="B23" s="3" t="inlineStr"/>
      <c r="C23" s="3" t="inlineStr"/>
      <c r="D23" s="3" t="inlineStr">
        <is>
          <t>6.76%</t>
        </is>
      </c>
      <c r="E23" s="4" t="inlineStr">
        <is>
          <t>Discount rate for reference</t>
        </is>
      </c>
    </row>
    <row r="24">
      <c r="A24" s="3" t="inlineStr"/>
      <c r="B24" s="3" t="inlineStr"/>
      <c r="C24" s="3" t="inlineStr"/>
      <c r="D24" s="3" t="inlineStr"/>
      <c r="E24" s="4" t="inlineStr"/>
    </row>
    <row r="25">
      <c r="A25" s="2" t="inlineStr">
        <is>
          <t>Current Price</t>
        </is>
      </c>
      <c r="B25" s="3" t="inlineStr"/>
      <c r="C25" s="3" t="inlineStr"/>
      <c r="D25" s="3" t="inlineStr">
        <is>
          <t>$90.93</t>
        </is>
      </c>
      <c r="E25" s="4" t="inlineStr"/>
    </row>
    <row r="26">
      <c r="A26" s="2" t="inlineStr">
        <is>
          <t>Analyst Avg PT</t>
        </is>
      </c>
      <c r="B26" s="3" t="inlineStr"/>
      <c r="C26" s="3" t="inlineStr"/>
      <c r="D26" s="3" t="inlineStr">
        <is>
          <t>$93.92</t>
        </is>
      </c>
      <c r="E26" s="4" t="inlineStr">
        <is>
          <t>Yahoo Finance consensus</t>
        </is>
      </c>
    </row>
    <row r="27">
      <c r="A27" s="3" t="inlineStr"/>
      <c r="B27" s="3" t="inlineStr"/>
      <c r="C27" s="3" t="inlineStr"/>
      <c r="D27" s="3" t="inlineStr"/>
      <c r="E27" s="4" t="inlineStr"/>
    </row>
    <row r="28">
      <c r="A28" s="2" t="inlineStr">
        <is>
          <t>Basis</t>
        </is>
      </c>
      <c r="B28" s="3" t="inlineStr"/>
      <c r="C28" s="3" t="inlineStr"/>
      <c r="D28" s="3" t="inlineStr"/>
      <c r="E28" s="4" t="inlineStr"/>
    </row>
    <row r="29">
      <c r="A29" s="2" t="inlineStr">
        <is>
          <t>Bear Rationale</t>
        </is>
      </c>
      <c r="B29" s="3" t="inlineStr"/>
      <c r="C29" s="3" t="inlineStr"/>
      <c r="D29" s="3" t="inlineStr"/>
      <c r="E29" s="4" t="inlineStr">
        <is>
          <t>Operating margins remain depressed at 6% range. Restructuring costs persist. HIS separation creates transitional headwinds.</t>
        </is>
      </c>
    </row>
    <row r="30">
      <c r="A30" s="2" t="inlineStr">
        <is>
          <t>Base Rationale</t>
        </is>
      </c>
      <c r="B30" s="3" t="inlineStr"/>
      <c r="C30" s="3" t="inlineStr"/>
      <c r="D30" s="3" t="inlineStr"/>
      <c r="E30" s="4" t="inlineStr">
        <is>
          <t>Gradual margin recovery as restructuring completes. Q2 EPS beat of 33.8% signals inflection. Revenue growth resumes organically.</t>
        </is>
      </c>
    </row>
    <row r="31">
      <c r="A31" s="2" t="inlineStr">
        <is>
          <t>Bull Rationale</t>
        </is>
      </c>
      <c r="B31" s="3" t="inlineStr"/>
      <c r="C31" s="3" t="inlineStr"/>
      <c r="D31" s="3" t="inlineStr"/>
      <c r="E31" s="4" t="inlineStr">
        <is>
          <t>Full margin recovery to 10-12% (FY22 levels of 20.8% pre-spinoff). Operating leverage returns. Revenue grows above consensus with M&amp;A.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5" customWidth="1" min="3" max="3"/>
    <col width="45" customWidth="1" min="4" max="4"/>
  </cols>
  <sheetData>
    <row r="1">
      <c r="A1" s="1" t="inlineStr">
        <is>
          <t>Actuals Source Audit</t>
        </is>
      </c>
    </row>
    <row r="3">
      <c r="D3" s="5" t="inlineStr">
        <is>
          <t>Data Point</t>
        </is>
      </c>
      <c r="E3" s="5" t="inlineStr">
        <is>
          <t>Value</t>
        </is>
      </c>
      <c r="F3" s="5" t="inlineStr">
        <is>
          <t>Source</t>
        </is>
      </c>
      <c r="G3" s="5" t="inlineStr">
        <is>
          <t>Date / Notes</t>
        </is>
      </c>
    </row>
    <row r="4">
      <c r="A4" s="2" t="inlineStr">
        <is>
          <t>Stock Price</t>
        </is>
      </c>
      <c r="B4" s="3" t="inlineStr">
        <is>
          <t>$90.93</t>
        </is>
      </c>
      <c r="C4" s="4" t="inlineStr">
        <is>
          <t>Yahoo Finance Summary</t>
        </is>
      </c>
      <c r="D4" s="4" t="inlineStr">
        <is>
          <t>2026-08-27 close</t>
        </is>
      </c>
    </row>
    <row r="5">
      <c r="A5" s="2" t="inlineStr">
        <is>
          <t>After Hours Price</t>
        </is>
      </c>
      <c r="B5" s="3" t="inlineStr">
        <is>
          <t>$92.80</t>
        </is>
      </c>
      <c r="C5" s="4" t="inlineStr">
        <is>
          <t>Yahoo Finance Summary</t>
        </is>
      </c>
      <c r="D5" s="4" t="inlineStr">
        <is>
          <t>2026-08-27 7:56 PM EDT</t>
        </is>
      </c>
    </row>
    <row r="6">
      <c r="A6" s="2" t="inlineStr">
        <is>
          <t>52-Week Range</t>
        </is>
      </c>
      <c r="B6" s="3" t="inlineStr">
        <is>
          <t>$62.38 - $92.71</t>
        </is>
      </c>
      <c r="C6" s="4" t="inlineStr">
        <is>
          <t>Yahoo Finance Summary</t>
        </is>
      </c>
      <c r="D6" s="4" t="inlineStr">
        <is>
          <t>2026-08-27</t>
        </is>
      </c>
    </row>
    <row r="7">
      <c r="A7" s="2" t="inlineStr">
        <is>
          <t>Market Cap</t>
        </is>
      </c>
      <c r="B7" s="3" t="inlineStr">
        <is>
          <t>$15.48B</t>
        </is>
      </c>
      <c r="C7" s="4" t="inlineStr">
        <is>
          <t>Yahoo Finance intraday</t>
        </is>
      </c>
      <c r="D7" s="4" t="inlineStr">
        <is>
          <t>2026-08-27</t>
        </is>
      </c>
    </row>
    <row r="8">
      <c r="A8" s="2" t="inlineStr">
        <is>
          <t>Beta</t>
        </is>
      </c>
      <c r="B8" s="3" t="inlineStr">
        <is>
          <t>0.67</t>
        </is>
      </c>
      <c r="C8" s="4" t="inlineStr">
        <is>
          <t>Yahoo Finance Key Statistics</t>
        </is>
      </c>
      <c r="D8" s="4" t="inlineStr">
        <is>
          <t>5Y Monthly</t>
        </is>
      </c>
    </row>
    <row r="9">
      <c r="A9" s="2" t="inlineStr">
        <is>
          <t>Analyst Avg PT</t>
        </is>
      </c>
      <c r="B9" s="3" t="inlineStr">
        <is>
          <t>$93.92</t>
        </is>
      </c>
      <c r="C9" s="4" t="inlineStr">
        <is>
          <t>Yahoo Finance Key Statistics</t>
        </is>
      </c>
      <c r="D9" s="4" t="inlineStr">
        <is>
          <t>1-y target</t>
        </is>
      </c>
    </row>
    <row r="10">
      <c r="A10" s="3" t="inlineStr"/>
      <c r="B10" s="3" t="inlineStr"/>
      <c r="C10" s="4" t="inlineStr"/>
      <c r="D10" s="4" t="inlineStr"/>
    </row>
    <row r="11">
      <c r="A11" s="2" t="inlineStr">
        <is>
          <t>Revenue TTM</t>
        </is>
      </c>
      <c r="B11" s="3" t="inlineStr">
        <is>
          <t>$8310M</t>
        </is>
      </c>
      <c r="C11" s="4" t="inlineStr">
        <is>
          <t>Yahoo Finance Income Statement</t>
        </is>
      </c>
      <c r="D11" s="4" t="inlineStr">
        <is>
          <t>TTM, in thousands</t>
        </is>
      </c>
    </row>
    <row r="12">
      <c r="A12" s="2" t="inlineStr">
        <is>
          <t>Revenue FY25</t>
        </is>
      </c>
      <c r="B12" s="3" t="inlineStr">
        <is>
          <t>$8,325M</t>
        </is>
      </c>
      <c r="C12" s="4" t="inlineStr">
        <is>
          <t>Yahoo Finance Income Statement</t>
        </is>
      </c>
      <c r="D12" s="4" t="inlineStr">
        <is>
          <t>Annual</t>
        </is>
      </c>
    </row>
    <row r="13">
      <c r="A13" s="2" t="inlineStr">
        <is>
          <t>Revenue FY24</t>
        </is>
      </c>
      <c r="B13" s="3" t="inlineStr">
        <is>
          <t>$8,254M</t>
        </is>
      </c>
      <c r="C13" s="4" t="inlineStr">
        <is>
          <t>Yahoo Finance Income Statement</t>
        </is>
      </c>
      <c r="D13" s="4" t="inlineStr">
        <is>
          <t>Annual</t>
        </is>
      </c>
    </row>
    <row r="14">
      <c r="A14" s="2" t="inlineStr">
        <is>
          <t>Revenue FY23</t>
        </is>
      </c>
      <c r="B14" s="3" t="inlineStr">
        <is>
          <t>$8,197M</t>
        </is>
      </c>
      <c r="C14" s="4" t="inlineStr">
        <is>
          <t>Yahoo Finance Income Statement</t>
        </is>
      </c>
      <c r="D14" s="4" t="inlineStr">
        <is>
          <t>Annual</t>
        </is>
      </c>
    </row>
    <row r="15">
      <c r="A15" s="2" t="inlineStr">
        <is>
          <t>Revenue FY22</t>
        </is>
      </c>
      <c r="B15" s="3" t="inlineStr">
        <is>
          <t>$8,130M</t>
        </is>
      </c>
      <c r="C15" s="4" t="inlineStr">
        <is>
          <t>Yahoo Finance Income Statement</t>
        </is>
      </c>
      <c r="D15" s="4" t="inlineStr">
        <is>
          <t>Annual</t>
        </is>
      </c>
    </row>
    <row r="16">
      <c r="A16" s="2" t="inlineStr">
        <is>
          <t>Gross Profit TTM</t>
        </is>
      </c>
      <c r="B16" s="3" t="inlineStr">
        <is>
          <t>$4544M</t>
        </is>
      </c>
      <c r="C16" s="4" t="inlineStr">
        <is>
          <t>Yahoo Finance Income Statement</t>
        </is>
      </c>
      <c r="D16" s="4" t="inlineStr">
        <is>
          <t>TTM</t>
        </is>
      </c>
    </row>
    <row r="17">
      <c r="A17" s="2" t="inlineStr">
        <is>
          <t>Operating Income TTM</t>
        </is>
      </c>
      <c r="B17" s="3" t="inlineStr">
        <is>
          <t>$526M</t>
        </is>
      </c>
      <c r="C17" s="4" t="inlineStr">
        <is>
          <t>Yahoo Finance Income Statement</t>
        </is>
      </c>
      <c r="D17" s="4" t="inlineStr">
        <is>
          <t>TTM, declining from $1.69B FY22</t>
        </is>
      </c>
    </row>
    <row r="18">
      <c r="A18" s="2" t="inlineStr">
        <is>
          <t>Operating Income FY25</t>
        </is>
      </c>
      <c r="B18" s="3" t="inlineStr">
        <is>
          <t>$632M</t>
        </is>
      </c>
      <c r="C18" s="4" t="inlineStr">
        <is>
          <t>Yahoo Finance Income Statement</t>
        </is>
      </c>
      <c r="D18" s="4" t="inlineStr">
        <is>
          <t>Annual</t>
        </is>
      </c>
    </row>
    <row r="19">
      <c r="A19" s="2" t="inlineStr">
        <is>
          <t>Operating Income FY24</t>
        </is>
      </c>
      <c r="B19" s="3" t="inlineStr">
        <is>
          <t>$1,036M</t>
        </is>
      </c>
      <c r="C19" s="4" t="inlineStr">
        <is>
          <t>Yahoo Finance Income Statement</t>
        </is>
      </c>
      <c r="D19" s="4" t="inlineStr">
        <is>
          <t>Annual</t>
        </is>
      </c>
    </row>
    <row r="20">
      <c r="A20" s="2" t="inlineStr">
        <is>
          <t>Net Income TTM</t>
        </is>
      </c>
      <c r="B20" s="3" t="inlineStr">
        <is>
          <t>$1434M</t>
        </is>
      </c>
      <c r="C20" s="4" t="inlineStr">
        <is>
          <t>Yahoo Finance Income Statement</t>
        </is>
      </c>
      <c r="D20" s="4" t="inlineStr">
        <is>
          <t>TTM — INFLATED by $1.43B non-operating gain</t>
        </is>
      </c>
    </row>
    <row r="21">
      <c r="A21" s="2" t="inlineStr">
        <is>
          <t>Diluted EPS TTM</t>
        </is>
      </c>
      <c r="B21" s="3" t="inlineStr">
        <is>
          <t>$8.18</t>
        </is>
      </c>
      <c r="C21" s="4" t="inlineStr">
        <is>
          <t>Yahoo Finance Income Statement</t>
        </is>
      </c>
      <c r="D21" s="4" t="inlineStr">
        <is>
          <t>TTM — distorted by non-operating income</t>
        </is>
      </c>
    </row>
    <row r="22">
      <c r="A22" s="3" t="inlineStr"/>
      <c r="B22" s="3" t="inlineStr"/>
      <c r="C22" s="4" t="inlineStr"/>
      <c r="D22" s="4" t="inlineStr"/>
    </row>
    <row r="23">
      <c r="A23" s="2" t="inlineStr">
        <is>
          <t>Total Debt</t>
        </is>
      </c>
      <c r="B23" s="3" t="inlineStr">
        <is>
          <t>$5.035B</t>
        </is>
      </c>
      <c r="C23" s="4" t="inlineStr">
        <is>
          <t>Yahoo Finance Balance Sheet</t>
        </is>
      </c>
      <c r="D23" s="4" t="inlineStr">
        <is>
          <t>FY25, down from $8.035B FY24</t>
        </is>
      </c>
    </row>
    <row r="24">
      <c r="A24" s="2" t="inlineStr">
        <is>
          <t>Total Cash</t>
        </is>
      </c>
      <c r="B24" s="3" t="inlineStr">
        <is>
          <t>$0.40B</t>
        </is>
      </c>
      <c r="C24" s="4" t="inlineStr">
        <is>
          <t>Yahoo Finance Cash Flow Statement</t>
        </is>
      </c>
      <c r="D24" s="4" t="inlineStr">
        <is>
          <t>TTM end cash position</t>
        </is>
      </c>
    </row>
    <row r="25">
      <c r="A25" s="2" t="inlineStr">
        <is>
          <t>Net Debt</t>
        </is>
      </c>
      <c r="B25" s="3" t="inlineStr">
        <is>
          <t>$4.16B</t>
        </is>
      </c>
      <c r="C25" s="4" t="inlineStr">
        <is>
          <t>Computed: Debt - Cash</t>
        </is>
      </c>
      <c r="D25" s="4" t="inlineStr">
        <is>
          <t>Deleveraging from $7.25B FY24</t>
        </is>
      </c>
    </row>
    <row r="26">
      <c r="A26" s="2" t="inlineStr">
        <is>
          <t>Total Assets</t>
        </is>
      </c>
      <c r="B26" s="3" t="inlineStr">
        <is>
          <t>$14.29B</t>
        </is>
      </c>
      <c r="C26" s="4" t="inlineStr">
        <is>
          <t>Yahoo Finance Balance Sheet</t>
        </is>
      </c>
      <c r="D26" s="4" t="inlineStr">
        <is>
          <t>FY25</t>
        </is>
      </c>
    </row>
    <row r="27">
      <c r="A27" s="2" t="inlineStr">
        <is>
          <t>Total Equity</t>
        </is>
      </c>
      <c r="B27" s="3" t="inlineStr">
        <is>
          <t>$5.05B</t>
        </is>
      </c>
      <c r="C27" s="4" t="inlineStr">
        <is>
          <t>Yahoo Finance Balance Sheet</t>
        </is>
      </c>
      <c r="D27" s="4" t="inlineStr">
        <is>
          <t>FY25</t>
        </is>
      </c>
    </row>
    <row r="28">
      <c r="A28" s="2" t="inlineStr">
        <is>
          <t>Shares Outstanding</t>
        </is>
      </c>
      <c r="B28" s="3" t="inlineStr">
        <is>
          <t>173.49M</t>
        </is>
      </c>
      <c r="C28" s="4" t="inlineStr">
        <is>
          <t>Yahoo Finance Balance Sheet</t>
        </is>
      </c>
      <c r="D28" s="4" t="inlineStr">
        <is>
          <t>Shares issued FY25</t>
        </is>
      </c>
    </row>
    <row r="29">
      <c r="A29" s="2" t="inlineStr">
        <is>
          <t>Tangible Book Value</t>
        </is>
      </c>
      <c r="B29" s="3" t="inlineStr">
        <is>
          <t>-$3.25B</t>
        </is>
      </c>
      <c r="C29" s="4" t="inlineStr">
        <is>
          <t>Yahoo Finance Balance Sheet</t>
        </is>
      </c>
      <c r="D29" s="4" t="inlineStr">
        <is>
          <t>FY25, negative from goodwill</t>
        </is>
      </c>
    </row>
    <row r="30">
      <c r="A30" s="3" t="inlineStr"/>
      <c r="B30" s="3" t="inlineStr"/>
      <c r="C30" s="4" t="inlineStr"/>
      <c r="D30" s="4" t="inlineStr"/>
    </row>
    <row r="31">
      <c r="A31" s="2" t="inlineStr">
        <is>
          <t>OCF TTM</t>
        </is>
      </c>
      <c r="B31" s="3" t="inlineStr">
        <is>
          <t>$209M</t>
        </is>
      </c>
      <c r="C31" s="4" t="inlineStr">
        <is>
          <t>Yahoo Finance Cash Flow Statement</t>
        </is>
      </c>
      <c r="D31" s="4" t="inlineStr">
        <is>
          <t>TTM</t>
        </is>
      </c>
    </row>
    <row r="32">
      <c r="A32" s="2" t="inlineStr">
        <is>
          <t>OCF FY25</t>
        </is>
      </c>
      <c r="B32" s="3" t="inlineStr">
        <is>
          <t>$369M</t>
        </is>
      </c>
      <c r="C32" s="4" t="inlineStr">
        <is>
          <t>Yahoo Finance Cash Flow Statement</t>
        </is>
      </c>
      <c r="D32" s="4" t="inlineStr">
        <is>
          <t>Annual</t>
        </is>
      </c>
    </row>
    <row r="33">
      <c r="A33" s="2" t="inlineStr">
        <is>
          <t>Investing CF TTM</t>
        </is>
      </c>
      <c r="B33" s="3" t="inlineStr">
        <is>
          <t>+$2,857M</t>
        </is>
      </c>
      <c r="C33" s="4" t="inlineStr">
        <is>
          <t>Yahoo Finance Cash Flow Statement</t>
        </is>
      </c>
      <c r="D33" s="4" t="inlineStr">
        <is>
          <t>TTM — includes HIS divestiture proceeds</t>
        </is>
      </c>
    </row>
    <row r="34">
      <c r="A34" s="2" t="inlineStr">
        <is>
          <t>CapEx TTM</t>
        </is>
      </c>
      <c r="B34" s="3" t="inlineStr">
        <is>
          <t>-$327M</t>
        </is>
      </c>
      <c r="C34" s="4" t="inlineStr">
        <is>
          <t>Yahoo Finance Cash Flow Statement</t>
        </is>
      </c>
      <c r="D34" s="4" t="inlineStr">
        <is>
          <t>TTM</t>
        </is>
      </c>
    </row>
    <row r="35">
      <c r="A35" s="2" t="inlineStr">
        <is>
          <t>FCF TTM</t>
        </is>
      </c>
      <c r="B35" s="3" t="inlineStr">
        <is>
          <t>-$118M</t>
        </is>
      </c>
      <c r="C35" s="4" t="inlineStr">
        <is>
          <t>Yahoo Finance Cash Flow Statement</t>
        </is>
      </c>
      <c r="D35" s="4" t="inlineStr">
        <is>
          <t>TTM, negative — capex cycle</t>
        </is>
      </c>
    </row>
    <row r="36">
      <c r="A36" s="2" t="inlineStr">
        <is>
          <t>Debt Repayments TTM</t>
        </is>
      </c>
      <c r="B36" s="3" t="inlineStr">
        <is>
          <t>-$2,870M</t>
        </is>
      </c>
      <c r="C36" s="4" t="inlineStr">
        <is>
          <t>Yahoo Finance Cash Flow Statement</t>
        </is>
      </c>
      <c r="D36" s="4" t="inlineStr">
        <is>
          <t>TTM — aggressive deleveraging</t>
        </is>
      </c>
    </row>
    <row r="37">
      <c r="A37" s="2" t="inlineStr">
        <is>
          <t>Interest Paid FY25</t>
        </is>
      </c>
      <c r="B37" s="3" t="inlineStr">
        <is>
          <t>$181M</t>
        </is>
      </c>
      <c r="C37" s="4" t="inlineStr">
        <is>
          <t>Yahoo Finance Cash Flow Statement</t>
        </is>
      </c>
      <c r="D37" s="4" t="inlineStr">
        <is>
          <t>FY25</t>
        </is>
      </c>
    </row>
    <row r="38">
      <c r="A38" s="3" t="inlineStr"/>
      <c r="B38" s="3" t="inlineStr"/>
      <c r="C38" s="4" t="inlineStr"/>
      <c r="D38" s="4" t="inlineStr"/>
    </row>
    <row r="39">
      <c r="A39" s="2" t="inlineStr">
        <is>
          <t>FY26 Rev Consensus</t>
        </is>
      </c>
      <c r="B39" s="3" t="inlineStr">
        <is>
          <t>$8.23B</t>
        </is>
      </c>
      <c r="C39" s="4" t="inlineStr">
        <is>
          <t>Yahoo Finance Analysis</t>
        </is>
      </c>
      <c r="D39" s="4" t="inlineStr">
        <is>
          <t>13 analysts, 33.78% Q2 beat</t>
        </is>
      </c>
    </row>
    <row r="40">
      <c r="A40" s="2" t="inlineStr">
        <is>
          <t>FY27 Rev Consensus</t>
        </is>
      </c>
      <c r="B40" s="3" t="inlineStr">
        <is>
          <t>$8.51B</t>
        </is>
      </c>
      <c r="C40" s="4" t="inlineStr">
        <is>
          <t>Yahoo Finance Analysis</t>
        </is>
      </c>
      <c r="D40" s="4" t="inlineStr">
        <is>
          <t>13 analysts</t>
        </is>
      </c>
    </row>
    <row r="41">
      <c r="A41" s="2" t="inlineStr">
        <is>
          <t>FY26 EPS Consensus</t>
        </is>
      </c>
      <c r="B41" s="3" t="inlineStr">
        <is>
          <t>$7.18</t>
        </is>
      </c>
      <c r="C41" s="4" t="inlineStr">
        <is>
          <t>Yahoo Finance Analysis</t>
        </is>
      </c>
      <c r="D41" s="4" t="inlineStr">
        <is>
          <t>14 analysts, non-GAAP normalized</t>
        </is>
      </c>
    </row>
    <row r="42">
      <c r="A42" s="2" t="inlineStr">
        <is>
          <t>FY27 EPS Consensus</t>
        </is>
      </c>
      <c r="B42" s="3" t="inlineStr">
        <is>
          <t>$7.22</t>
        </is>
      </c>
      <c r="C42" s="4" t="inlineStr">
        <is>
          <t>Yahoo Finance Analysis</t>
        </is>
      </c>
      <c r="D42" s="4" t="inlineStr">
        <is>
          <t>15 analysts</t>
        </is>
      </c>
    </row>
    <row r="43">
      <c r="A43" s="2" t="inlineStr">
        <is>
          <t>Q2 FY26 EPS Actual</t>
        </is>
      </c>
      <c r="B43" s="3" t="inlineStr">
        <is>
          <t>$2.55 vs est $1.91</t>
        </is>
      </c>
      <c r="C43" s="4" t="inlineStr">
        <is>
          <t>Yahoo Finance Analysis</t>
        </is>
      </c>
      <c r="D43" s="4" t="inlineStr">
        <is>
          <t>+33.78% surprise</t>
        </is>
      </c>
    </row>
    <row r="44">
      <c r="A44" s="2" t="inlineStr">
        <is>
          <t>Q1 FY26 EPS Actual</t>
        </is>
      </c>
      <c r="B44" s="3" t="inlineStr">
        <is>
          <t>$1.48 vs est $1.35</t>
        </is>
      </c>
      <c r="C44" s="4" t="inlineStr">
        <is>
          <t>Yahoo Finance Analysis</t>
        </is>
      </c>
      <c r="D44" s="4" t="inlineStr">
        <is>
          <t>+9.33% surprise</t>
        </is>
      </c>
    </row>
    <row r="45">
      <c r="A45" s="2" t="inlineStr">
        <is>
          <t>EPS Revisions 30D</t>
        </is>
      </c>
      <c r="B45" s="3" t="inlineStr">
        <is>
          <t>FY26: 12 up, 0 down</t>
        </is>
      </c>
      <c r="C45" s="4" t="inlineStr">
        <is>
          <t>Yahoo Finance Analysis</t>
        </is>
      </c>
      <c r="D45" s="4" t="inlineStr">
        <is>
          <t>Net positive revisions</t>
        </is>
      </c>
    </row>
    <row r="46">
      <c r="A46" s="3" t="inlineStr"/>
      <c r="B46" s="3" t="inlineStr"/>
      <c r="C46" s="4" t="inlineStr"/>
      <c r="D46" s="4" t="inlineStr"/>
    </row>
    <row r="47">
      <c r="A47" s="2" t="inlineStr">
        <is>
          <t>P/E TTM</t>
        </is>
      </c>
      <c r="B47" s="3" t="inlineStr">
        <is>
          <t>11.12x</t>
        </is>
      </c>
      <c r="C47" s="4" t="inlineStr">
        <is>
          <t>Computed: Price / EPS TTM</t>
        </is>
      </c>
      <c r="D47" s="4" t="inlineStr">
        <is>
          <t>DISTORTED by non-operating gain</t>
        </is>
      </c>
    </row>
    <row r="48">
      <c r="A48" s="2" t="inlineStr">
        <is>
          <t>Forward P/E</t>
        </is>
      </c>
      <c r="B48" s="3" t="inlineStr">
        <is>
          <t>12.66x</t>
        </is>
      </c>
      <c r="C48" s="4" t="inlineStr">
        <is>
          <t>Computed: Price / FY26 EPS</t>
        </is>
      </c>
      <c r="D48" s="4" t="inlineStr">
        <is>
          <t>On non-GAAP normalized consensus</t>
        </is>
      </c>
    </row>
    <row r="49">
      <c r="A49" s="2" t="inlineStr">
        <is>
          <t>EV/EBITDA</t>
        </is>
      </c>
      <c r="B49" s="3" t="inlineStr">
        <is>
          <t>8.16x</t>
        </is>
      </c>
      <c r="C49" s="4" t="inlineStr">
        <is>
          <t>Computed: $20.12B / $2.47B</t>
        </is>
      </c>
      <c r="D49" s="4" t="inlineStr">
        <is>
          <t>TTM</t>
        </is>
      </c>
    </row>
    <row r="50">
      <c r="A50" s="3" t="inlineStr"/>
      <c r="B50" s="3" t="inlineStr"/>
      <c r="C50" s="4" t="inlineStr"/>
      <c r="D50" s="4" t="inlineStr"/>
    </row>
    <row r="51">
      <c r="A51" s="2" t="inlineStr">
        <is>
          <t>Next Earnings</t>
        </is>
      </c>
      <c r="B51" s="3" t="inlineStr">
        <is>
          <t>Nov 5, 2026</t>
        </is>
      </c>
      <c r="C51" s="4" t="inlineStr">
        <is>
          <t>Yahoo Finance Profile</t>
        </is>
      </c>
      <c r="D51" s="4" t="inlineStr">
        <is>
          <t>Q3 FY26</t>
        </is>
      </c>
    </row>
    <row r="52">
      <c r="A52" s="2" t="inlineStr">
        <is>
          <t>Last Earnings</t>
        </is>
      </c>
      <c r="B52" s="3" t="inlineStr">
        <is>
          <t>~Jul 2026</t>
        </is>
      </c>
      <c r="C52" s="4" t="inlineStr">
        <is>
          <t>Yahoo Finance Profile / News</t>
        </is>
      </c>
      <c r="D52" s="4" t="inlineStr">
        <is>
          <t>Q2 FY26</t>
        </is>
      </c>
    </row>
    <row r="53">
      <c r="A53" s="3" t="inlineStr"/>
      <c r="B53" s="3" t="inlineStr"/>
      <c r="C53" s="4" t="inlineStr"/>
      <c r="D53" s="4" t="inlineStr"/>
    </row>
    <row r="54">
      <c r="A54" s="2" t="inlineStr">
        <is>
          <t>10Y Treasury Yield</t>
        </is>
      </c>
      <c r="B54" s="3" t="inlineStr">
        <is>
          <t>4.68%</t>
        </is>
      </c>
      <c r="C54" s="4" t="inlineStr">
        <is>
          <t>CNBC</t>
        </is>
      </c>
      <c r="D54" s="4" t="inlineStr">
        <is>
          <t>Aug 27, 2026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2" customWidth="1" min="3" max="3"/>
  </cols>
  <sheetData>
    <row r="1">
      <c r="A1" s="1" t="inlineStr">
        <is>
          <t>Open Questions</t>
        </is>
      </c>
    </row>
    <row r="3">
      <c r="D3" s="5" t="inlineStr">
        <is>
          <t>#</t>
        </is>
      </c>
      <c r="E3" s="5" t="inlineStr">
        <is>
          <t>Question</t>
        </is>
      </c>
      <c r="F3" s="5" t="inlineStr">
        <is>
          <t>Importance</t>
        </is>
      </c>
    </row>
    <row r="4">
      <c r="A4" s="3" t="inlineStr">
        <is>
          <t>1</t>
        </is>
      </c>
      <c r="B4" s="3" t="inlineStr">
        <is>
          <t>What driven the $1.43B non-operating income TTM? Confirm it is entirely HIS divestiture gain and not partly other items (tax benefit recycling, foreign exchange, investment gains)?</t>
        </is>
      </c>
      <c r="C4" s="7" t="inlineStr">
        <is>
          <t>Critical</t>
        </is>
      </c>
    </row>
    <row r="5">
      <c r="A5" s="3" t="inlineStr">
        <is>
          <t>2</t>
        </is>
      </c>
      <c r="B5" s="3" t="inlineStr">
        <is>
          <t>When will the HIS separation be completed? Timeline, expected proceeds, and how will the proceeds be deployed (share buybacks, debt reduction, new capex)?</t>
        </is>
      </c>
      <c r="C5" s="7" t="inlineStr">
        <is>
          <t>Critical</t>
        </is>
      </c>
    </row>
    <row r="6">
      <c r="A6" s="3" t="inlineStr">
        <is>
          <t>3</t>
        </is>
      </c>
      <c r="B6" s="3" t="inlineStr">
        <is>
          <t>Operating income has declined from $1.69B (FY22) to $526M (TTM). Is this purely one-time post-spinoff restructuring, or is there structural margin erosion in Medsurg/Dental?</t>
        </is>
      </c>
      <c r="C6" s="3" t="inlineStr">
        <is>
          <t>High</t>
        </is>
      </c>
    </row>
    <row r="7">
      <c r="A7" s="3" t="inlineStr">
        <is>
          <t>4</t>
        </is>
      </c>
      <c r="B7" s="3" t="inlineStr">
        <is>
          <t>The investing CF of +$2.86B TTM includes HIS proceeds — what is the organic investing CF excluding the divestiture? Is capex trending up or stable?</t>
        </is>
      </c>
      <c r="C7" s="3" t="inlineStr">
        <is>
          <t>High</t>
        </is>
      </c>
    </row>
    <row r="8">
      <c r="A8" s="3" t="inlineStr">
        <is>
          <t>5</t>
        </is>
      </c>
      <c r="B8" s="3" t="inlineStr">
        <is>
          <t>Goodwill appears on balance sheet (tangible BV is -$3.25B on $5.05B equity). How much goodwill was inherited from 3M and is any of it impaired?</t>
        </is>
      </c>
      <c r="C8" s="3" t="inlineStr">
        <is>
          <t>Medium</t>
        </is>
      </c>
    </row>
    <row r="9">
      <c r="A9" s="3" t="inlineStr">
        <is>
          <t>6</t>
        </is>
      </c>
      <c r="B9" s="3" t="inlineStr">
        <is>
          <t>Shares are nearly flat (173.49M now vs 172.7M FY22) with no dilution from 3M spinoff. Is the share count expected to remain stable or will buybacks accelerate?</t>
        </is>
      </c>
      <c r="C9" s="3" t="inlineStr">
        <is>
          <t>Medium</t>
        </is>
      </c>
    </row>
    <row r="10">
      <c r="A10" s="3" t="inlineStr">
        <is>
          <t>7</t>
        </is>
      </c>
      <c r="B10" s="3" t="inlineStr">
        <is>
          <t>What is the segment revenue split between Medsurg, Dental Solutions, and Health Information Systems? Post-HIS separation, what is the projected revenue base?</t>
        </is>
      </c>
      <c r="C10" s="3" t="inlineStr">
        <is>
          <t>High</t>
        </is>
      </c>
    </row>
    <row r="11">
      <c r="A11" s="3" t="inlineStr">
        <is>
          <t>8</t>
        </is>
      </c>
      <c r="B11" s="3" t="inlineStr">
        <is>
          <t>Q2 EPS beat of 33.78% vs. Q1 beat of 9.33% — is there a genuine momentum inflection, or is Q2 partially aided by one-time items?</t>
        </is>
      </c>
      <c r="C11" s="3" t="inlineStr">
        <is>
          <t>High</t>
        </is>
      </c>
    </row>
    <row r="12">
      <c r="A12" s="3" t="inlineStr">
        <is>
          <t>9</t>
        </is>
      </c>
      <c r="B12" s="3" t="inlineStr">
        <is>
          <t>Debt has been cut from $8.3B to $5.0B in two years. Will deleveraging continue at this pace, or will HIS proceeds be diverted to buybacks or special dividends?</t>
        </is>
      </c>
      <c r="C12" s="3" t="inlineStr">
        <is>
          <t>Medium</t>
        </is>
      </c>
    </row>
    <row r="13">
      <c r="A13" s="3" t="inlineStr">
        <is>
          <t>10</t>
        </is>
      </c>
      <c r="B13" s="3" t="inlineStr">
        <is>
          <t>What portion of operating income decline is attributable to stock-based compensation and restructuring charges vs. genuine operating cost increases?</t>
        </is>
      </c>
      <c r="C13" s="3" t="inlineStr">
        <is>
          <t>High</t>
        </is>
      </c>
    </row>
    <row r="14">
      <c r="A14" s="3" t="inlineStr">
        <is>
          <t>11</t>
        </is>
      </c>
      <c r="B14" s="3" t="inlineStr">
        <is>
          <t>Post-spinoff, the company has 20,584 employees on ~$8.3B revenue. How does this cost base compare to medtech peers (BAX, TFX, BDX)?</t>
        </is>
      </c>
      <c r="C14" s="3" t="inlineStr">
        <is>
          <t>Medium</t>
        </is>
      </c>
    </row>
    <row r="15">
      <c r="A15" s="3" t="inlineStr">
        <is>
          <t>12</t>
        </is>
      </c>
      <c r="B15" s="3" t="inlineStr">
        <is>
          <t>The Nov 5, 2026 Q3 earnings report: will this be the first quarter on a fully post-HIS-separation run rate, or are there continuing transitional items?</t>
        </is>
      </c>
      <c r="C15" s="3" t="inlineStr">
        <is>
          <t>High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1">
      <c r="A1" s="1" t="inlineStr">
        <is>
          <t>Sources</t>
        </is>
      </c>
    </row>
    <row r="2">
      <c r="A2" s="3" t="inlineStr">
        <is>
          <t>1</t>
        </is>
      </c>
      <c r="B2" s="3" t="inlineStr">
        <is>
          <t>https://finance.yahoo.com/quote/SOLV/ — Summary, price, volume, 52-week range</t>
        </is>
      </c>
    </row>
    <row r="3">
      <c r="A3" s="3" t="inlineStr">
        <is>
          <t>2</t>
        </is>
      </c>
      <c r="B3" s="3" t="inlineStr">
        <is>
          <t>https://finance.yahoo.com/quote/SOLV/statistics/ — Key statistics, beta, share count, market cap</t>
        </is>
      </c>
    </row>
    <row r="4">
      <c r="A4" s="3" t="inlineStr">
        <is>
          <t>3</t>
        </is>
      </c>
      <c r="B4" s="3" t="inlineStr">
        <is>
          <t>https://finance.yahoo.com/quote/SOLV/financials/ — Income Statement (annual + TTM)</t>
        </is>
      </c>
    </row>
    <row r="5">
      <c r="A5" s="3" t="inlineStr">
        <is>
          <t>4</t>
        </is>
      </c>
      <c r="B5" s="3" t="inlineStr">
        <is>
          <t>https://finance.yahoo.com/quote/SOLV/balance-sheet/ — Balance Sheet</t>
        </is>
      </c>
    </row>
    <row r="6">
      <c r="A6" s="3" t="inlineStr">
        <is>
          <t>5</t>
        </is>
      </c>
      <c r="B6" s="3" t="inlineStr">
        <is>
          <t>https://finance.yahoo.com/quote/SOLV/cash-flow/ — Cash Flow Statement</t>
        </is>
      </c>
    </row>
    <row r="7">
      <c r="A7" s="3" t="inlineStr">
        <is>
          <t>6</t>
        </is>
      </c>
      <c r="B7" s="3" t="inlineStr">
        <is>
          <t>https://finance.yahoo.com/quote/SOLV/analysis/ — Analyst estimates, earnings history, revisions</t>
        </is>
      </c>
    </row>
    <row r="8">
      <c r="A8" s="3" t="inlineStr">
        <is>
          <t>7</t>
        </is>
      </c>
      <c r="B8" s="3" t="inlineStr">
        <is>
          <t>https://finance.yahoo.com/quote/SOLV/profile/ — Company profile, description, executives, earnings dates</t>
        </is>
      </c>
    </row>
    <row r="9">
      <c r="A9" s="3" t="inlineStr">
        <is>
          <t>8</t>
        </is>
      </c>
      <c r="B9" s="3" t="inlineStr">
        <is>
          <t>https://www.cnbc.com/quotes/US10Y — 10Y Treasury yield (Aug 27, 2026: 4.68%)</t>
        </is>
      </c>
    </row>
    <row r="10">
      <c r="A10" s="3" t="inlineStr">
        <is>
          <t>9</t>
        </is>
      </c>
      <c r="B10" s="3" t="inlineStr">
        <is>
          <t>Yahoo Finance news tab — HIS separation announcement (Aug 4, 2026 8-K), Q2 earnings headlines</t>
        </is>
      </c>
    </row>
    <row r="11">
      <c r="A11" s="3" t="inlineStr">
        <is>
          <t>10</t>
        </is>
      </c>
      <c r="B11" s="3" t="inlineStr">
        <is>
          <t>StockAnalysis.com — attempted but not available for SOLV; used Yahoo Finance as primary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2026-08-28T03:03:44Z</dcterms:created>
  <dcterms:modified xsi:type="dcterms:W3CDTF">2026-08-28T03:03:44Z</dcterms:modified>
</cp:coreProperties>
</file>