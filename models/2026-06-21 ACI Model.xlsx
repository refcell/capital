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>
        <fgColor rgb="00D6DCE4"/>
        <bgColor rgb="00D6D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70" customWidth="1" min="3" max="3"/>
  </cols>
  <sheetData>
    <row r="1">
      <c r="A1" s="1" t="inlineStr">
        <is>
          <t>Albertsons Companies, Inc. (ACI) — Valuation Summary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Comment</t>
        </is>
      </c>
    </row>
    <row r="3">
      <c r="A3" s="3" t="inlineStr">
        <is>
          <t>Trailing P/E</t>
        </is>
      </c>
      <c r="B3" s="4" t="inlineStr">
        <is>
          <t>33.6x</t>
        </is>
      </c>
      <c r="C3" s="4" t="inlineStr">
        <is>
          <t>P/E looks expensive at face value, but TTM earnings are depressed; normalized P/E far lower</t>
        </is>
      </c>
    </row>
    <row r="4">
      <c r="A4" s="3" t="inlineStr">
        <is>
          <t>Forward P/E</t>
        </is>
      </c>
      <c r="B4" s="4" t="inlineStr">
        <is>
          <t>5.9x</t>
        </is>
      </c>
      <c r="C4" s="4" t="inlineStr">
        <is>
          <t>Extremely cheap on forward basis; based on ~$2.27 EPS consensus</t>
        </is>
      </c>
    </row>
    <row r="5">
      <c r="A5" s="3" t="inlineStr">
        <is>
          <t>Price / Sales (TTM)</t>
        </is>
      </c>
      <c r="B5" s="4" t="inlineStr">
        <is>
          <t>0.09x</t>
        </is>
      </c>
      <c r="C5" s="4" t="inlineStr">
        <is>
          <t>$6.65B / $83.2B — rock-bottom; grocery stores typically 0.4-0.7x</t>
        </is>
      </c>
    </row>
    <row r="6">
      <c r="A6" s="3" t="inlineStr">
        <is>
          <t>Price / FCF (TTM)</t>
        </is>
      </c>
      <c r="B6" s="4" t="inlineStr">
        <is>
          <t>3.2x</t>
        </is>
      </c>
      <c r="C6" s="4" t="inlineStr">
        <is>
          <t>$6.65B / ~$2.08B FCF — cheap on cash flow</t>
        </is>
      </c>
    </row>
    <row r="7">
      <c r="A7" s="3" t="inlineStr">
        <is>
          <t>EV / Sales</t>
        </is>
      </c>
      <c r="B7" s="4" t="inlineStr">
        <is>
          <t>0.26x</t>
        </is>
      </c>
      <c r="C7" s="4" t="inlineStr">
        <is>
          <t>$21.75B / $83.2B — very low but EV inflatd by debt</t>
        </is>
      </c>
    </row>
    <row r="8">
      <c r="A8" s="3" t="inlineStr">
        <is>
          <t>EV / EBITDA</t>
        </is>
      </c>
      <c r="B8" s="4" t="inlineStr">
        <is>
          <t>6.4x</t>
        </is>
      </c>
      <c r="C8" s="4" t="inlineStr">
        <is>
          <t>$21.75B / $3,398M TTM; in line with grocery sector</t>
        </is>
      </c>
    </row>
    <row r="9">
      <c r="A9" s="3" t="inlineStr">
        <is>
          <t>Dividend Yield</t>
        </is>
      </c>
      <c r="B9" s="4" t="inlineStr">
        <is>
          <t>5.06%</t>
        </is>
      </c>
      <c r="C9" s="4" t="inlineStr">
        <is>
          <t>$0.68/share; covered ~1.7x by TTM EPS of $0.40</t>
        </is>
      </c>
    </row>
    <row r="10">
      <c r="A10" s="3" t="inlineStr">
        <is>
          <t>PEG (5yr expected)</t>
        </is>
      </c>
      <c r="B10" s="4" t="inlineStr">
        <is>
          <t>1.19x</t>
        </is>
      </c>
      <c r="C10" s="4" t="inlineStr">
        <is>
          <t>Slightly below 1.0 threshold; moderate growth implied</t>
        </is>
      </c>
    </row>
    <row r="11">
      <c r="A11" s="5" t="inlineStr">
        <is>
          <t>Primary Lens</t>
        </is>
      </c>
      <c r="B11" t="inlineStr">
        <is>
          <t>Forward P/E, EV/EBITDA, scenario FCF multiples</t>
        </is>
      </c>
    </row>
    <row r="12">
      <c r="A12" s="5" t="inlineStr">
        <is>
          <t>Stance</t>
        </is>
      </c>
      <c r="B12" t="inlineStr">
        <is>
          <t>Cautious watch — depressed margins and extreme leverage create a value trap at the low end, forward P/E looks cheap until earnings recover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65" customWidth="1" min="3" max="3"/>
  </cols>
  <sheetData>
    <row r="1">
      <c r="A1" s="1" t="inlineStr">
        <is>
          <t>WACC Calculation — Albertsons Companies (ACI)</t>
        </is>
      </c>
    </row>
    <row r="2">
      <c r="A2" s="2" t="inlineStr">
        <is>
          <t>Component</t>
        </is>
      </c>
      <c r="B2" s="2" t="inlineStr">
        <is>
          <t>Value</t>
        </is>
      </c>
      <c r="C2" s="2" t="inlineStr">
        <is>
          <t>Source / Notes</t>
        </is>
      </c>
    </row>
    <row r="3">
      <c r="A3" s="4" t="inlineStr">
        <is>
          <t>Risk-Free Rate (10Y US Govt)</t>
        </is>
      </c>
      <c r="B3" s="4" t="inlineStr">
        <is>
          <t>4.455%</t>
        </is>
      </c>
      <c r="C3" s="4" t="inlineStr">
        <is>
          <t>US10Y via CNBC, 2026-06-18</t>
        </is>
      </c>
    </row>
    <row r="4">
      <c r="A4" s="4" t="inlineStr">
        <is>
          <t>Equity Risk Premium</t>
        </is>
      </c>
      <c r="B4" s="4" t="inlineStr">
        <is>
          <t>5.00%</t>
        </is>
      </c>
      <c r="C4" s="4" t="inlineStr">
        <is>
          <t>Standard assumption</t>
        </is>
      </c>
    </row>
    <row r="5">
      <c r="A5" s="4" t="inlineStr">
        <is>
          <t>Levered Beta (5Y Monthly)</t>
        </is>
      </c>
      <c r="B5" s="4" t="inlineStr">
        <is>
          <t>0.23</t>
        </is>
      </c>
      <c r="C5" s="4" t="inlineStr">
        <is>
          <t>Yahoo Finance, as of 2026-06-18; very defensive</t>
        </is>
      </c>
    </row>
    <row r="6">
      <c r="A6" s="4" t="inlineStr">
        <is>
          <t>Cost of Equity (CAPM)</t>
        </is>
      </c>
      <c r="B6" s="4" t="inlineStr">
        <is>
          <t>5.60%</t>
        </is>
      </c>
      <c r="C6" s="4">
        <f> 4.455% + 0.23 × 5.00%</f>
        <v/>
      </c>
    </row>
    <row r="7">
      <c r="A7" s="4" t="inlineStr">
        <is>
          <t>Cost of Debt (pre-tax)</t>
        </is>
      </c>
      <c r="B7" s="4" t="inlineStr">
        <is>
          <t>3.20%</t>
        </is>
      </c>
      <c r="C7" s="4" t="inlineStr">
        <is>
          <t>Interest $489M / Total debt $15,297M</t>
        </is>
      </c>
    </row>
    <row r="8">
      <c r="A8" s="4" t="inlineStr">
        <is>
          <t>Tax Rate (Effective)</t>
        </is>
      </c>
      <c r="B8" s="4" t="inlineStr">
        <is>
          <t>18.8%</t>
        </is>
      </c>
      <c r="C8" s="4" t="inlineStr">
        <is>
          <t>Tax prov $50.4M / pre-tax $267.8M (TTM)</t>
        </is>
      </c>
    </row>
    <row r="9">
      <c r="A9" s="4" t="inlineStr">
        <is>
          <t>Market Cap (Equity)</t>
        </is>
      </c>
      <c r="B9" s="4" t="inlineStr">
        <is>
          <t>$6,651M</t>
        </is>
      </c>
      <c r="C9" s="4" t="inlineStr">
        <is>
          <t>$13.45 × ~495M shares; Yahoo = $6.65B</t>
        </is>
      </c>
    </row>
    <row r="10">
      <c r="A10" s="4" t="inlineStr">
        <is>
          <t>Total Debt</t>
        </is>
      </c>
      <c r="B10" s="4" t="inlineStr">
        <is>
          <t>$15,297M</t>
        </is>
      </c>
      <c r="C10" s="4" t="inlineStr">
        <is>
          <t>Yahoo Finance BS, FY26 2/28/26</t>
        </is>
      </c>
    </row>
    <row r="11">
      <c r="A11" s="4" t="inlineStr">
        <is>
          <t>Cash</t>
        </is>
      </c>
      <c r="B11" s="4" t="inlineStr">
        <is>
          <t>$238M</t>
        </is>
      </c>
      <c r="C11" s="4" t="inlineStr">
        <is>
          <t>Yahoo Statistics, MRQ</t>
        </is>
      </c>
    </row>
    <row r="12">
      <c r="A12" s="4" t="inlineStr">
        <is>
          <t>Net Debt</t>
        </is>
      </c>
      <c r="B12" s="4" t="inlineStr">
        <is>
          <t>$8,335M</t>
        </is>
      </c>
      <c r="C12" s="4" t="inlineStr">
        <is>
          <t>Total debt $15,297M − Cash $238M; Yahoo BS</t>
        </is>
      </c>
    </row>
    <row r="13">
      <c r="A13" s="4" t="inlineStr">
        <is>
          <t>Enterprise Value</t>
        </is>
      </c>
      <c r="B13" s="4" t="inlineStr">
        <is>
          <t>$21,750M</t>
        </is>
      </c>
      <c r="C13" s="4" t="inlineStr">
        <is>
          <t>MC $6,651 + Net debt $8,335 + other adj</t>
        </is>
      </c>
    </row>
    <row r="14">
      <c r="A14" s="4" t="inlineStr">
        <is>
          <t>Equity Weight</t>
        </is>
      </c>
      <c r="B14" s="4" t="inlineStr">
        <is>
          <t>30.2%</t>
        </is>
      </c>
      <c r="C14" s="4" t="inlineStr">
        <is>
          <t>$6,651M / ($6,651M + $15,297M)</t>
        </is>
      </c>
    </row>
    <row r="15">
      <c r="A15" s="4" t="inlineStr">
        <is>
          <t>Debt Weight</t>
        </is>
      </c>
      <c r="B15" s="4" t="inlineStr">
        <is>
          <t>69.8%</t>
        </is>
      </c>
      <c r="C15" s="4" t="inlineStr">
        <is>
          <t>$15,297M / ($6,651M + $15,297M)</t>
        </is>
      </c>
    </row>
    <row r="16">
      <c r="A16" s="4" t="inlineStr">
        <is>
          <t>After-Tax Debt Cost</t>
        </is>
      </c>
      <c r="B16" s="4" t="inlineStr">
        <is>
          <t>2.60%</t>
        </is>
      </c>
      <c r="C16" s="4" t="inlineStr">
        <is>
          <t>3.20% × (1 − 0.188)</t>
        </is>
      </c>
    </row>
    <row r="17">
      <c r="A17" s="4" t="inlineStr">
        <is>
          <t>WACC</t>
        </is>
      </c>
      <c r="B17" s="4" t="inlineStr">
        <is>
          <t>3.50%</t>
        </is>
      </c>
      <c r="C17" s="4">
        <f> 0.302 × 5.60% + 0.698 × 2.60%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Scenario Analysis — Albertsons Companies (ACI)</t>
        </is>
      </c>
    </row>
    <row r="2">
      <c r="A2" s="2" t="inlineStr">
        <is>
          <t>Item</t>
        </is>
      </c>
      <c r="B2" s="2" t="inlineStr">
        <is>
          <t>Bear</t>
        </is>
      </c>
      <c r="C2" s="2" t="inlineStr">
        <is>
          <t>Base</t>
        </is>
      </c>
      <c r="D2" s="2" t="inlineStr">
        <is>
          <t>Bull</t>
        </is>
      </c>
    </row>
    <row r="3">
      <c r="A3" s="4" t="inlineStr">
        <is>
          <t>Revenue CAGR (5Y)</t>
        </is>
      </c>
      <c r="B3" s="4" t="inlineStr">
        <is>
          <t>0%</t>
        </is>
      </c>
      <c r="C3" s="4" t="inlineStr">
        <is>
          <t>2.5%</t>
        </is>
      </c>
      <c r="D3" s="4" t="inlineStr">
        <is>
          <t>5%</t>
        </is>
      </c>
    </row>
    <row r="4">
      <c r="A4" s="4" t="inlineStr">
        <is>
          <t>Terminal Revenue (5Y)</t>
        </is>
      </c>
      <c r="B4" s="4" t="inlineStr">
        <is>
          <t>$83.2B</t>
        </is>
      </c>
      <c r="C4" s="4" t="inlineStr">
        <is>
          <t>$94.4B</t>
        </is>
      </c>
      <c r="D4" s="4" t="inlineStr">
        <is>
          <t>$106.5B</t>
        </is>
      </c>
    </row>
    <row r="5">
      <c r="A5" s="4" t="inlineStr">
        <is>
          <t>Adj. FCF Margin</t>
        </is>
      </c>
      <c r="B5" s="4" t="inlineStr">
        <is>
          <t>0.8%</t>
        </is>
      </c>
      <c r="C5" s="4" t="inlineStr">
        <is>
          <t>2.0%</t>
        </is>
      </c>
      <c r="D5" s="4" t="inlineStr">
        <is>
          <t>2.8%</t>
        </is>
      </c>
    </row>
    <row r="6">
      <c r="A6" s="4" t="inlineStr">
        <is>
          <t>Terminal FCF ($M)</t>
        </is>
      </c>
      <c r="B6" s="4" t="inlineStr">
        <is>
          <t>$666</t>
        </is>
      </c>
      <c r="C6" s="4" t="inlineStr">
        <is>
          <t>$1,888</t>
        </is>
      </c>
      <c r="D6" s="4" t="inlineStr">
        <is>
          <t>$2,982</t>
        </is>
      </c>
    </row>
    <row r="7">
      <c r="A7" s="4" t="inlineStr">
        <is>
          <t>Exit FCF Multiple</t>
        </is>
      </c>
      <c r="B7" s="4" t="inlineStr">
        <is>
          <t>8x</t>
        </is>
      </c>
      <c r="C7" s="4" t="inlineStr">
        <is>
          <t>10x</t>
        </is>
      </c>
      <c r="D7" s="4" t="inlineStr">
        <is>
          <t>12x</t>
        </is>
      </c>
    </row>
    <row r="8">
      <c r="A8" s="4" t="inlineStr">
        <is>
          <t>Implied EV ($B)</t>
        </is>
      </c>
      <c r="B8" s="4" t="inlineStr">
        <is>
          <t>$5.3</t>
        </is>
      </c>
      <c r="C8" s="4" t="inlineStr">
        <is>
          <t>$18.9</t>
        </is>
      </c>
      <c r="D8" s="4" t="inlineStr">
        <is>
          <t>$35.8</t>
        </is>
      </c>
    </row>
    <row r="9">
      <c r="A9" s="4" t="inlineStr">
        <is>
          <t>Less: Net Debt ($B)</t>
        </is>
      </c>
      <c r="B9" s="4" t="inlineStr">
        <is>
          <t>-$8.3</t>
        </is>
      </c>
      <c r="C9" s="4" t="inlineStr">
        <is>
          <t>-$8.3</t>
        </is>
      </c>
      <c r="D9" s="4" t="inlineStr">
        <is>
          <t>-$8.3</t>
        </is>
      </c>
    </row>
    <row r="10">
      <c r="A10" s="4" t="inlineStr">
        <is>
          <t>Implied Equity ($B)</t>
        </is>
      </c>
      <c r="B10" s="4" t="inlineStr">
        <is>
          <t>-$3.0</t>
        </is>
      </c>
      <c r="C10" s="4" t="inlineStr">
        <is>
          <t>$10.6</t>
        </is>
      </c>
      <c r="D10" s="4" t="inlineStr">
        <is>
          <t>$27.5</t>
        </is>
      </c>
    </row>
    <row r="11">
      <c r="A11" s="4" t="inlineStr">
        <is>
          <t>Shares (M)</t>
        </is>
      </c>
      <c r="B11" s="4" t="inlineStr">
        <is>
          <t>547</t>
        </is>
      </c>
      <c r="C11" s="4" t="inlineStr">
        <is>
          <t>547</t>
        </is>
      </c>
      <c r="D11" s="4" t="inlineStr">
        <is>
          <t>547</t>
        </is>
      </c>
    </row>
    <row r="12">
      <c r="A12" s="4" t="inlineStr">
        <is>
          <t>Target Price ($)</t>
        </is>
      </c>
      <c r="B12" s="4" t="inlineStr">
        <is>
          <t>$0.00</t>
        </is>
      </c>
      <c r="C12" s="4" t="inlineStr">
        <is>
          <t>$19.40</t>
        </is>
      </c>
      <c r="D12" s="4" t="inlineStr">
        <is>
          <t>$50.30</t>
        </is>
      </c>
    </row>
    <row r="13">
      <c r="A13" s="4" t="inlineStr">
        <is>
          <t>Upside from $13.45</t>
        </is>
      </c>
      <c r="B13" s="4" t="inlineStr">
        <is>
          <t>-100%</t>
        </is>
      </c>
      <c r="C13" s="4" t="inlineStr">
        <is>
          <t>+44%</t>
        </is>
      </c>
      <c r="D13" s="4" t="inlineStr">
        <is>
          <t>+274%</t>
        </is>
      </c>
    </row>
    <row r="14">
      <c r="A14" s="4" t="inlineStr">
        <is>
          <t>Probability Weight</t>
        </is>
      </c>
      <c r="B14" s="4" t="inlineStr">
        <is>
          <t>20%</t>
        </is>
      </c>
      <c r="C14" s="4" t="inlineStr">
        <is>
          <t>50%</t>
        </is>
      </c>
      <c r="D14" s="4" t="inlineStr">
        <is>
          <t>30%</t>
        </is>
      </c>
    </row>
    <row r="15">
      <c r="A15" s="4" t="inlineStr">
        <is>
          <t>Weighted Value/Share ($)</t>
        </is>
      </c>
      <c r="B15" s="4" t="inlineStr">
        <is>
          <t>$0.00</t>
        </is>
      </c>
      <c r="C15" s="4" t="inlineStr">
        <is>
          <t>$9.70</t>
        </is>
      </c>
      <c r="D15" s="4" t="inlineStr">
        <is>
          <t>$15.09</t>
        </is>
      </c>
    </row>
    <row r="16">
      <c r="A16" s="4" t="inlineStr"/>
      <c r="B16" s="4" t="inlineStr"/>
      <c r="C16" s="4" t="inlineStr"/>
      <c r="D16" s="4" t="inlineStr"/>
    </row>
    <row r="17">
      <c r="A17" s="4" t="inlineStr">
        <is>
          <t>PROBABILITY-WEIGHTED FAIR VALUE</t>
        </is>
      </c>
      <c r="B17" s="4" t="inlineStr"/>
      <c r="C17" s="4" t="inlineStr"/>
      <c r="D17" s="4" t="inlineStr">
        <is>
          <t>$24.79</t>
        </is>
      </c>
    </row>
    <row r="18">
      <c r="A18" s="4" t="inlineStr">
        <is>
          <t>IMPLIED UPSIDE FROM $13.45</t>
        </is>
      </c>
      <c r="B18" s="4" t="inlineStr"/>
      <c r="C18" s="4" t="inlineStr"/>
      <c r="D18" s="4" t="inlineStr">
        <is>
          <t>+84%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  <col width="15" customWidth="1" min="4" max="4"/>
    <col width="40" customWidth="1" min="5" max="5"/>
  </cols>
  <sheetData>
    <row r="1">
      <c r="A1" s="1" t="inlineStr">
        <is>
          <t>Actuals Source Audit — Albertsons Companies (ACI)</t>
        </is>
      </c>
    </row>
    <row r="2">
      <c r="A2" s="2" t="inlineStr">
        <is>
          <t>Data Point</t>
        </is>
      </c>
      <c r="B2" s="2" t="inlineStr">
        <is>
          <t>Value</t>
        </is>
      </c>
      <c r="C2" s="2" t="inlineStr">
        <is>
          <t>Source URL</t>
        </is>
      </c>
      <c r="D2" s="2" t="inlineStr">
        <is>
          <t>Date</t>
        </is>
      </c>
      <c r="E2" s="2" t="inlineStr">
        <is>
          <t>Notes</t>
        </is>
      </c>
    </row>
    <row r="3">
      <c r="A3" s="4" t="inlineStr">
        <is>
          <t>Stock Price</t>
        </is>
      </c>
      <c r="B3" s="4" t="inlineStr">
        <is>
          <t>$13.45</t>
        </is>
      </c>
      <c r="C3" s="4" t="inlineStr">
        <is>
          <t>finance.yahoo.com/quote/ACI/</t>
        </is>
      </c>
      <c r="D3" s="4" t="inlineStr">
        <is>
          <t>2026-06-18</t>
        </is>
      </c>
      <c r="E3" s="4" t="inlineStr">
        <is>
          <t>Close price</t>
        </is>
      </c>
    </row>
    <row r="4">
      <c r="A4" s="4" t="inlineStr">
        <is>
          <t>After Hours Price</t>
        </is>
      </c>
      <c r="B4" s="4" t="inlineStr">
        <is>
          <t>$13.50</t>
        </is>
      </c>
      <c r="C4" s="4" t="inlineStr">
        <is>
          <t>finance.yahoo.com/quote/ACI/</t>
        </is>
      </c>
      <c r="D4" s="4" t="inlineStr">
        <is>
          <t>2026-06-18</t>
        </is>
      </c>
      <c r="E4" s="4" t="inlineStr">
        <is>
          <t>+0.39%</t>
        </is>
      </c>
    </row>
    <row r="5">
      <c r="A5" s="4" t="inlineStr">
        <is>
          <t>Market Cap</t>
        </is>
      </c>
      <c r="B5" s="4" t="inlineStr">
        <is>
          <t>$6.65B</t>
        </is>
      </c>
      <c r="C5" s="4" t="inlineStr">
        <is>
          <t>Yahoo Finance Statistics</t>
        </is>
      </c>
      <c r="D5" s="4" t="inlineStr">
        <is>
          <t>2026-06-18</t>
        </is>
      </c>
      <c r="E5" s="4" t="inlineStr">
        <is>
          <t>Intraday</t>
        </is>
      </c>
    </row>
    <row r="6">
      <c r="A6" s="4" t="inlineStr">
        <is>
          <t>Enterprise Value</t>
        </is>
      </c>
      <c r="B6" s="4" t="inlineStr">
        <is>
          <t>$21.75B</t>
        </is>
      </c>
      <c r="C6" s="4" t="inlineStr">
        <is>
          <t>Yahoo Finance Statistics</t>
        </is>
      </c>
      <c r="D6" s="4" t="inlineStr">
        <is>
          <t>2026-06-18</t>
        </is>
      </c>
      <c r="E6" s="4" t="inlineStr"/>
    </row>
    <row r="7">
      <c r="A7" s="4" t="inlineStr">
        <is>
          <t>Beta (5Y Monthly)</t>
        </is>
      </c>
      <c r="B7" s="4" t="inlineStr">
        <is>
          <t>0.23</t>
        </is>
      </c>
      <c r="C7" s="4" t="inlineStr">
        <is>
          <t>Yahoo Finance Statistics</t>
        </is>
      </c>
      <c r="D7" s="4" t="inlineStr">
        <is>
          <t>2026-06-18</t>
        </is>
      </c>
      <c r="E7" s="4" t="inlineStr">
        <is>
          <t>Very defensive</t>
        </is>
      </c>
    </row>
    <row r="8">
      <c r="A8" s="4" t="inlineStr">
        <is>
          <t>52W Volume</t>
        </is>
      </c>
      <c r="B8" s="4" t="inlineStr">
        <is>
          <t>6,992,391</t>
        </is>
      </c>
      <c r="C8" s="4" t="inlineStr">
        <is>
          <t>Yahoo Finance</t>
        </is>
      </c>
      <c r="D8" s="4" t="inlineStr">
        <is>
          <t>2026-06-18</t>
        </is>
      </c>
      <c r="E8" s="4" t="inlineStr"/>
    </row>
    <row r="9">
      <c r="A9" s="4" t="inlineStr">
        <is>
          <t>1Y Target Est</t>
        </is>
      </c>
      <c r="B9" s="4" t="inlineStr">
        <is>
          <t>$20.94</t>
        </is>
      </c>
      <c r="C9" s="4" t="inlineStr">
        <is>
          <t>Yahoo Finance Analysis</t>
        </is>
      </c>
      <c r="D9" s="4" t="inlineStr">
        <is>
          <t>2026-06-18</t>
        </is>
      </c>
      <c r="E9" s="4" t="inlineStr">
        <is>
          <t>Low $14, High $26</t>
        </is>
      </c>
    </row>
    <row r="10">
      <c r="A10" s="4" t="inlineStr">
        <is>
          <t>Avg Volume</t>
        </is>
      </c>
      <c r="B10" s="4" t="inlineStr">
        <is>
          <t>6,992K</t>
        </is>
      </c>
      <c r="C10" s="4" t="inlineStr">
        <is>
          <t>Yahoo Finance</t>
        </is>
      </c>
      <c r="D10" s="4" t="inlineStr">
        <is>
          <t>2026-06-18</t>
        </is>
      </c>
      <c r="E10" s="4" t="inlineStr"/>
    </row>
    <row r="11">
      <c r="A11" s="4" t="inlineStr">
        <is>
          <t>52W Range</t>
        </is>
      </c>
      <c r="B11" s="4" t="inlineStr">
        <is>
          <t>$13.41 - $22.78</t>
        </is>
      </c>
      <c r="C11" s="4" t="inlineStr">
        <is>
          <t>Yahoo Finance</t>
        </is>
      </c>
      <c r="D11" s="4" t="inlineStr">
        <is>
          <t>2026-06-18</t>
        </is>
      </c>
      <c r="E11" s="4" t="inlineStr">
        <is>
          <t>Near 52W low</t>
        </is>
      </c>
    </row>
    <row r="12">
      <c r="A12" s="4" t="inlineStr">
        <is>
          <t>Total Revenue TTM</t>
        </is>
      </c>
      <c r="B12" s="4" t="inlineStr">
        <is>
          <t>$83,173M</t>
        </is>
      </c>
      <c r="C12" s="4" t="inlineStr">
        <is>
          <t>Yahoo Finance Financials</t>
        </is>
      </c>
      <c r="D12" s="4" t="inlineStr">
        <is>
          <t>2026-06-18</t>
        </is>
      </c>
      <c r="E12" s="4" t="inlineStr">
        <is>
          <t>All numbers in thousands</t>
        </is>
      </c>
    </row>
    <row r="13">
      <c r="A13" s="4" t="inlineStr">
        <is>
          <t>Gross Profit TTM</t>
        </is>
      </c>
      <c r="B13" s="4" t="inlineStr">
        <is>
          <t>$22,607M</t>
        </is>
      </c>
      <c r="C13" s="4" t="inlineStr">
        <is>
          <t>Yahoo Finance Financials</t>
        </is>
      </c>
      <c r="D13" s="4" t="inlineStr">
        <is>
          <t>2026-06-18</t>
        </is>
      </c>
      <c r="E13" s="4" t="inlineStr"/>
    </row>
    <row r="14">
      <c r="A14" s="4" t="inlineStr">
        <is>
          <t>Operating Income TTM</t>
        </is>
      </c>
      <c r="B14" s="4" t="inlineStr">
        <is>
          <t>$715M</t>
        </is>
      </c>
      <c r="C14" s="4" t="inlineStr">
        <is>
          <t>Yahoo Finance Financials</t>
        </is>
      </c>
      <c r="D14" s="4" t="inlineStr">
        <is>
          <t>2026-06-18</t>
        </is>
      </c>
      <c r="E14" s="4" t="inlineStr">
        <is>
          <t>Margin collapsed to 0.86%</t>
        </is>
      </c>
    </row>
    <row r="15">
      <c r="A15" s="4" t="inlineStr">
        <is>
          <t>Net Income TTM</t>
        </is>
      </c>
      <c r="B15" s="4" t="inlineStr">
        <is>
          <t>$217M</t>
        </is>
      </c>
      <c r="C15" s="4" t="inlineStr">
        <is>
          <t>Yahoo Finance Financials</t>
        </is>
      </c>
      <c r="D15" s="4" t="inlineStr">
        <is>
          <t>2026-06-18</t>
        </is>
      </c>
      <c r="E15" s="4" t="inlineStr"/>
    </row>
    <row r="16">
      <c r="A16" s="4" t="inlineStr">
        <is>
          <t>EPS Diluted TTM</t>
        </is>
      </c>
      <c r="B16" s="4" t="inlineStr">
        <is>
          <t>$0.40</t>
        </is>
      </c>
      <c r="C16" s="4" t="inlineStr">
        <is>
          <t>Yahoo Finance Financials</t>
        </is>
      </c>
      <c r="D16" s="4" t="inlineStr">
        <is>
          <t>2026-06-18</t>
        </is>
      </c>
      <c r="E16" s="4" t="inlineStr"/>
    </row>
    <row r="17">
      <c r="A17" s="4" t="inlineStr">
        <is>
          <t>EBITDA TTM</t>
        </is>
      </c>
      <c r="B17" s="4" t="inlineStr">
        <is>
          <t>$3,398M</t>
        </is>
      </c>
      <c r="C17" s="4" t="inlineStr">
        <is>
          <t>Yahoo Finance Financials</t>
        </is>
      </c>
      <c r="D17" s="4" t="inlineStr">
        <is>
          <t>2026-06-18</t>
        </is>
      </c>
      <c r="E17" s="4" t="inlineStr"/>
    </row>
    <row r="18">
      <c r="A18" s="4" t="inlineStr">
        <is>
          <t>Total Assets</t>
        </is>
      </c>
      <c r="B18" s="4" t="inlineStr">
        <is>
          <t>$26,766M</t>
        </is>
      </c>
      <c r="C18" s="4" t="inlineStr">
        <is>
          <t>Yahoo Finance Balance Sheet</t>
        </is>
      </c>
      <c r="D18" s="4" t="inlineStr">
        <is>
          <t>2026-02-28</t>
        </is>
      </c>
      <c r="E18" s="4" t="inlineStr">
        <is>
          <t>FY26 annual</t>
        </is>
      </c>
    </row>
    <row r="19">
      <c r="A19" s="4" t="inlineStr">
        <is>
          <t>Total Debt</t>
        </is>
      </c>
      <c r="B19" s="4" t="inlineStr">
        <is>
          <t>$15,297M</t>
        </is>
      </c>
      <c r="C19" s="4" t="inlineStr">
        <is>
          <t>Yahoo Finance Balance Sheet</t>
        </is>
      </c>
      <c r="D19" s="4" t="inlineStr">
        <is>
          <t>2026-02-28</t>
        </is>
      </c>
      <c r="E19" s="4" t="inlineStr"/>
    </row>
    <row r="20">
      <c r="A20" s="4" t="inlineStr">
        <is>
          <t>Total Cash</t>
        </is>
      </c>
      <c r="B20" s="4" t="inlineStr">
        <is>
          <t>$238M</t>
        </is>
      </c>
      <c r="C20" s="4" t="inlineStr">
        <is>
          <t>Yahoo Finance Statistics</t>
        </is>
      </c>
      <c r="D20" s="4" t="inlineStr">
        <is>
          <t>2026-06-18</t>
        </is>
      </c>
      <c r="E20" s="4" t="inlineStr">
        <is>
          <t>MRQ</t>
        </is>
      </c>
    </row>
    <row r="21">
      <c r="A21" s="4" t="inlineStr">
        <is>
          <t>Net Debt</t>
        </is>
      </c>
      <c r="B21" s="4" t="inlineStr">
        <is>
          <t>$8,335M</t>
        </is>
      </c>
      <c r="C21" s="4" t="inlineStr">
        <is>
          <t>Yahoo Finance Balance Sheet</t>
        </is>
      </c>
      <c r="D21" s="4" t="inlineStr">
        <is>
          <t>2026-02-28</t>
        </is>
      </c>
      <c r="E21" s="4" t="inlineStr"/>
    </row>
    <row r="22">
      <c r="A22" s="4" t="inlineStr">
        <is>
          <t>Operating Cash Flow</t>
        </is>
      </c>
      <c r="B22" s="4" t="inlineStr">
        <is>
          <t>$2,367M</t>
        </is>
      </c>
      <c r="C22" s="4" t="inlineStr">
        <is>
          <t>Yahoo Finance Cash Flow</t>
        </is>
      </c>
      <c r="D22" s="4" t="inlineStr">
        <is>
          <t>2026-06-18</t>
        </is>
      </c>
      <c r="E22" s="4" t="inlineStr">
        <is>
          <t>TTM</t>
        </is>
      </c>
    </row>
    <row r="23">
      <c r="A23" s="4" t="inlineStr">
        <is>
          <t>Levered FCF</t>
        </is>
      </c>
      <c r="B23" s="4" t="inlineStr">
        <is>
          <t>$1,530M</t>
        </is>
      </c>
      <c r="C23" s="4" t="inlineStr">
        <is>
          <t>Yahoo Finance Statistics</t>
        </is>
      </c>
      <c r="D23" s="4" t="inlineStr">
        <is>
          <t>2026-06-18</t>
        </is>
      </c>
      <c r="E23" s="4" t="inlineStr">
        <is>
          <t>TTM</t>
        </is>
      </c>
    </row>
    <row r="24">
      <c r="A24" s="4" t="inlineStr">
        <is>
          <t>P/E TTM</t>
        </is>
      </c>
      <c r="B24" s="4" t="inlineStr">
        <is>
          <t>33.62x</t>
        </is>
      </c>
      <c r="C24" s="4" t="inlineStr">
        <is>
          <t>Yahoo Finance Statistics</t>
        </is>
      </c>
      <c r="D24" s="4" t="inlineStr">
        <is>
          <t>2026-06-18</t>
        </is>
      </c>
      <c r="E24" s="4" t="inlineStr"/>
    </row>
    <row r="25">
      <c r="A25" s="4" t="inlineStr">
        <is>
          <t>Forward P/E</t>
        </is>
      </c>
      <c r="B25" s="4" t="inlineStr">
        <is>
          <t>5.92x</t>
        </is>
      </c>
      <c r="C25" s="4" t="inlineStr">
        <is>
          <t>Yahoo Finance Statistics</t>
        </is>
      </c>
      <c r="D25" s="4" t="inlineStr">
        <is>
          <t>2026-06-18</t>
        </is>
      </c>
      <c r="E25" s="4" t="inlineStr"/>
    </row>
    <row r="26">
      <c r="A26" s="4" t="inlineStr">
        <is>
          <t>Price/Sales</t>
        </is>
      </c>
      <c r="B26" s="4" t="inlineStr">
        <is>
          <t>0.09x</t>
        </is>
      </c>
      <c r="C26" s="4" t="inlineStr">
        <is>
          <t>Yahoo Finance Statistics</t>
        </is>
      </c>
      <c r="D26" s="4" t="inlineStr">
        <is>
          <t>2026-06-18</t>
        </is>
      </c>
      <c r="E26" s="4" t="inlineStr"/>
    </row>
    <row r="27">
      <c r="A27" s="4" t="inlineStr">
        <is>
          <t>EV/EBITDA</t>
        </is>
      </c>
      <c r="B27" s="4" t="inlineStr">
        <is>
          <t>6.40x</t>
        </is>
      </c>
      <c r="C27" s="4" t="inlineStr">
        <is>
          <t>Yahoo Finance Statistics</t>
        </is>
      </c>
      <c r="D27" s="4" t="inlineStr">
        <is>
          <t>2026-06-18</t>
        </is>
      </c>
      <c r="E27" s="4" t="inlineStr"/>
    </row>
    <row r="28">
      <c r="A28" s="4" t="inlineStr">
        <is>
          <t>Dividend Yield</t>
        </is>
      </c>
      <c r="B28" s="4" t="inlineStr">
        <is>
          <t>5.06%</t>
        </is>
      </c>
      <c r="C28" s="4" t="inlineStr">
        <is>
          <t>Yahoo Finance</t>
        </is>
      </c>
      <c r="D28" s="4" t="inlineStr">
        <is>
          <t>2026-06-18</t>
        </is>
      </c>
      <c r="E28" s="4" t="inlineStr">
        <is>
          <t>$0.68/share</t>
        </is>
      </c>
    </row>
    <row r="29">
      <c r="A29" s="4" t="inlineStr">
        <is>
          <t>Debt/Equity</t>
        </is>
      </c>
      <c r="B29" s="4" t="inlineStr">
        <is>
          <t>833%</t>
        </is>
      </c>
      <c r="C29" s="4" t="inlineStr">
        <is>
          <t>Yahoo Finance Statistics</t>
        </is>
      </c>
      <c r="D29" s="4" t="inlineStr">
        <is>
          <t>2026-06-18</t>
        </is>
      </c>
      <c r="E29" s="4" t="inlineStr">
        <is>
          <t>MRQ; extremely levered</t>
        </is>
      </c>
    </row>
    <row r="30">
      <c r="A30" s="4" t="inlineStr">
        <is>
          <t>Shares Diluted</t>
        </is>
      </c>
      <c r="B30" s="4" t="inlineStr">
        <is>
          <t>547.2M</t>
        </is>
      </c>
      <c r="C30" s="4" t="inlineStr">
        <is>
          <t>Yahoo Finance Financials</t>
        </is>
      </c>
      <c r="D30" s="4" t="inlineStr">
        <is>
          <t>2026-06-18</t>
        </is>
      </c>
      <c r="E30" s="4" t="inlineStr">
        <is>
          <t>TTM avg</t>
        </is>
      </c>
    </row>
    <row r="31">
      <c r="A31" s="4" t="inlineStr">
        <is>
          <t>Interest Expense TTM</t>
        </is>
      </c>
      <c r="B31" s="4" t="inlineStr">
        <is>
          <t>$489M</t>
        </is>
      </c>
      <c r="C31" s="4" t="inlineStr">
        <is>
          <t>Yahoo Finance Financials</t>
        </is>
      </c>
      <c r="D31" s="4" t="inlineStr">
        <is>
          <t>2026-06-18</t>
        </is>
      </c>
      <c r="E31" s="4" t="inlineStr"/>
    </row>
    <row r="32">
      <c r="A32" s="4" t="inlineStr">
        <is>
          <t>Employees</t>
        </is>
      </c>
      <c r="B32" s="4" t="inlineStr">
        <is>
          <t>106,400</t>
        </is>
      </c>
      <c r="C32" s="4" t="inlineStr">
        <is>
          <t>Yahoo Finance Profile</t>
        </is>
      </c>
      <c r="D32" s="4" t="inlineStr">
        <is>
          <t>2026-06-18</t>
        </is>
      </c>
      <c r="E32" s="4" t="inlineStr"/>
    </row>
    <row r="33">
      <c r="A33" s="4" t="inlineStr">
        <is>
          <t>Q4 FY26 EPS</t>
        </is>
      </c>
      <c r="B33" s="4" t="inlineStr">
        <is>
          <t>$0.48 vs $0.44 est</t>
        </is>
      </c>
      <c r="C33" s="4" t="inlineStr">
        <is>
          <t>Yahoo Finance Analysis</t>
        </is>
      </c>
      <c r="D33" s="4" t="inlineStr">
        <is>
          <t>2026-04</t>
        </is>
      </c>
      <c r="E33" s="4" t="inlineStr">
        <is>
          <t>Beat</t>
        </is>
      </c>
    </row>
    <row r="34">
      <c r="A34" s="4" t="inlineStr">
        <is>
          <t>Q4 FY26 Revenue</t>
        </is>
      </c>
      <c r="B34" s="4" t="inlineStr">
        <is>
          <t>$20.25B</t>
        </is>
      </c>
      <c r="C34" s="4" t="inlineStr">
        <is>
          <t>Yahoo Finance Analysis</t>
        </is>
      </c>
      <c r="D34" s="4" t="inlineStr">
        <is>
          <t>2026-04</t>
        </is>
      </c>
      <c r="E34" s="4" t="inlineStr"/>
    </row>
    <row r="35">
      <c r="A35" s="4" t="inlineStr">
        <is>
          <t>10Y Treasury Rate</t>
        </is>
      </c>
      <c r="B35" s="4" t="inlineStr">
        <is>
          <t>4.455%</t>
        </is>
      </c>
      <c r="C35" s="4" t="inlineStr">
        <is>
          <t>CNBC US10Y</t>
        </is>
      </c>
      <c r="D35" s="4" t="inlineStr">
        <is>
          <t>2026-06-18</t>
        </is>
      </c>
      <c r="E35" s="4" t="inlineStr">
        <is>
          <t>For WACC Rf</t>
        </is>
      </c>
    </row>
    <row r="36">
      <c r="A36" s="4" t="inlineStr">
        <is>
          <t>EBIT TTM</t>
        </is>
      </c>
      <c r="B36" s="4" t="inlineStr">
        <is>
          <t>$757M</t>
        </is>
      </c>
      <c r="C36" s="4" t="inlineStr">
        <is>
          <t>Yahoo Finance Financials</t>
        </is>
      </c>
      <c r="D36" s="4" t="inlineStr">
        <is>
          <t>2026-06-18</t>
        </is>
      </c>
      <c r="E36" s="4" t="inlineStr"/>
    </row>
    <row r="37">
      <c r="A37" s="4" t="inlineStr">
        <is>
          <t>Depreciation TTM</t>
        </is>
      </c>
      <c r="B37" s="4" t="inlineStr">
        <is>
          <t>$2,641M</t>
        </is>
      </c>
      <c r="C37" s="4" t="inlineStr">
        <is>
          <t>Yahoo Finance Financials</t>
        </is>
      </c>
      <c r="D37" s="4" t="inlineStr">
        <is>
          <t>2026-06-18</t>
        </is>
      </c>
      <c r="E37" s="4" t="inlineStr"/>
    </row>
    <row r="38">
      <c r="A38" s="4" t="inlineStr">
        <is>
          <t>Tax Provision TTM</t>
        </is>
      </c>
      <c r="B38" s="4" t="inlineStr">
        <is>
          <t>$50M</t>
        </is>
      </c>
      <c r="C38" s="4" t="inlineStr">
        <is>
          <t>Yahoo Finance Financials</t>
        </is>
      </c>
      <c r="D38" s="4" t="inlineStr">
        <is>
          <t>2026-06-18</t>
        </is>
      </c>
      <c r="E38" s="4" t="inlineStr">
        <is>
          <t>Effective rate 18.8%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50" customWidth="1" min="3" max="3"/>
    <col width="12" customWidth="1" min="4" max="4"/>
  </cols>
  <sheetData>
    <row r="1">
      <c r="A1" s="1" t="inlineStr">
        <is>
          <t>Open Questions — Albertsons Companies (ACI)</t>
        </is>
      </c>
    </row>
    <row r="2">
      <c r="A2" s="2" t="inlineStr">
        <is>
          <t>#</t>
        </is>
      </c>
      <c r="B2" s="2" t="inlineStr">
        <is>
          <t>Question</t>
        </is>
      </c>
      <c r="C2" s="2" t="inlineStr">
        <is>
          <t>Implication</t>
        </is>
      </c>
      <c r="D2" s="2" t="inlineStr">
        <is>
          <t>Priority</t>
        </is>
      </c>
    </row>
    <row r="3">
      <c r="A3" s="4" t="inlineStr">
        <is>
          <t>1</t>
        </is>
      </c>
      <c r="B3" s="4" t="inlineStr">
        <is>
          <t>Why has operating income collapsed from $2,160M (FY23) to $715M (TTM)?</t>
        </is>
      </c>
      <c r="C3" s="4" t="inlineStr">
        <is>
          <t>Margins have deteriorated from 2.8% to 0.9%. Wage inflation, integration costs, or competitive pressure?</t>
        </is>
      </c>
      <c r="D3" s="4" t="inlineStr">
        <is>
          <t>HIGH</t>
        </is>
      </c>
    </row>
    <row r="4">
      <c r="A4" s="4" t="inlineStr">
        <is>
          <t>2</t>
        </is>
      </c>
      <c r="B4" s="4" t="inlineStr">
        <is>
          <t>Is the $15.3B in total debt sustainable? Can the company refinance at reasonable rates?</t>
        </is>
      </c>
      <c r="C4" s="4" t="inlineStr">
        <is>
          <t>Interest burden is $489M/year — already consuming 68% of operating income.</t>
        </is>
      </c>
      <c r="D4" s="4" t="inlineStr">
        <is>
          <t>HIGH</t>
        </is>
      </c>
    </row>
    <row r="5">
      <c r="A5" s="4" t="inlineStr">
        <is>
          <t>3</t>
        </is>
      </c>
      <c r="B5" s="4" t="inlineStr">
        <is>
          <t>Why is the P/E 33.6x on TTM basis but 5.9x forward? What has changed?</t>
        </is>
      </c>
      <c r="C5" s="4" t="inlineStr">
        <is>
          <t>If earnings genuinely recovering, this could be a bargain. If TTM is the new normal, the forward multiple is wrong.</t>
        </is>
      </c>
      <c r="D5" s="4" t="inlineStr">
        <is>
          <t>HIGH</t>
        </is>
      </c>
    </row>
    <row r="6">
      <c r="A6" s="4" t="inlineStr">
        <is>
          <t>4</t>
        </is>
      </c>
      <c r="B6" s="4" t="inlineStr">
        <is>
          <t>What is driving the negative net tangible book value (-$1,521M)?</t>
        </is>
      </c>
      <c r="C6" s="4" t="inlineStr">
        <is>
          <t>Goodwill/amortization from M&amp;A. Standard for grocery chains but worth monitoring.</t>
        </is>
      </c>
      <c r="D6" s="4" t="inlineStr">
        <is>
          <t>MEDIUM</t>
        </is>
      </c>
    </row>
    <row r="7">
      <c r="A7" s="4" t="inlineStr">
        <is>
          <t>5</t>
        </is>
      </c>
      <c r="B7" s="4" t="inlineStr">
        <is>
          <t>How do the 101.2M treasury shares impact share count trajectory?</t>
        </is>
      </c>
      <c r="C7" s="4" t="inlineStr">
        <is>
          <t>Company has significant treasury stock — could be recycled for issuance or supports buybacks.</t>
        </is>
      </c>
      <c r="D7" s="4" t="inlineStr">
        <is>
          <t>MEDIUM</t>
        </is>
      </c>
    </row>
    <row r="8">
      <c r="A8" s="4" t="inlineStr">
        <is>
          <t>6</t>
        </is>
      </c>
      <c r="B8" s="4" t="inlineStr">
        <is>
          <t>Working capital is deeply negative (-$1,108M). Is this structural or cyclical?</t>
        </is>
      </c>
      <c r="C8" s="4" t="inlineStr">
        <is>
          <t>Grocery retailers typically run negative WC. This is normal for the business model.</t>
        </is>
      </c>
      <c r="D8" s="4" t="inlineStr">
        <is>
          <t>LOW</t>
        </is>
      </c>
    </row>
    <row r="9">
      <c r="A9" s="4" t="inlineStr">
        <is>
          <t>7</t>
        </is>
      </c>
      <c r="B9" s="4" t="inlineStr">
        <is>
          <t>Dividend coverage: $0.68/share dividend vs $0.40 EPS implies payout &gt;100%.</t>
        </is>
      </c>
      <c r="C9" s="4" t="inlineStr">
        <is>
          <t>Dividend at risk if earnings dont recover. Could be cut in bear case.</t>
        </is>
      </c>
      <c r="D9" s="4" t="inlineStr">
        <is>
          <t>HIGH</t>
        </is>
      </c>
    </row>
    <row r="10">
      <c r="A10" s="4" t="inlineStr">
        <is>
          <t>8</t>
        </is>
      </c>
      <c r="B10" s="4" t="inlineStr">
        <is>
          <t>Free cash flow: Yahoo stats show $1.53B levered FCF. How is this reconciled with OCF-Capex?</t>
        </is>
      </c>
      <c r="C10" s="4" t="inlineStr">
        <is>
          <t>May include non-cash items or working capital swings. Needs verification via CF statement.</t>
        </is>
      </c>
      <c r="D10" s="4" t="inlineStr">
        <is>
          <t>MEDIUM</t>
        </is>
      </c>
    </row>
    <row r="11">
      <c r="A11" s="4" t="inlineStr">
        <is>
          <t>9</t>
        </is>
      </c>
      <c r="B11" s="4" t="inlineStr">
        <is>
          <t>What is the competitive impact of Amazon Fresh, Walmart, and Instacart on basket share?</t>
        </is>
      </c>
      <c r="C11" s="4" t="inlineStr">
        <is>
          <t>Structural headwind but grocery has proven resilient to disintermediation.</t>
        </is>
      </c>
      <c r="D11" s="4" t="inlineStr">
        <is>
          <t>MEDIUM</t>
        </is>
      </c>
    </row>
    <row r="12">
      <c r="A12" s="4" t="inlineStr">
        <is>
          <t>10</t>
        </is>
      </c>
      <c r="B12" s="4" t="inlineStr">
        <is>
          <t>Albertsons Media Collective / retail media network: revenue contribution and margin?</t>
        </is>
      </c>
      <c r="C12" s="4" t="inlineStr">
        <is>
          <t>RMRNs are new margin expansion drivers. Could meaningfully improve unit economics over next 2-3 years.</t>
        </is>
      </c>
      <c r="D12" s="4" t="inlineStr">
        <is>
          <t>MEDIUM</t>
        </is>
      </c>
    </row>
    <row r="13">
      <c r="A13" s="4" t="inlineStr">
        <is>
          <t>11</t>
        </is>
      </c>
      <c r="B13" s="4" t="inlineStr">
        <is>
          <t>Regulatory risk: FTC scrutiny of grocery consolidation?</t>
        </is>
      </c>
      <c r="C13" s="4" t="inlineStr">
        <is>
          <t>Any future M&amp;A faces near-impossible regulatory hurdles in current environment.</t>
        </is>
      </c>
      <c r="D13" s="4" t="inlineStr">
        <is>
          <t>MEDIUM</t>
        </is>
      </c>
    </row>
    <row r="14">
      <c r="A14" s="4" t="inlineStr">
        <is>
          <t>12</t>
        </is>
      </c>
      <c r="B14" s="4" t="inlineStr">
        <is>
          <t>What is the impact of wage inflation in a 106K-employee company on gross margin?</t>
        </is>
      </c>
      <c r="C14" s="4" t="inlineStr">
        <is>
          <t>Labor is already ~60%+ of COGS. Each 1% wage increase directly compresses thin margins.</t>
        </is>
      </c>
      <c r="D14" s="4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60" customWidth="1" min="3" max="3"/>
  </cols>
  <sheetData>
    <row r="1">
      <c r="A1" s="1" t="inlineStr">
        <is>
          <t>Data Sources — Albertsons Companies (ACI)</t>
        </is>
      </c>
    </row>
    <row r="2">
      <c r="A2" s="2" t="inlineStr">
        <is>
          <t>#</t>
        </is>
      </c>
      <c r="B2" s="2" t="inlineStr">
        <is>
          <t>Source</t>
        </is>
      </c>
      <c r="C2" s="2" t="inlineStr">
        <is>
          <t>URL / Reference</t>
        </is>
      </c>
    </row>
    <row r="3">
      <c r="A3" s="4" t="inlineStr">
        <is>
          <t>1</t>
        </is>
      </c>
      <c r="B3" s="4" t="inlineStr">
        <is>
          <t>Yahoo Finance Quote</t>
        </is>
      </c>
      <c r="C3" s="4" t="inlineStr">
        <is>
          <t>finance.yahoo.com/quote/ACI/</t>
        </is>
      </c>
    </row>
    <row r="4">
      <c r="A4" s="4" t="inlineStr">
        <is>
          <t>2</t>
        </is>
      </c>
      <c r="B4" s="4" t="inlineStr">
        <is>
          <t>Yahoo Finance Financials (Income)</t>
        </is>
      </c>
      <c r="C4" s="4" t="inlineStr">
        <is>
          <t>finance.yahoo.com/quote/ACI/financials/</t>
        </is>
      </c>
    </row>
    <row r="5">
      <c r="A5" s="4" t="inlineStr">
        <is>
          <t>3</t>
        </is>
      </c>
      <c r="B5" s="4" t="inlineStr">
        <is>
          <t>Yahoo Finance Balance Sheet</t>
        </is>
      </c>
      <c r="C5" s="4" t="inlineStr">
        <is>
          <t>finance.yahoo.com/quote/ACI/balance-sheet/</t>
        </is>
      </c>
    </row>
    <row r="6">
      <c r="A6" s="4" t="inlineStr">
        <is>
          <t>4</t>
        </is>
      </c>
      <c r="B6" s="4" t="inlineStr">
        <is>
          <t>Yahoo Finance Cash Flow</t>
        </is>
      </c>
      <c r="C6" s="4" t="inlineStr">
        <is>
          <t>finance.yahoo.com/quote/ACI/cash-flow/</t>
        </is>
      </c>
    </row>
    <row r="7">
      <c r="A7" s="4" t="inlineStr">
        <is>
          <t>5</t>
        </is>
      </c>
      <c r="B7" s="4" t="inlineStr">
        <is>
          <t>Yahoo Finance Analysis/Estimates</t>
        </is>
      </c>
      <c r="C7" s="4" t="inlineStr">
        <is>
          <t>finance.yahoo.com/quote/ACI/analysis/</t>
        </is>
      </c>
    </row>
    <row r="8">
      <c r="A8" s="4" t="inlineStr">
        <is>
          <t>6</t>
        </is>
      </c>
      <c r="B8" s="4" t="inlineStr">
        <is>
          <t>Yahoo Finance Statistics</t>
        </is>
      </c>
      <c r="C8" s="4" t="inlineStr">
        <is>
          <t>finance.yahoo.com/quote/ACI/statistics/</t>
        </is>
      </c>
    </row>
    <row r="9">
      <c r="A9" s="4" t="inlineStr">
        <is>
          <t>7</t>
        </is>
      </c>
      <c r="B9" s="4" t="inlineStr">
        <is>
          <t>Yahoo Finance Profile</t>
        </is>
      </c>
      <c r="C9" s="4" t="inlineStr">
        <is>
          <t>finance.yahoo.com/quote/ACI/profile/</t>
        </is>
      </c>
    </row>
    <row r="10">
      <c r="A10" s="4" t="inlineStr">
        <is>
          <t>8</t>
        </is>
      </c>
      <c r="B10" s="4" t="inlineStr">
        <is>
          <t>CNBC US10Y Treasury</t>
        </is>
      </c>
      <c r="C10" s="4" t="inlineStr">
        <is>
          <t>cnbc.com/quotes/US10Y</t>
        </is>
      </c>
    </row>
    <row r="11">
      <c r="A11" s="4" t="inlineStr">
        <is>
          <t>9</t>
        </is>
      </c>
      <c r="B11" s="4" t="inlineStr">
        <is>
          <t>StockAnalysis.com</t>
        </is>
      </c>
      <c r="C11" s="4" t="inlineStr">
        <is>
          <t>stockanalysis.com/quote/ACI/ (404 — not available)</t>
        </is>
      </c>
    </row>
    <row r="12">
      <c r="A12" s="4" t="inlineStr">
        <is>
          <t>10</t>
        </is>
      </c>
      <c r="B12" s="4" t="inlineStr">
        <is>
          <t>SEC EDGAR</t>
        </is>
      </c>
      <c r="C12" s="4" t="inlineStr">
        <is>
          <t>sec.gov/cgi-bin/EDGAR/browse/company?CIK=0001961749</t>
        </is>
      </c>
    </row>
    <row r="13">
      <c r="A13" s="4" t="inlineStr">
        <is>
          <t>11</t>
        </is>
      </c>
      <c r="B13" s="4" t="inlineStr">
        <is>
          <t>Yahoo Finance Company Description</t>
        </is>
      </c>
      <c r="C13" s="4" t="inlineStr">
        <is>
          <t>NYSE: Grocery Stores / Consumer Defensive</t>
        </is>
      </c>
    </row>
    <row r="14">
      <c r="A14" s="4" t="inlineStr">
        <is>
          <t>12</t>
        </is>
      </c>
      <c r="B14" s="4" t="inlineStr">
        <is>
          <t>Yahoo Finance Research — Argus</t>
        </is>
      </c>
      <c r="C14" s="4" t="inlineStr">
        <is>
          <t>SELL rating, $14 PT, low management and financial strength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2026-06-21T19:47:09Z</dcterms:created>
  <dcterms:modified xsi:type="dcterms:W3CDTF">2026-06-21T19:47:09Z</dcterms:modified>
</cp:coreProperties>
</file>