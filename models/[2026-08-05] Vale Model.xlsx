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&quot;B&quot;"/>
    <numFmt numFmtId="166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color rgb="00FF000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2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2" fillId="0" borderId="1" pivotButton="0" quotePrefix="0" xfId="0"/>
    <xf numFmtId="166" fontId="2" fillId="0" borderId="1" pivotButton="0" quotePrefix="0" xfId="0"/>
    <xf numFmtId="0" fontId="2" fillId="0" borderId="0" pivotButton="0" quotePrefix="0" xfId="0"/>
    <xf numFmtId="10" fontId="2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 — 2026-08-05 Valuation Model</t>
        </is>
      </c>
    </row>
    <row r="2">
      <c r="A2" s="2" t="inlineStr">
        <is>
          <t>Company</t>
        </is>
      </c>
      <c r="B2" s="3" t="inlineStr">
        <is>
          <t>Vale S.A.</t>
        </is>
      </c>
    </row>
    <row r="3">
      <c r="A3" s="2" t="inlineStr">
        <is>
          <t>Ticker</t>
        </is>
      </c>
      <c r="B3" s="3" t="inlineStr">
        <is>
          <t>NYSE: VALE</t>
        </is>
      </c>
    </row>
    <row r="4">
      <c r="A4" s="2" t="inlineStr">
        <is>
          <t>Date</t>
        </is>
      </c>
      <c r="B4" s="3" t="inlineStr">
        <is>
          <t>2026-08-05</t>
        </is>
      </c>
    </row>
    <row r="5">
      <c r="A5" s="2" t="inlineStr">
        <is>
          <t>Price</t>
        </is>
      </c>
      <c r="B5" s="3" t="n">
        <v>14.94</v>
      </c>
    </row>
    <row r="6">
      <c r="A6" s="2" t="inlineStr">
        <is>
          <t>Shares Outstanding (M)</t>
        </is>
      </c>
      <c r="B6" s="3" t="n">
        <v>4260</v>
      </c>
    </row>
    <row r="7">
      <c r="A7" s="2" t="inlineStr">
        <is>
          <t>Market Cap ($B)</t>
        </is>
      </c>
      <c r="B7" s="3" t="n">
        <v>63.76</v>
      </c>
    </row>
    <row r="8">
      <c r="A8" s="2" t="inlineStr">
        <is>
          <t>Enterprise Value ($B)</t>
        </is>
      </c>
      <c r="B8" s="3" t="n">
        <v>80.37</v>
      </c>
    </row>
    <row r="9">
      <c r="A9" s="2" t="inlineStr">
        <is>
          <t>Cash ($B)</t>
        </is>
      </c>
      <c r="B9" s="3" t="n">
        <v>5.279</v>
      </c>
    </row>
    <row r="10">
      <c r="A10" s="4" t="inlineStr">
        <is>
          <t>Key Valuation Metrics</t>
        </is>
      </c>
      <c r="B10" s="3" t="n">
        <v>21.329</v>
      </c>
    </row>
    <row r="11">
      <c r="A11" s="2" t="inlineStr">
        <is>
          <t>P/E (TTM)</t>
        </is>
      </c>
      <c r="B11" s="5" t="n">
        <v>31.86</v>
      </c>
      <c r="C11" s="3" t="inlineStr">
        <is>
          <t>TTM on $0.49 EPS; distorted by cycle trough (iron ore down)</t>
        </is>
      </c>
      <c r="D11" s="6" t="n"/>
      <c r="E11" s="6" t="n"/>
      <c r="F11" s="7" t="n"/>
    </row>
    <row r="12">
      <c r="A12" s="2" t="inlineStr">
        <is>
          <t>Forward P/E</t>
        </is>
      </c>
      <c r="B12" s="5" t="n">
        <v>7.68</v>
      </c>
      <c r="C12" s="3" t="inlineStr">
        <is>
          <t>FY26E EPS $1.95; 7.7x is cheap for diversified miner</t>
        </is>
      </c>
      <c r="D12" s="6" t="n"/>
      <c r="E12" s="6" t="n"/>
      <c r="F12" s="7" t="n"/>
    </row>
    <row r="13">
      <c r="A13" s="2" t="inlineStr">
        <is>
          <t>P/S (TTM)</t>
        </is>
      </c>
      <c r="B13" s="5" t="n">
        <v>1.51</v>
      </c>
      <c r="C13" s="3" t="inlineStr">
        <is>
          <t>1.5x; normal for mining at cycle peak, cheap at trough</t>
        </is>
      </c>
      <c r="D13" s="6" t="n"/>
      <c r="E13" s="6" t="n"/>
      <c r="F13" s="7" t="n"/>
    </row>
    <row r="14">
      <c r="A14" s="2" t="inlineStr">
        <is>
          <t>P/FCF (TTM)</t>
        </is>
      </c>
      <c r="B14" s="5" t="n">
        <v>17.9</v>
      </c>
      <c r="C14" s="3" t="inlineStr">
        <is>
          <t>FCF ~$3.56B; 17.9x; note: FCF framework fails due to debt amplification</t>
        </is>
      </c>
      <c r="D14" s="6" t="n"/>
      <c r="E14" s="6" t="n"/>
      <c r="F14" s="7" t="n"/>
    </row>
    <row r="15">
      <c r="A15" s="2" t="inlineStr">
        <is>
          <t>EV/FCF</t>
        </is>
      </c>
      <c r="B15" s="5" t="n">
        <v>22.6</v>
      </c>
      <c r="C15" s="3" t="inlineStr">
        <is>
          <t>Enterprise lens; 22.6x; debt/FCF ~4.7x pushes equity value to negatives</t>
        </is>
      </c>
      <c r="D15" s="6" t="n"/>
      <c r="E15" s="6" t="n"/>
      <c r="F15" s="7" t="n"/>
    </row>
    <row r="16">
      <c r="A16" s="2" t="inlineStr">
        <is>
          <t>EV/Revenue</t>
        </is>
      </c>
      <c r="B16" s="5" t="n">
        <v>1.95</v>
      </c>
      <c r="C16" s="3" t="inlineStr">
        <is>
          <t>EV at 1.95x revenue; reasonable for commodities</t>
        </is>
      </c>
      <c r="D16" s="6" t="n"/>
      <c r="E16" s="6" t="n"/>
      <c r="F16" s="7" t="n"/>
    </row>
    <row r="17">
      <c r="A17" s="2" t="inlineStr">
        <is>
          <t>EV/EBITDA</t>
        </is>
      </c>
      <c r="B17" s="5" t="n">
        <v>8.029999999999999</v>
      </c>
      <c r="C17" s="3" t="inlineStr">
        <is>
          <t>8.03x; 6-10x range for diversified miners</t>
        </is>
      </c>
      <c r="D17" s="6" t="n"/>
      <c r="E17" s="6" t="n"/>
      <c r="F17" s="7" t="n"/>
    </row>
    <row r="18">
      <c r="A18" s="2" t="inlineStr">
        <is>
          <t>P/B</t>
        </is>
      </c>
      <c r="B18" s="5" t="n">
        <v>1.64</v>
      </c>
      <c r="C18" s="3" t="inlineStr">
        <is>
          <t>1.64x; above historical lows due to buyback pressure</t>
        </is>
      </c>
      <c r="D18" s="6" t="n"/>
      <c r="E18" s="6" t="n"/>
      <c r="F18" s="7" t="n"/>
    </row>
    <row r="19">
      <c r="A19" s="2" t="inlineStr">
        <is>
          <t>Debt/EBITDA</t>
        </is>
      </c>
      <c r="B19" s="5" t="n">
        <v>2.1</v>
      </c>
      <c r="C19" s="3" t="inlineStr">
        <is>
          <t>~2.1x; manageable leverage for a miner</t>
        </is>
      </c>
      <c r="D19" s="6" t="n"/>
      <c r="E19" s="6" t="n"/>
      <c r="F19" s="7" t="n"/>
    </row>
    <row r="20">
      <c r="A20" s="2" t="inlineStr">
        <is>
          <t>Dividend Yield</t>
        </is>
      </c>
      <c r="B20" s="3" t="inlineStr">
        <is>
          <t>6.06%</t>
        </is>
      </c>
      <c r="C20" s="3" t="inlineStr">
        <is>
          <t>$0.91/share annualized; strong income cushion</t>
        </is>
      </c>
      <c r="D20" s="6" t="n"/>
      <c r="E20" s="6" t="n"/>
      <c r="F20" s="7" t="n"/>
    </row>
  </sheetData>
  <mergeCells count="11">
    <mergeCell ref="C13:F13"/>
    <mergeCell ref="C18:F18"/>
    <mergeCell ref="C17:F17"/>
    <mergeCell ref="A1:F1"/>
    <mergeCell ref="C12:F12"/>
    <mergeCell ref="C20:F20"/>
    <mergeCell ref="C16:F16"/>
    <mergeCell ref="C15:F15"/>
    <mergeCell ref="C11:F11"/>
    <mergeCell ref="C19:F19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Calculation — CAPM</t>
        </is>
      </c>
    </row>
    <row r="2">
      <c r="A2" s="2" t="inlineStr">
        <is>
          <t>Risk-Free Rate (10Y US)</t>
        </is>
      </c>
      <c r="B2" s="8" t="n">
        <v>0.04611</v>
      </c>
      <c r="C2" s="3" t="inlineStr">
        <is>
          <t>CNBC 8/5/26: 4.611%</t>
        </is>
      </c>
      <c r="D2" s="6" t="n"/>
      <c r="E2" s="7" t="n"/>
    </row>
    <row r="3">
      <c r="A3" s="2" t="inlineStr">
        <is>
          <t>Equity Risk Premium</t>
        </is>
      </c>
      <c r="B3" s="9" t="n">
        <v>0.05</v>
      </c>
      <c r="C3" s="3" t="inlineStr">
        <is>
          <t>Standard 5%</t>
        </is>
      </c>
      <c r="D3" s="6" t="n"/>
      <c r="E3" s="7" t="n"/>
    </row>
    <row r="4">
      <c r="A4" s="2" t="inlineStr">
        <is>
          <t>Beta (5Y Monthly)</t>
        </is>
      </c>
      <c r="B4" s="5" t="n">
        <v>0.73</v>
      </c>
      <c r="C4" s="3" t="inlineStr">
        <is>
          <t>Low beta for commodity — diversification hedge</t>
        </is>
      </c>
      <c r="D4" s="6" t="n"/>
      <c r="E4" s="7" t="n"/>
    </row>
    <row r="5">
      <c r="A5" s="2" t="inlineStr">
        <is>
          <t>Cost of Equity</t>
        </is>
      </c>
      <c r="B5" s="8" t="n">
        <v>0.08260000000000001</v>
      </c>
      <c r="C5" s="3" t="inlineStr">
        <is>
          <t>4.611% + 0.73 x 5.00% = 8.26%</t>
        </is>
      </c>
      <c r="D5" s="6" t="n"/>
      <c r="E5" s="7" t="n"/>
    </row>
    <row r="6">
      <c r="A6" s="2" t="inlineStr">
        <is>
          <t>Cost of Debt</t>
        </is>
      </c>
      <c r="B6" s="9" t="n">
        <v>0.055</v>
      </c>
      <c r="C6" s="3" t="inlineStr">
        <is>
          <t>~5.5%; Brazilian sovereign + corporate spread</t>
        </is>
      </c>
      <c r="D6" s="6" t="n"/>
      <c r="E6" s="7" t="n"/>
    </row>
    <row r="7">
      <c r="A7" s="2" t="inlineStr">
        <is>
          <t>Tax Rate</t>
        </is>
      </c>
      <c r="B7" s="9" t="n">
        <v>0.3</v>
      </c>
      <c r="C7" s="3" t="inlineStr">
        <is>
          <t>~30% Brazilian effective (IRPJ + CSLL)</t>
        </is>
      </c>
      <c r="D7" s="6" t="n"/>
      <c r="E7" s="7" t="n"/>
    </row>
    <row r="8">
      <c r="A8" s="3" t="inlineStr"/>
      <c r="B8" s="3" t="n"/>
      <c r="C8" s="3" t="inlineStr"/>
    </row>
    <row r="9">
      <c r="A9" s="2" t="inlineStr">
        <is>
          <t>Market Cap ($B)</t>
        </is>
      </c>
      <c r="B9" s="10" t="n">
        <v>63.76</v>
      </c>
      <c r="C9" s="3" t="inlineStr">
        <is>
          <t>8/5/26 close</t>
        </is>
      </c>
      <c r="D9" s="6" t="n"/>
      <c r="E9" s="7" t="n"/>
    </row>
    <row r="10">
      <c r="A10" s="2" t="inlineStr">
        <is>
          <t>Total Debt ($B)</t>
        </is>
      </c>
      <c r="B10" s="10" t="n">
        <v>21.329</v>
      </c>
      <c r="C10" s="3" t="inlineStr">
        <is>
          <t>Mar 2026 balance sheet</t>
        </is>
      </c>
      <c r="D10" s="6" t="n"/>
      <c r="E10" s="7" t="n"/>
    </row>
    <row r="11">
      <c r="A11" s="2" t="inlineStr">
        <is>
          <t>Equity Weight</t>
        </is>
      </c>
      <c r="B11" s="8" t="n">
        <v>0.7493</v>
      </c>
      <c r="C11" s="3" t="inlineStr">
        <is>
          <t>74.9%</t>
        </is>
      </c>
      <c r="D11" s="6" t="n"/>
      <c r="E11" s="7" t="n"/>
    </row>
    <row r="12">
      <c r="A12" s="2" t="inlineStr">
        <is>
          <t>Debt Weight</t>
        </is>
      </c>
      <c r="B12" s="8" t="n">
        <v>0.2507</v>
      </c>
      <c r="C12" s="3" t="inlineStr">
        <is>
          <t>25.1%</t>
        </is>
      </c>
      <c r="D12" s="6" t="n"/>
      <c r="E12" s="7" t="n"/>
    </row>
    <row r="13">
      <c r="A13" s="3" t="inlineStr"/>
      <c r="B13" s="3" t="n"/>
      <c r="C13" s="3" t="inlineStr"/>
    </row>
    <row r="14">
      <c r="A14" s="2" t="inlineStr">
        <is>
          <t>WACC</t>
        </is>
      </c>
      <c r="B14" s="8" t="n">
        <v>0.0716</v>
      </c>
      <c r="C14" s="3">
        <f> 0.7493 x 8.26% + 0.2507 x 5.5% x (1-0.3)</f>
        <v/>
      </c>
      <c r="D14" s="6" t="n"/>
      <c r="E14" s="7" t="n"/>
    </row>
  </sheetData>
  <mergeCells count="12">
    <mergeCell ref="C2:E2"/>
    <mergeCell ref="C11:E11"/>
    <mergeCell ref="C14:E14"/>
    <mergeCell ref="C5:E5"/>
    <mergeCell ref="A1:F1"/>
    <mergeCell ref="C9:E9"/>
    <mergeCell ref="C4:E4"/>
    <mergeCell ref="C3:E3"/>
    <mergeCell ref="C7:E7"/>
    <mergeCell ref="C12:E12"/>
    <mergeCell ref="C6:E6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Bear / Base / Bull Scenario Analysis (Forward P/E Framework)</t>
        </is>
      </c>
    </row>
    <row r="2">
      <c r="A2" s="4" t="inlineStr">
        <is>
          <t>Scenario</t>
        </is>
      </c>
      <c r="B2" s="4" t="inlineStr">
        <is>
          <t>Rev CAGR 5Y</t>
        </is>
      </c>
      <c r="C2" s="4" t="inlineStr">
        <is>
          <t>Term Rev ($M)</t>
        </is>
      </c>
      <c r="D2" s="4" t="inlineStr">
        <is>
          <t>Term EPS</t>
        </is>
      </c>
      <c r="E2" s="4" t="inlineStr">
        <is>
          <t>Exit P/E</t>
        </is>
      </c>
      <c r="F2" s="4" t="inlineStr">
        <is>
          <t>Target Price</t>
        </is>
      </c>
      <c r="G2" s="4" t="inlineStr">
        <is>
          <t>Upside %</t>
        </is>
      </c>
      <c r="H2" s="4" t="inlineStr">
        <is>
          <t>Weight</t>
        </is>
      </c>
      <c r="I2" s="4" t="inlineStr">
        <is>
          <t>Wtd Value/Share</t>
        </is>
      </c>
      <c r="J2" s="4" t="inlineStr">
        <is>
          <t>Notes</t>
        </is>
      </c>
    </row>
    <row r="3">
      <c r="A3" s="3" t="inlineStr">
        <is>
          <t>Bear</t>
        </is>
      </c>
      <c r="B3" s="8" t="n">
        <v>0.015</v>
      </c>
      <c r="C3" s="3" t="n">
        <v>44401</v>
      </c>
      <c r="D3" s="3" t="n">
        <v>1.4</v>
      </c>
      <c r="E3" s="3" t="n">
        <v>10</v>
      </c>
      <c r="F3" s="3" t="n">
        <v>14</v>
      </c>
      <c r="G3" s="8" t="n">
        <v>-0.063</v>
      </c>
      <c r="H3" s="8" t="n">
        <v>0.25</v>
      </c>
      <c r="I3" s="3" t="n">
        <v>3.5</v>
      </c>
      <c r="J3" s="3" t="inlineStr"/>
    </row>
    <row r="4">
      <c r="A4" s="3" t="inlineStr">
        <is>
          <t>Base</t>
        </is>
      </c>
      <c r="B4" s="8" t="n">
        <v>0.035</v>
      </c>
      <c r="C4" s="3" t="n">
        <v>48952</v>
      </c>
      <c r="D4" s="3" t="n">
        <v>2</v>
      </c>
      <c r="E4" s="3" t="n">
        <v>9</v>
      </c>
      <c r="F4" s="3" t="n">
        <v>18</v>
      </c>
      <c r="G4" s="8" t="n">
        <v>0.205</v>
      </c>
      <c r="H4" s="8" t="n">
        <v>0.5</v>
      </c>
      <c r="I4" s="3" t="n">
        <v>9</v>
      </c>
      <c r="J4" s="3" t="inlineStr"/>
    </row>
    <row r="5">
      <c r="A5" s="3" t="inlineStr">
        <is>
          <t>Bull</t>
        </is>
      </c>
      <c r="B5" s="8" t="n">
        <v>0.06</v>
      </c>
      <c r="C5" s="3" t="n">
        <v>55156</v>
      </c>
      <c r="D5" s="3" t="n">
        <v>2.6</v>
      </c>
      <c r="E5" s="3" t="n">
        <v>12</v>
      </c>
      <c r="F5" s="3" t="n">
        <v>31.2</v>
      </c>
      <c r="G5" s="8" t="n">
        <v>1.088</v>
      </c>
      <c r="H5" s="8" t="n">
        <v>0.25</v>
      </c>
      <c r="I5" s="3" t="n">
        <v>7.8</v>
      </c>
      <c r="J5" s="3" t="inlineStr"/>
    </row>
    <row r="6">
      <c r="A6" s="2" t="inlineStr">
        <is>
          <t>TOTAL</t>
        </is>
      </c>
      <c r="H6" s="11" t="n">
        <v>1</v>
      </c>
      <c r="I6" s="12" t="n">
        <v>20.3</v>
      </c>
    </row>
    <row r="7">
      <c r="H7" s="2" t="inlineStr">
        <is>
          <t>Prob-Weighted FV</t>
        </is>
      </c>
      <c r="I7" s="12" t="n">
        <v>20.3</v>
      </c>
    </row>
    <row r="8">
      <c r="A8" s="13" t="inlineStr">
        <is>
          <t>Upside from $14.94</t>
        </is>
      </c>
      <c r="B8" s="14" t="n">
        <v>0.359</v>
      </c>
    </row>
    <row r="10">
      <c r="A10" s="15" t="inlineStr">
        <is>
          <t>NOTE: FCF multiple framework suppressed for VALE. Net debt of ~$16B / FCF of ~$3.6B = 4.4x. Even at 10x FCF, implied EV is only ~$36B, leaving ~$20B equity → ~$4.7/share vs current $14.94. The debt/FCF amplification makes FCF multiples economically meaningless. Forward P/E is the primary lens. Analyst avg PT: $16.78 (12% upside).</t>
        </is>
      </c>
    </row>
    <row r="11">
      <c r="A11" t="inlineStr">
        <is>
          <t>Scenario logic:</t>
        </is>
      </c>
    </row>
    <row r="12">
      <c r="A12" t="inlineStr">
        <is>
          <t>Bear: Iron ore stays depressed; FY31 EPS only $1.40, exit P/E compresses to 10x as cycle risk premiums remain.</t>
        </is>
      </c>
    </row>
    <row r="13">
      <c r="A13" t="inlineStr">
        <is>
          <t>Base: Earnings recover toward FY26E consensus of $1.95 then grow modestly; exit P/E 9x reflects cyclical peer norms.</t>
        </is>
      </c>
    </row>
    <row r="14">
      <c r="A14" t="inlineStr">
        <is>
          <t>Bull: Iron ore/copper prices recover; scale economy; EPS compounds to $2.60 with P/E expansion to 12x.</t>
        </is>
      </c>
    </row>
    <row r="15">
      <c r="A15" t="inlineStr">
        <is>
          <t>FY2026 consensus EPS: $1.95 (11 analysts), FY2027: $2.08 (12 analysts). Source: Yahoo Finance analysis 8/5/26.</t>
        </is>
      </c>
    </row>
    <row r="16">
      <c r="A16" t="inlineStr">
        <is>
          <t>Net debt: $16.1B. Shares: 4260M. WACC: 7.16%.</t>
        </is>
      </c>
    </row>
  </sheetData>
  <mergeCells count="8">
    <mergeCell ref="A14:J14"/>
    <mergeCell ref="A1:F1"/>
    <mergeCell ref="A12:J12"/>
    <mergeCell ref="A15:J15"/>
    <mergeCell ref="A16:J16"/>
    <mergeCell ref="A10:J10"/>
    <mergeCell ref="A13:J13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Point Source Audit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Source</t>
        </is>
      </c>
      <c r="D2" s="4" t="inlineStr">
        <is>
          <t>Date</t>
        </is>
      </c>
      <c r="E2" s="4" t="inlineStr">
        <is>
          <t>Notes</t>
        </is>
      </c>
    </row>
    <row r="3">
      <c r="A3" s="3" t="inlineStr">
        <is>
          <t>Price</t>
        </is>
      </c>
      <c r="B3" s="3" t="inlineStr">
        <is>
          <t>$14.94</t>
        </is>
      </c>
      <c r="C3" s="3" t="inlineStr">
        <is>
          <t>stockanalysis.com/stocks/VALE</t>
        </is>
      </c>
      <c r="D3" s="3" t="inlineStr">
        <is>
          <t>2026-08-05</t>
        </is>
      </c>
      <c r="E3" s="3" t="inlineStr">
        <is>
          <t>Close</t>
        </is>
      </c>
    </row>
    <row r="4">
      <c r="A4" s="3" t="inlineStr">
        <is>
          <t>Market Cap</t>
        </is>
      </c>
      <c r="B4" s="3" t="inlineStr">
        <is>
          <t>$63.76B</t>
        </is>
      </c>
      <c r="C4" s="3" t="inlineStr">
        <is>
          <t>stockanalysis.com/stocks/VALE/statistics</t>
        </is>
      </c>
      <c r="D4" s="3" t="inlineStr">
        <is>
          <t>2026-08-05</t>
        </is>
      </c>
      <c r="E4" s="3" t="inlineStr"/>
    </row>
    <row r="5">
      <c r="A5" s="3" t="inlineStr">
        <is>
          <t>Enterprise Value</t>
        </is>
      </c>
      <c r="B5" s="3" t="inlineStr">
        <is>
          <t>$80.37B</t>
        </is>
      </c>
      <c r="C5" s="3" t="inlineStr">
        <is>
          <t>stockanalysis.com/stocks/VALE/statistics</t>
        </is>
      </c>
      <c r="D5" s="3" t="inlineStr">
        <is>
          <t>2026-08-05</t>
        </is>
      </c>
      <c r="E5" s="3" t="inlineStr"/>
    </row>
    <row r="6">
      <c r="A6" s="3" t="inlineStr">
        <is>
          <t>Shares (M)</t>
        </is>
      </c>
      <c r="B6" s="3" t="n">
        <v>4260</v>
      </c>
      <c r="C6" s="3" t="inlineStr">
        <is>
          <t>stockanalysis.com + MC/price recon</t>
        </is>
      </c>
      <c r="D6" s="3" t="inlineStr">
        <is>
          <t>2026-08-05</t>
        </is>
      </c>
      <c r="E6" s="3" t="inlineStr"/>
    </row>
    <row r="7">
      <c r="A7" s="3" t="inlineStr">
        <is>
          <t>Rev TTM</t>
        </is>
      </c>
      <c r="B7" s="3" t="inlineStr">
        <is>
          <t>$41216</t>
        </is>
      </c>
      <c r="C7" s="3" t="inlineStr">
        <is>
          <t>stockanalysis.com/stocks/VALE/financials</t>
        </is>
      </c>
      <c r="D7" s="3" t="inlineStr">
        <is>
          <t>2026-08-05</t>
        </is>
      </c>
      <c r="E7" s="3" t="inlineStr"/>
    </row>
    <row r="8">
      <c r="A8" s="3" t="inlineStr">
        <is>
          <t>Rev FY25</t>
        </is>
      </c>
      <c r="B8" s="3" t="inlineStr">
        <is>
          <t>$38403</t>
        </is>
      </c>
      <c r="C8" s="3" t="inlineStr">
        <is>
          <t>stockanalysis.com/stocks/VALE/financials</t>
        </is>
      </c>
      <c r="D8" s="3" t="inlineStr">
        <is>
          <t>2026-08-05</t>
        </is>
      </c>
      <c r="E8" s="3" t="inlineStr"/>
    </row>
    <row r="9">
      <c r="A9" s="3" t="inlineStr">
        <is>
          <t>Rev FY24</t>
        </is>
      </c>
      <c r="B9" s="3" t="inlineStr">
        <is>
          <t>$38056</t>
        </is>
      </c>
      <c r="C9" s="3" t="inlineStr">
        <is>
          <t>stockanalysis.com/stocks/VALE/financials</t>
        </is>
      </c>
      <c r="D9" s="3" t="inlineStr">
        <is>
          <t>2026-08-05</t>
        </is>
      </c>
      <c r="E9" s="3" t="inlineStr"/>
    </row>
    <row r="10">
      <c r="A10" s="3" t="inlineStr">
        <is>
          <t>GP TTM</t>
        </is>
      </c>
      <c r="B10" s="3" t="inlineStr">
        <is>
          <t>$14368</t>
        </is>
      </c>
      <c r="C10" s="3" t="inlineStr">
        <is>
          <t>stockanalysis.com/stocks/VALE/financials</t>
        </is>
      </c>
      <c r="D10" s="3" t="inlineStr">
        <is>
          <t>2026-08-05</t>
        </is>
      </c>
      <c r="E10" s="3" t="inlineStr"/>
    </row>
    <row r="11">
      <c r="A11" s="3" t="inlineStr">
        <is>
          <t>GP FY25</t>
        </is>
      </c>
      <c r="B11" s="3" t="inlineStr">
        <is>
          <t>$13456</t>
        </is>
      </c>
      <c r="C11" s="3" t="inlineStr">
        <is>
          <t>stockanalysis.com/stocks/VALE/financials</t>
        </is>
      </c>
      <c r="D11" s="3" t="inlineStr">
        <is>
          <t>2026-08-05</t>
        </is>
      </c>
      <c r="E11" s="3" t="inlineStr"/>
    </row>
    <row r="12">
      <c r="A12" s="3" t="inlineStr">
        <is>
          <t>OP TTM</t>
        </is>
      </c>
      <c r="B12" s="3" t="inlineStr">
        <is>
          <t>$6629</t>
        </is>
      </c>
      <c r="C12" s="3" t="inlineStr">
        <is>
          <t>stockanalysis.com/stocks/VALE/financials</t>
        </is>
      </c>
      <c r="D12" s="3" t="inlineStr">
        <is>
          <t>2026-08-05</t>
        </is>
      </c>
      <c r="E12" s="3" t="inlineStr"/>
    </row>
    <row r="13">
      <c r="A13" s="3" t="inlineStr">
        <is>
          <t>NI TTM</t>
        </is>
      </c>
      <c r="B13" s="3" t="inlineStr">
        <is>
          <t>$1323</t>
        </is>
      </c>
      <c r="C13" s="3" t="inlineStr">
        <is>
          <t>stockanalysis.com/stocks/VALE/financials</t>
        </is>
      </c>
      <c r="D13" s="3" t="inlineStr">
        <is>
          <t>2026-08-05</t>
        </is>
      </c>
      <c r="E13" s="3" t="inlineStr"/>
    </row>
    <row r="14">
      <c r="A14" s="3" t="inlineStr">
        <is>
          <t>Diluted EPS TTM</t>
        </is>
      </c>
      <c r="B14" s="3" t="inlineStr">
        <is>
          <t>$0.49</t>
        </is>
      </c>
      <c r="C14" s="3" t="inlineStr">
        <is>
          <t>stockanalysis.com/stocks/VALE/financials</t>
        </is>
      </c>
      <c r="D14" s="3" t="inlineStr">
        <is>
          <t>2026-08-05</t>
        </is>
      </c>
      <c r="E14" s="3" t="inlineStr"/>
    </row>
    <row r="15">
      <c r="A15" s="3" t="inlineStr">
        <is>
          <t>FCF TTM</t>
        </is>
      </c>
      <c r="B15" s="3" t="inlineStr">
        <is>
          <t>$3555M</t>
        </is>
      </c>
      <c r="C15" s="3" t="inlineStr">
        <is>
          <t>stockanalysis.com/stocks/VALE/financials</t>
        </is>
      </c>
      <c r="D15" s="3" t="inlineStr">
        <is>
          <t>2026-08-05</t>
        </is>
      </c>
      <c r="E15" s="3" t="inlineStr">
        <is>
          <t>FCF margin 8.63%</t>
        </is>
      </c>
    </row>
    <row r="16">
      <c r="A16" s="3" t="inlineStr">
        <is>
          <t>FCF FY25</t>
        </is>
      </c>
      <c r="B16" s="3" t="inlineStr">
        <is>
          <t>$507M</t>
        </is>
      </c>
      <c r="C16" s="3" t="inlineStr">
        <is>
          <t>stockanalysis.com/stocks/VALE/financials</t>
        </is>
      </c>
      <c r="D16" s="3" t="inlineStr">
        <is>
          <t>2026-08-05</t>
        </is>
      </c>
      <c r="E16" s="3" t="inlineStr">
        <is>
          <t>Cycle trough: 1.32% margin</t>
        </is>
      </c>
    </row>
    <row r="17">
      <c r="A17" s="3" t="inlineStr">
        <is>
          <t>EBITDA TTM</t>
        </is>
      </c>
      <c r="B17" s="3" t="inlineStr">
        <is>
          <t>$10006M</t>
        </is>
      </c>
      <c r="C17" s="3" t="inlineStr">
        <is>
          <t>stockanalysis.com/stocks/VALE/financials</t>
        </is>
      </c>
      <c r="D17" s="3" t="inlineStr">
        <is>
          <t>2026-08-05</t>
        </is>
      </c>
      <c r="E17" s="3" t="inlineStr"/>
    </row>
    <row r="18">
      <c r="A18" s="3" t="inlineStr">
        <is>
          <t>Cash</t>
        </is>
      </c>
      <c r="B18" s="3" t="inlineStr">
        <is>
          <t>$5.279B</t>
        </is>
      </c>
      <c r="C18" s="3" t="inlineStr">
        <is>
          <t>stockanalysis.com/stocks/VALE/financials/balance-sheet</t>
        </is>
      </c>
      <c r="D18" s="3" t="inlineStr">
        <is>
          <t>2026-08-05</t>
        </is>
      </c>
      <c r="E18" s="3" t="inlineStr">
        <is>
          <t>Mar 2026</t>
        </is>
      </c>
    </row>
    <row r="19">
      <c r="A19" s="3" t="inlineStr">
        <is>
          <t>Total Debt</t>
        </is>
      </c>
      <c r="B19" s="3" t="inlineStr">
        <is>
          <t>$21.329B</t>
        </is>
      </c>
      <c r="C19" s="3" t="inlineStr">
        <is>
          <t>stockanalysis.com/stocks/VALE/financials/balance-sheet</t>
        </is>
      </c>
      <c r="D19" s="3" t="inlineStr">
        <is>
          <t>2026-08-05</t>
        </is>
      </c>
      <c r="E19" s="3" t="inlineStr">
        <is>
          <t>Mar 2026</t>
        </is>
      </c>
    </row>
    <row r="20">
      <c r="A20" s="3" t="inlineStr">
        <is>
          <t>Beta</t>
        </is>
      </c>
      <c r="B20" s="3" t="inlineStr">
        <is>
          <t>0.73</t>
        </is>
      </c>
      <c r="C20" s="3" t="inlineStr">
        <is>
          <t>stockanalysis.com/stocks/VALE + Yahoo Stats</t>
        </is>
      </c>
      <c r="D20" s="3" t="inlineStr">
        <is>
          <t>2026-08-05</t>
        </is>
      </c>
      <c r="E20" s="3" t="inlineStr">
        <is>
          <t>0.73 low beta</t>
        </is>
      </c>
    </row>
    <row r="21">
      <c r="A21" s="3" t="inlineStr">
        <is>
          <t>P/E TTM</t>
        </is>
      </c>
      <c r="B21" s="3" t="inlineStr">
        <is>
          <t>31.86</t>
        </is>
      </c>
      <c r="C21" s="3" t="inlineStr">
        <is>
          <t>stockanalysis.com/stocks/VALE/statistics</t>
        </is>
      </c>
      <c r="D21" s="3" t="inlineStr">
        <is>
          <t>2026-08-05</t>
        </is>
      </c>
      <c r="E21" s="3" t="inlineStr"/>
    </row>
    <row r="22">
      <c r="A22" s="3" t="inlineStr">
        <is>
          <t>Forward P/E</t>
        </is>
      </c>
      <c r="B22" s="3" t="inlineStr">
        <is>
          <t>7.68</t>
        </is>
      </c>
      <c r="C22" s="3" t="inlineStr">
        <is>
          <t>stockanalysis.com/stocks/VALE/statistics</t>
        </is>
      </c>
      <c r="D22" s="3" t="inlineStr">
        <is>
          <t>2026-08-05</t>
        </is>
      </c>
      <c r="E22" s="3" t="inlineStr">
        <is>
          <t>7.68x; cheap</t>
        </is>
      </c>
    </row>
    <row r="23">
      <c r="A23" s="3" t="inlineStr">
        <is>
          <t>EV/EBITDA</t>
        </is>
      </c>
      <c r="B23" s="3" t="inlineStr">
        <is>
          <t>8.03</t>
        </is>
      </c>
      <c r="C23" s="3" t="inlineStr">
        <is>
          <t>stockanalysis.com/stocks/VALE/statistics</t>
        </is>
      </c>
      <c r="D23" s="3" t="inlineStr">
        <is>
          <t>2026-08-05</t>
        </is>
      </c>
      <c r="E23" s="3" t="inlineStr"/>
    </row>
    <row r="24">
      <c r="A24" s="3" t="inlineStr">
        <is>
          <t>P/B</t>
        </is>
      </c>
      <c r="B24" s="3" t="inlineStr">
        <is>
          <t>1.64</t>
        </is>
      </c>
      <c r="C24" s="3" t="inlineStr">
        <is>
          <t>stockanalysis.com/stocks/VALE/statistics</t>
        </is>
      </c>
      <c r="D24" s="3" t="inlineStr">
        <is>
          <t>2026-08-05</t>
        </is>
      </c>
      <c r="E24" s="3" t="inlineStr"/>
    </row>
    <row r="25">
      <c r="A25" s="3" t="inlineStr">
        <is>
          <t>10Y Treasury</t>
        </is>
      </c>
      <c r="B25" s="3" t="inlineStr">
        <is>
          <t>4.611%</t>
        </is>
      </c>
      <c r="C25" s="3" t="inlineStr">
        <is>
          <t>cnbc.com/quotes/US10Y</t>
        </is>
      </c>
      <c r="D25" s="3" t="inlineStr">
        <is>
          <t>2026-08-05</t>
        </is>
      </c>
      <c r="E25" s="3" t="inlineStr"/>
    </row>
    <row r="26">
      <c r="A26" s="3" t="inlineStr">
        <is>
          <t>Analyst Revenue FY26</t>
        </is>
      </c>
      <c r="B26" s="3" t="inlineStr">
        <is>
          <t>$41.24B</t>
        </is>
      </c>
      <c r="C26" s="3" t="inlineStr">
        <is>
          <t>finance.yahoo.com/quote/VALE/analysis</t>
        </is>
      </c>
      <c r="D26" s="3" t="inlineStr">
        <is>
          <t>2026-08-05</t>
        </is>
      </c>
      <c r="E26" s="3" t="inlineStr">
        <is>
          <t>19 analysts</t>
        </is>
      </c>
    </row>
    <row r="27">
      <c r="A27" s="3" t="inlineStr">
        <is>
          <t>Analyst EPS FY26</t>
        </is>
      </c>
      <c r="B27" s="3" t="inlineStr">
        <is>
          <t>$1.95</t>
        </is>
      </c>
      <c r="C27" s="3" t="inlineStr">
        <is>
          <t>finance.yahoo.com/quote/VALE/analysis</t>
        </is>
      </c>
      <c r="D27" s="3" t="inlineStr">
        <is>
          <t>2026-08-05</t>
        </is>
      </c>
      <c r="E27" s="3" t="inlineStr">
        <is>
          <t>11 analysts</t>
        </is>
      </c>
    </row>
    <row r="28">
      <c r="A28" s="3" t="inlineStr">
        <is>
          <t>Analyst PT</t>
        </is>
      </c>
      <c r="B28" s="3" t="inlineStr">
        <is>
          <t>$16.78</t>
        </is>
      </c>
      <c r="C28" s="3" t="inlineStr">
        <is>
          <t>finance.yahoo.com/quote/VALE</t>
        </is>
      </c>
      <c r="D28" s="3" t="inlineStr">
        <is>
          <t>2026-08-05</t>
        </is>
      </c>
      <c r="E28" s="3" t="inlineStr">
        <is>
          <t>Buy consensus, +12.3%</t>
        </is>
      </c>
    </row>
    <row r="29">
      <c r="A29" s="3" t="inlineStr">
        <is>
          <t>Earn Date</t>
        </is>
      </c>
      <c r="B29" s="3" t="inlineStr">
        <is>
          <t>Jul 30, 2026</t>
        </is>
      </c>
      <c r="C29" s="3" t="inlineStr">
        <is>
          <t>stockanalysis.com/stocks/VALE/statistics</t>
        </is>
      </c>
      <c r="D29" s="3" t="inlineStr">
        <is>
          <t>2026-08-05</t>
        </is>
      </c>
      <c r="E29" s="3" t="inlineStr">
        <is>
          <t>Q2 FY26</t>
        </is>
      </c>
    </row>
    <row r="30">
      <c r="A30" s="3" t="inlineStr">
        <is>
          <t>Dividend Rate</t>
        </is>
      </c>
      <c r="B30" s="3" t="inlineStr">
        <is>
          <t>$0.91 annualized</t>
        </is>
      </c>
      <c r="C30" s="3" t="inlineStr">
        <is>
          <t>stockanalysis.com/stocks/VALE</t>
        </is>
      </c>
      <c r="D30" s="3" t="inlineStr">
        <is>
          <t>2026-08-05</t>
        </is>
      </c>
      <c r="E30" s="3" t="inlineStr">
        <is>
          <t>6.06% yield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0" customWidth="1" min="3" max="3"/>
  </cols>
  <sheetData>
    <row r="1">
      <c r="A1" s="1" t="inlineStr">
        <is>
          <t>Open Questions</t>
        </is>
      </c>
    </row>
    <row r="2">
      <c r="A2" s="4" t="inlineStr">
        <is>
          <t>#</t>
        </is>
      </c>
      <c r="B2" s="4" t="inlineStr">
        <is>
          <t>Question</t>
        </is>
      </c>
      <c r="C2" s="4" t="inlineStr">
        <is>
          <t>Detail</t>
        </is>
      </c>
    </row>
    <row r="3">
      <c r="A3" s="3" t="inlineStr">
        <is>
          <t>1</t>
        </is>
      </c>
      <c r="B3" s="2" t="inlineStr">
        <is>
          <t>OCF Data Anomaly</t>
        </is>
      </c>
      <c r="C3" s="16" t="inlineStr">
        <is>
          <t>TTM OCF shows $50.8B on $41.2B revenue (123% margin). This is likely a StockAnalysis currency conversion artifact. FCF of $3.56B (8.6%) is the more reliable cash flow figure.</t>
        </is>
      </c>
    </row>
    <row r="4">
      <c r="A4" s="3" t="inlineStr">
        <is>
          <t>2</t>
        </is>
      </c>
      <c r="B4" s="2" t="inlineStr">
        <is>
          <t>Iron Ore Price Sensitivity</t>
        </is>
      </c>
      <c r="C4" s="16" t="inlineStr">
        <is>
          <t>64% of revenue is iron ore. TTM margins compressed from 42% (FY23) to 35% (TTM) gross, 34%→16% operating. How deep is the trough? Chinese demand is the key variable.</t>
        </is>
      </c>
    </row>
    <row r="5">
      <c r="A5" s="3" t="inlineStr">
        <is>
          <t>3</t>
        </is>
      </c>
      <c r="B5" s="2" t="inlineStr">
        <is>
          <t>Nickel Transition Risk</t>
        </is>
      </c>
      <c r="C5" s="16" t="inlineStr">
        <is>
          <t>Nickel revenue of $5B TTM. EV transition has depressed nickel prices. Is this a structural headwind or cyclical? LME nickel futures context.</t>
        </is>
      </c>
    </row>
    <row r="6">
      <c r="A6" s="3" t="inlineStr">
        <is>
          <t>4</t>
        </is>
      </c>
      <c r="B6" s="2" t="inlineStr">
        <is>
          <t>Copper Growth Optionality</t>
        </is>
      </c>
      <c r="C6" s="16" t="inlineStr">
        <is>
          <t>Copper revenue up to $4.6B TTM (+31% YoY from FY25 $3.55B). Copper benefits from long-term electrification thesis. Is this a growth driver or just price cyclicality?</t>
        </is>
      </c>
    </row>
    <row r="7">
      <c r="A7" s="3" t="inlineStr">
        <is>
          <t>5</t>
        </is>
      </c>
      <c r="B7" s="2" t="inlineStr">
        <is>
          <t>Tax Rate Volatility</t>
        </is>
      </c>
      <c r="C7" s="16" t="inlineStr">
        <is>
          <t>TTM effective tax rate 7.57% vs FY25 57.38%. FY23 was 27.3%, FY22 15.0%. Extreme variance signals one-time items. Forward rate assumption is ~30%.</t>
        </is>
      </c>
    </row>
    <row r="8">
      <c r="A8" s="3" t="inlineStr">
        <is>
          <t>6</t>
        </is>
      </c>
      <c r="B8" s="2" t="inlineStr">
        <is>
          <t>Dividend Sustainability</t>
        </is>
      </c>
      <c r="C8" s="16" t="inlineStr">
        <is>
          <t>Annual dividend of ~$0.91 on EPS of $0.49 TTM = payout ratio &gt;100%. Dividend is funded by retained earnings and cash reserves. Is the dividend at risk if commodity prices stay low?</t>
        </is>
      </c>
    </row>
    <row r="9">
      <c r="A9" s="3" t="inlineStr">
        <is>
          <t>7</t>
        </is>
      </c>
      <c r="B9" s="2" t="inlineStr">
        <is>
          <t>Capital Allocation</t>
        </is>
      </c>
      <c r="C9" s="16" t="inlineStr">
        <is>
          <t>Debt/EBITDA at 2.1x is manageable but debt grew from $13.9B (FY23) to $21.3B (Mar'26). Buyback pace + dividend + debt service vs. FCF generation. Net debt trajectory?</t>
        </is>
      </c>
    </row>
    <row r="10">
      <c r="A10" s="3" t="inlineStr">
        <is>
          <t>8</t>
        </is>
      </c>
      <c r="B10" s="2" t="inlineStr">
        <is>
          <t>Chinese Demand and Geopolitics</t>
        </is>
      </c>
      <c r="C10" s="16" t="inlineStr">
        <is>
          <t>China is ~70% of iron ore demand. Tariff escalation, trade tensions, or Chinese stimulus could swing the stock 30-50% in either direction.</t>
        </is>
      </c>
    </row>
    <row r="11">
      <c r="A11" s="3" t="inlineStr">
        <is>
          <t>9</t>
        </is>
      </c>
      <c r="B11" s="2" t="inlineStr">
        <is>
          <t>Sustainability/ESG Exposure</t>
        </is>
      </c>
      <c r="C11" s="16" t="inlineStr">
        <is>
          <t>Brazil mining ESG risks: Brumadinho dam disaster (2019) legacy, environmental liabilities, regulatory overhang. Does the market discount this in the P/B of 1.64x?</t>
        </is>
      </c>
    </row>
    <row r="12">
      <c r="A12" s="3" t="inlineStr">
        <is>
          <t>10</t>
        </is>
      </c>
      <c r="B12" s="2" t="inlineStr">
        <is>
          <t>Next Earnings Catalyst</t>
        </is>
      </c>
      <c r="C12" s="16" t="inlineStr">
        <is>
          <t>Q2 FY26 earned Jul 30, 2026. Missed estimates by -26.21% EPS surprise. Q3 FY26 estimate of $0.50 EPS with downward revisions (-14% in 30 days). Next catalyst is Q3 results in Nov 2026.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2" max="2"/>
    <col width="60" customWidth="1" min="3" max="3"/>
  </cols>
  <sheetData>
    <row r="1">
      <c r="A1" s="1" t="inlineStr">
        <is>
          <t>Data Sources</t>
        </is>
      </c>
    </row>
    <row r="2">
      <c r="A2" s="4" t="inlineStr">
        <is>
          <t>#</t>
        </is>
      </c>
      <c r="B2" s="4" t="inlineStr">
        <is>
          <t>Source</t>
        </is>
      </c>
      <c r="C2" s="4" t="inlineStr">
        <is>
          <t>URL</t>
        </is>
      </c>
    </row>
    <row r="3">
      <c r="A3" s="3" t="inlineStr">
        <is>
          <t>1</t>
        </is>
      </c>
      <c r="B3" s="3" t="inlineStr">
        <is>
          <t>StockAnalysis — Overview</t>
        </is>
      </c>
      <c r="C3" s="3" t="inlineStr">
        <is>
          <t>stockanalysis.com/stocks/VALE</t>
        </is>
      </c>
    </row>
    <row r="4">
      <c r="A4" s="3" t="inlineStr">
        <is>
          <t>2</t>
        </is>
      </c>
      <c r="B4" s="3" t="inlineStr">
        <is>
          <t>StockAnalysis — Financials (Income)</t>
        </is>
      </c>
      <c r="C4" s="3" t="inlineStr">
        <is>
          <t>stockanalysis.com/stocks/VALE/financials</t>
        </is>
      </c>
    </row>
    <row r="5">
      <c r="A5" s="3" t="inlineStr">
        <is>
          <t>3</t>
        </is>
      </c>
      <c r="B5" s="3" t="inlineStr">
        <is>
          <t>StockAnalysis — Balance Sheet</t>
        </is>
      </c>
      <c r="C5" s="3" t="inlineStr">
        <is>
          <t>stockanalysis.com/stocks/VALE/financials/balance-sheet</t>
        </is>
      </c>
    </row>
    <row r="6">
      <c r="A6" s="3" t="inlineStr">
        <is>
          <t>4</t>
        </is>
      </c>
      <c r="B6" s="3" t="inlineStr">
        <is>
          <t>StockAnalysis — Statistics</t>
        </is>
      </c>
      <c r="C6" s="3" t="inlineStr">
        <is>
          <t>stockanalysis.com/stocks/VALE/statistics</t>
        </is>
      </c>
    </row>
    <row r="7">
      <c r="A7" s="3" t="inlineStr">
        <is>
          <t>5</t>
        </is>
      </c>
      <c r="B7" s="3" t="inlineStr">
        <is>
          <t>Yahoo Finance — Analyst Estimates</t>
        </is>
      </c>
      <c r="C7" s="3" t="inlineStr">
        <is>
          <t>finance.yahoo.com/quote/VALE/analysis</t>
        </is>
      </c>
    </row>
    <row r="8">
      <c r="A8" s="3" t="inlineStr">
        <is>
          <t>6</t>
        </is>
      </c>
      <c r="B8" s="3" t="inlineStr">
        <is>
          <t>Yahoo Finance — Key Statistics</t>
        </is>
      </c>
      <c r="C8" s="3" t="inlineStr">
        <is>
          <t>finance.yahoo.com/quote/VALE/key-statistics</t>
        </is>
      </c>
    </row>
    <row r="9">
      <c r="A9" s="3" t="inlineStr">
        <is>
          <t>7</t>
        </is>
      </c>
      <c r="B9" s="3" t="inlineStr">
        <is>
          <t>CNBC — 10Y Treasury</t>
        </is>
      </c>
      <c r="C9" s="3" t="inlineStr">
        <is>
          <t>cnbc.com/quotes/US10Y</t>
        </is>
      </c>
    </row>
    <row r="10">
      <c r="A10" s="3" t="inlineStr">
        <is>
          <t>8</t>
        </is>
      </c>
      <c r="B10" s="3" t="inlineStr">
        <is>
          <t>Vale Corporate Site</t>
        </is>
      </c>
      <c r="C10" s="3" t="inlineStr">
        <is>
          <t>vale.com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2026-08-06T03:25:45Z</dcterms:created>
  <dcterms:modified xsi:type="dcterms:W3CDTF">2026-08-06T03:25:45Z</dcterms:modified>
</cp:coreProperties>
</file>