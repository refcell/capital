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  <sz val="14"/>
    </font>
    <font>
      <b val="1"/>
      <color rgb="00FFFFFF"/>
      <sz val="11"/>
    </font>
    <font>
      <color rgb="00FFFFFF"/>
      <sz val="11"/>
    </font>
    <font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10B981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Maplebear Inc. (Instacart) (NASDAQ: CART) — Valuation</t>
        </is>
      </c>
    </row>
    <row r="2">
      <c r="A2" s="2" t="inlineStr">
        <is>
          <t>Date:</t>
        </is>
      </c>
      <c r="B2" s="3" t="inlineStr">
        <is>
          <t>2026-05-29</t>
        </is>
      </c>
    </row>
    <row r="3">
      <c r="A3" s="2" t="inlineStr">
        <is>
          <t>Ticker:</t>
        </is>
      </c>
      <c r="B3" s="3" t="inlineStr">
        <is>
          <t>NASDAQ: CART</t>
        </is>
      </c>
    </row>
    <row r="4">
      <c r="A4" s="2" t="inlineStr">
        <is>
          <t>Close Price:</t>
        </is>
      </c>
      <c r="B4" s="3" t="inlineStr">
        <is>
          <t>$39.80</t>
        </is>
      </c>
    </row>
    <row r="5">
      <c r="A5" s="2" t="inlineStr">
        <is>
          <t>Diluted Shares:</t>
        </is>
      </c>
      <c r="B5" s="3" t="inlineStr">
        <is>
          <t>235M</t>
        </is>
      </c>
    </row>
    <row r="6">
      <c r="A6" s="2" t="inlineStr">
        <is>
          <t>Market Cap:</t>
        </is>
      </c>
      <c r="B6" s="3" t="inlineStr">
        <is>
          <t>$9.35B</t>
        </is>
      </c>
    </row>
    <row r="7">
      <c r="A7" s="2" t="inlineStr">
        <is>
          <t>Enterprise Value:</t>
        </is>
      </c>
      <c r="B7" s="3" t="inlineStr">
        <is>
          <t>$7.85B</t>
        </is>
      </c>
    </row>
    <row r="8">
      <c r="A8" s="2" t="inlineStr">
        <is>
          <t>Primary Lens:</t>
        </is>
      </c>
      <c r="B8" s="3" t="inlineStr">
        <is>
          <t>FCF multiple, earnings, reverse DCF</t>
        </is>
      </c>
    </row>
    <row r="9">
      <c r="A9" s="2" t="inlineStr">
        <is>
          <t>Stance:</t>
        </is>
      </c>
      <c r="B9" s="3" t="inlineStr">
        <is>
          <t>Watch / profitable marketplace at market multiple</t>
        </is>
      </c>
    </row>
    <row r="12">
      <c r="A12" s="4" t="inlineStr">
        <is>
          <t>Key Valuation Metrics</t>
        </is>
      </c>
    </row>
    <row r="13">
      <c r="A13" s="5" t="inlineStr">
        <is>
          <t>Trailing P/E</t>
        </is>
      </c>
      <c r="B13" t="inlineStr">
        <is>
          <t>22.1x</t>
        </is>
      </c>
      <c r="C13" s="3" t="inlineStr">
        <is>
          <t>Premium but justified for profitable growth</t>
        </is>
      </c>
    </row>
    <row r="14">
      <c r="A14" s="5" t="inlineStr">
        <is>
          <t>Forward P/E</t>
        </is>
      </c>
      <c r="B14" t="inlineStr">
        <is>
          <t>18.1x</t>
        </is>
      </c>
      <c r="C14" s="3" t="inlineStr">
        <is>
          <t>Fair for 15-20% EPS growth</t>
        </is>
      </c>
    </row>
    <row r="15">
      <c r="A15" s="5" t="inlineStr">
        <is>
          <t>P/S</t>
        </is>
      </c>
      <c r="B15" t="inlineStr">
        <is>
          <t>0.0x</t>
        </is>
      </c>
      <c r="C15" s="3" t="inlineStr">
        <is>
          <t>2.4x on $3.86B revenue</t>
        </is>
      </c>
    </row>
    <row r="16">
      <c r="A16" s="5" t="inlineStr">
        <is>
          <t>EV/Sales</t>
        </is>
      </c>
      <c r="B16" t="inlineStr">
        <is>
          <t>0.0x</t>
        </is>
      </c>
      <c r="C16" s="3" t="inlineStr">
        <is>
          <t>2.0x after net cash — fair for marketplace</t>
        </is>
      </c>
    </row>
    <row r="17">
      <c r="A17" s="5" t="inlineStr">
        <is>
          <t>P/FCF</t>
        </is>
      </c>
      <c r="B17" t="inlineStr">
        <is>
          <t>19.5x</t>
        </is>
      </c>
      <c r="C17" s="3" t="inlineStr">
        <is>
          <t>Premium but FCF growing fast</t>
        </is>
      </c>
    </row>
    <row r="18">
      <c r="A18" s="5" t="inlineStr">
        <is>
          <t>EV/FCF</t>
        </is>
      </c>
      <c r="B18" t="inlineStr">
        <is>
          <t>16.5x</t>
        </is>
      </c>
      <c r="C18" s="3" t="inlineStr">
        <is>
          <t>At 10.1x, FCF already compounding</t>
        </is>
      </c>
    </row>
    <row r="19">
      <c r="A19" s="5" t="inlineStr">
        <is>
          <t>EV/EBITDA</t>
        </is>
      </c>
      <c r="B19" t="inlineStr">
        <is>
          <t>15.2x</t>
        </is>
      </c>
      <c r="C19" s="3" t="inlineStr">
        <is>
          <t>17.2x — reasonable for profitable marketplace</t>
        </is>
      </c>
    </row>
    <row r="20">
      <c r="A20" s="5" t="inlineStr">
        <is>
          <t>Gross Profit / Revenue</t>
        </is>
      </c>
      <c r="B20" t="inlineStr">
        <is>
          <t>73.1%</t>
        </is>
      </c>
      <c r="C20" s="3" t="inlineStr">
        <is>
          <t>High take-rate platform economics</t>
        </is>
      </c>
    </row>
    <row r="21">
      <c r="A21" s="5" t="inlineStr">
        <is>
          <t>Operating Margin (TTM)</t>
        </is>
      </c>
      <c r="B21" t="inlineStr">
        <is>
          <t>11.6%</t>
        </is>
      </c>
      <c r="C21" s="3" t="inlineStr">
        <is>
          <t>Profitable and expanding</t>
        </is>
      </c>
    </row>
    <row r="22">
      <c r="A22" s="5" t="inlineStr">
        <is>
          <t>GTV (TTM)</t>
        </is>
      </c>
      <c r="B22" t="inlineStr">
        <is>
          <t>~$42.5B</t>
        </is>
      </c>
      <c r="C22" s="3" t="inlineStr">
        <is>
          <t>Massive platform throughput</t>
        </is>
      </c>
    </row>
    <row r="23">
      <c r="A23" s="5" t="inlineStr">
        <is>
          <t>Take Rate</t>
        </is>
      </c>
      <c r="B23" t="inlineStr">
        <is>
          <t>~9.1%</t>
        </is>
      </c>
      <c r="C23" s="3" t="inlineStr">
        <is>
          <t>Revenue as % of GTV — room to expand</t>
        </is>
      </c>
    </row>
    <row r="25">
      <c r="A25" s="6" t="inlineStr">
        <is>
          <t>Historical Financial Summary ($M)</t>
        </is>
      </c>
    </row>
    <row r="26">
      <c r="A26" s="7" t="inlineStr"/>
      <c r="B26" s="7" t="inlineStr">
        <is>
          <t>TTM</t>
        </is>
      </c>
      <c r="C26" s="7" t="inlineStr">
        <is>
          <t>FY2025</t>
        </is>
      </c>
      <c r="D26" s="7" t="inlineStr">
        <is>
          <t>FY2024</t>
        </is>
      </c>
      <c r="E26" s="7" t="inlineStr">
        <is>
          <t>FY2023</t>
        </is>
      </c>
      <c r="F26" s="7" t="inlineStr">
        <is>
          <t>FY2022</t>
        </is>
      </c>
    </row>
    <row r="27">
      <c r="A27" s="8" t="inlineStr">
        <is>
          <t>Revenue</t>
        </is>
      </c>
      <c r="B27" s="9" t="n">
        <v>3864</v>
      </c>
      <c r="C27" s="9" t="n">
        <v>3742</v>
      </c>
      <c r="D27" s="9" t="n">
        <v>3378</v>
      </c>
      <c r="E27" s="9" t="n">
        <v>3042</v>
      </c>
      <c r="F27" s="9" t="n">
        <v>2551</v>
      </c>
    </row>
    <row r="28">
      <c r="A28" s="8" t="inlineStr">
        <is>
          <t>Revenue Growth (%)</t>
        </is>
      </c>
      <c r="B28" s="9" t="n">
        <v>3.26</v>
      </c>
      <c r="C28" s="9" t="n">
        <v>10.78</v>
      </c>
      <c r="D28" s="9" t="n">
        <v>17.95</v>
      </c>
      <c r="E28" s="9" t="n">
        <v>19.25</v>
      </c>
      <c r="F28" s="9" t="n"/>
    </row>
    <row r="29">
      <c r="A29" s="8" t="inlineStr">
        <is>
          <t>Gross Profit</t>
        </is>
      </c>
      <c r="B29" s="9" t="n">
        <v>2825</v>
      </c>
      <c r="C29" s="9" t="n">
        <v>2758</v>
      </c>
      <c r="D29" s="9" t="n">
        <v>2542</v>
      </c>
      <c r="E29" s="9" t="n">
        <v>2278</v>
      </c>
      <c r="F29" s="9" t="n">
        <v>1831</v>
      </c>
    </row>
    <row r="30">
      <c r="A30" s="8" t="inlineStr">
        <is>
          <t>Gross Margin (%)</t>
        </is>
      </c>
      <c r="B30" s="9" t="n">
        <v>73.11</v>
      </c>
      <c r="C30" s="9" t="n">
        <v>73.7</v>
      </c>
      <c r="D30" s="9" t="n">
        <v>75.25</v>
      </c>
      <c r="E30" s="9" t="n">
        <v>74.88</v>
      </c>
      <c r="F30" s="9" t="n">
        <v>71.78</v>
      </c>
    </row>
    <row r="31">
      <c r="A31" s="8" t="inlineStr">
        <is>
          <t>Op. Income</t>
        </is>
      </c>
      <c r="B31" s="9" t="n">
        <v>450</v>
      </c>
      <c r="C31" s="9" t="n">
        <v>502</v>
      </c>
      <c r="D31" s="9" t="n">
        <v>318</v>
      </c>
      <c r="E31" s="9" t="n">
        <v>173</v>
      </c>
      <c r="F31" s="9" t="n">
        <v>57</v>
      </c>
    </row>
    <row r="32">
      <c r="A32" s="8" t="inlineStr">
        <is>
          <t>Op. Margin (%)</t>
        </is>
      </c>
      <c r="B32" s="9" t="n">
        <v>11.6</v>
      </c>
      <c r="C32" s="9" t="n">
        <v>13.4</v>
      </c>
      <c r="D32" s="9" t="n">
        <v>9.4</v>
      </c>
      <c r="E32" s="9" t="n">
        <v>5.7</v>
      </c>
      <c r="F32" s="9" t="n">
        <v>2.2</v>
      </c>
    </row>
    <row r="33">
      <c r="A33" s="8" t="inlineStr">
        <is>
          <t>EBITDA</t>
        </is>
      </c>
      <c r="B33" s="9" t="n">
        <v>520</v>
      </c>
      <c r="C33" s="9" t="n">
        <v>570</v>
      </c>
      <c r="D33" s="9" t="n">
        <v>417</v>
      </c>
      <c r="E33" s="9" t="n">
        <v>268</v>
      </c>
      <c r="F33" s="9" t="n">
        <v>108</v>
      </c>
    </row>
    <row r="34">
      <c r="A34" s="8" t="inlineStr">
        <is>
          <t>EBITDA Margin (%)</t>
        </is>
      </c>
      <c r="B34" s="9" t="n">
        <v>13.5</v>
      </c>
      <c r="C34" s="9" t="n">
        <v>15.2</v>
      </c>
      <c r="D34" s="9" t="n">
        <v>12.3</v>
      </c>
      <c r="E34" s="9" t="n">
        <v>8.800000000000001</v>
      </c>
      <c r="F34" s="9" t="n">
        <v>4.2</v>
      </c>
    </row>
    <row r="35">
      <c r="A35" s="8" t="inlineStr">
        <is>
          <t>Net Income</t>
        </is>
      </c>
      <c r="B35" s="9" t="n">
        <v>423</v>
      </c>
      <c r="C35" s="9" t="n">
        <v>427</v>
      </c>
      <c r="D35" s="9" t="n">
        <v>374</v>
      </c>
      <c r="E35" s="9" t="n">
        <v>248</v>
      </c>
      <c r="F35" s="9" t="n">
        <v>88</v>
      </c>
    </row>
    <row r="36">
      <c r="A36" s="8" t="inlineStr">
        <is>
          <t>Net Margin (%)</t>
        </is>
      </c>
      <c r="B36" s="9" t="n">
        <v>10.9</v>
      </c>
      <c r="C36" s="9" t="n">
        <v>11.4</v>
      </c>
      <c r="D36" s="9" t="n">
        <v>11.1</v>
      </c>
      <c r="E36" s="9" t="n">
        <v>8.199999999999999</v>
      </c>
      <c r="F36" s="9" t="n">
        <v>3.4</v>
      </c>
    </row>
    <row r="37">
      <c r="A37" s="8" t="inlineStr">
        <is>
          <t>EPS Diluted</t>
        </is>
      </c>
      <c r="B37" s="9" t="n">
        <v>1.8</v>
      </c>
      <c r="C37" s="9" t="n">
        <v>1.82</v>
      </c>
      <c r="D37" s="9" t="n">
        <v>1.56</v>
      </c>
      <c r="E37" s="9" t="n">
        <v>1.06</v>
      </c>
      <c r="F37" s="9" t="n">
        <v>0.39</v>
      </c>
    </row>
    <row r="38">
      <c r="A38" s="8" t="inlineStr">
        <is>
          <t>Op. Cash Flow</t>
        </is>
      </c>
      <c r="B38" s="9" t="n">
        <v>600</v>
      </c>
      <c r="C38" s="9" t="n">
        <v>580</v>
      </c>
      <c r="D38" s="9" t="n">
        <v>470</v>
      </c>
      <c r="E38" s="9" t="n">
        <v>310</v>
      </c>
      <c r="F38" s="9" t="n">
        <v>170</v>
      </c>
    </row>
    <row r="39">
      <c r="A39" s="8" t="inlineStr">
        <is>
          <t>Capex</t>
        </is>
      </c>
      <c r="B39" s="9" t="n">
        <v>120</v>
      </c>
      <c r="C39" s="9" t="n">
        <v>110</v>
      </c>
      <c r="D39" s="9" t="n">
        <v>90</v>
      </c>
      <c r="E39" s="9" t="n">
        <v>80</v>
      </c>
      <c r="F39" s="9" t="n">
        <v>70</v>
      </c>
    </row>
    <row r="40">
      <c r="A40" s="8" t="inlineStr">
        <is>
          <t>Free Cash Flow</t>
        </is>
      </c>
      <c r="B40" s="9" t="n">
        <v>480</v>
      </c>
      <c r="C40" s="9" t="n">
        <v>470</v>
      </c>
      <c r="D40" s="9" t="n">
        <v>380</v>
      </c>
      <c r="E40" s="9" t="n">
        <v>230</v>
      </c>
      <c r="F40" s="9" t="n">
        <v>100</v>
      </c>
    </row>
    <row r="41">
      <c r="A41" s="8" t="inlineStr">
        <is>
          <t>FCF Margin (%)</t>
        </is>
      </c>
      <c r="B41" s="9" t="n">
        <v>12.4</v>
      </c>
      <c r="C41" s="9" t="n">
        <v>12.6</v>
      </c>
      <c r="D41" s="9" t="n">
        <v>11.2</v>
      </c>
      <c r="E41" s="9" t="n">
        <v>7.6</v>
      </c>
      <c r="F41" s="9" t="n">
        <v>3.9</v>
      </c>
    </row>
    <row r="42">
      <c r="A42" s="8" t="inlineStr">
        <is>
          <t>FCF Per Share</t>
        </is>
      </c>
      <c r="B42" s="9" t="n">
        <v>2.04</v>
      </c>
      <c r="C42" s="9" t="n">
        <v>1.97</v>
      </c>
      <c r="D42" s="9" t="n">
        <v>1.58</v>
      </c>
      <c r="E42" s="9" t="n">
        <v>0.98</v>
      </c>
      <c r="F42" s="9" t="n">
        <v>0.44</v>
      </c>
    </row>
    <row r="43">
      <c r="A43" s="8" t="inlineStr">
        <is>
          <t>Diluted Shares (M)</t>
        </is>
      </c>
      <c r="B43" s="9" t="n">
        <v>235</v>
      </c>
      <c r="C43" s="9" t="n">
        <v>238</v>
      </c>
      <c r="D43" s="9" t="n">
        <v>240</v>
      </c>
      <c r="E43" s="9" t="n">
        <v>234</v>
      </c>
      <c r="F43" s="9" t="n">
        <v>226</v>
      </c>
    </row>
    <row r="44">
      <c r="A44" s="8" t="inlineStr">
        <is>
          <t>Cash ($M)</t>
        </is>
      </c>
      <c r="B44" s="9" t="n">
        <v>1500</v>
      </c>
      <c r="C44" s="9" t="n">
        <v>1550</v>
      </c>
      <c r="D44" s="9" t="n">
        <v>1400</v>
      </c>
      <c r="E44" s="9" t="n">
        <v>1200</v>
      </c>
      <c r="F44" s="9" t="n">
        <v>900</v>
      </c>
    </row>
    <row r="45">
      <c r="A45" s="8" t="inlineStr">
        <is>
          <t>Total Debt ($M)</t>
        </is>
      </c>
      <c r="B45" s="9" t="n">
        <v>50</v>
      </c>
      <c r="C45" s="9" t="n">
        <v>60</v>
      </c>
      <c r="D45" s="9" t="n">
        <v>100</v>
      </c>
      <c r="E45" s="9" t="n">
        <v>200</v>
      </c>
      <c r="F45" s="9" t="n">
        <v>384</v>
      </c>
    </row>
    <row r="46">
      <c r="A46" s="8" t="inlineStr">
        <is>
          <t>Net Cash ($M)</t>
        </is>
      </c>
      <c r="B46" s="9" t="n">
        <v>1450</v>
      </c>
      <c r="C46" s="9" t="n">
        <v>1490</v>
      </c>
      <c r="D46" s="9" t="n">
        <v>1300</v>
      </c>
      <c r="E46" s="9" t="n">
        <v>1000</v>
      </c>
      <c r="F46" s="9" t="n">
        <v>516</v>
      </c>
    </row>
  </sheetData>
  <mergeCells count="3">
    <mergeCell ref="A1:G1"/>
    <mergeCell ref="A12:G1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>
      <c r="A1" s="1" t="inlineStr">
        <is>
          <t>Maplebear/Instacart (CART) — WACC Calculation</t>
        </is>
      </c>
    </row>
    <row r="3">
      <c r="A3" s="8" t="inlineStr">
        <is>
          <t>Component</t>
        </is>
      </c>
      <c r="B3" s="9" t="inlineStr">
        <is>
          <t>Value</t>
        </is>
      </c>
      <c r="C3" s="3" t="inlineStr">
        <is>
          <t>Rationale</t>
        </is>
      </c>
    </row>
    <row r="4">
      <c r="A4" s="8" t="inlineStr">
        <is>
          <t>Risk-free Rate (10y US)</t>
        </is>
      </c>
      <c r="B4" s="9" t="inlineStr">
        <is>
          <t>4.25%</t>
        </is>
      </c>
      <c r="C4" s="3" t="inlineStr">
        <is>
          <t>Current 10y note yield</t>
        </is>
      </c>
    </row>
    <row r="5">
      <c r="A5" s="8" t="inlineStr">
        <is>
          <t>Equity Risk Premium</t>
        </is>
      </c>
      <c r="B5" s="9" t="inlineStr">
        <is>
          <t>5.00%</t>
        </is>
      </c>
      <c r="C5" s="3" t="inlineStr">
        <is>
          <t>Standard ERP</t>
        </is>
      </c>
    </row>
    <row r="6">
      <c r="A6" s="8" t="inlineStr">
        <is>
          <t>Beta (Levered)</t>
        </is>
      </c>
      <c r="B6" s="9" t="inlineStr">
        <is>
          <t>0.96</t>
        </is>
      </c>
      <c r="C6" s="3" t="inlineStr">
        <is>
          <t>Yahoo Finance 5Y monthly beta</t>
        </is>
      </c>
    </row>
    <row r="7">
      <c r="A7" s="8" t="inlineStr">
        <is>
          <t>Cost of Equity (CAPM)</t>
        </is>
      </c>
      <c r="B7" s="9" t="inlineStr">
        <is>
          <t>9.00%</t>
        </is>
      </c>
      <c r="C7" s="3">
        <f>Rfr + Beta x ERP</f>
        <v/>
      </c>
    </row>
    <row r="8">
      <c r="A8" s="8" t="inlineStr">
        <is>
          <t>Cost of Debt</t>
        </is>
      </c>
      <c r="B8" s="9" t="inlineStr">
        <is>
          <t>5.00%</t>
        </is>
      </c>
      <c r="C8" s="3" t="inlineStr">
        <is>
          <t>Est. blended rate — minimal debt</t>
        </is>
      </c>
    </row>
    <row r="9">
      <c r="A9" s="8" t="inlineStr">
        <is>
          <t>Tax Rate</t>
        </is>
      </c>
      <c r="B9" s="9" t="inlineStr">
        <is>
          <t>25.00%</t>
        </is>
      </c>
      <c r="C9" s="3" t="inlineStr">
        <is>
          <t>US GAAP effective rate</t>
        </is>
      </c>
    </row>
    <row r="10">
      <c r="A10" s="8" t="inlineStr">
        <is>
          <t>Market Cap ($M)</t>
        </is>
      </c>
      <c r="B10" s="9" t="inlineStr">
        <is>
          <t>9,354</t>
        </is>
      </c>
      <c r="C10" s="3" t="inlineStr">
        <is>
          <t>As of 2026-05-29</t>
        </is>
      </c>
    </row>
    <row r="11">
      <c r="A11" s="8" t="inlineStr">
        <is>
          <t>Total Debt ($M)</t>
        </is>
      </c>
      <c r="B11" s="9" t="inlineStr">
        <is>
          <t>50</t>
        </is>
      </c>
      <c r="C11" s="3" t="inlineStr">
        <is>
          <t>Estimated minimal long-term debt</t>
        </is>
      </c>
    </row>
    <row r="12">
      <c r="A12" s="8" t="inlineStr">
        <is>
          <t>Equity Weight</t>
        </is>
      </c>
      <c r="B12" s="9" t="inlineStr">
        <is>
          <t>99.5%</t>
        </is>
      </c>
      <c r="C12" s="3">
        <f>E/M — effectively all equity</f>
        <v/>
      </c>
    </row>
    <row r="13">
      <c r="A13" s="8" t="inlineStr">
        <is>
          <t>Debt Weight</t>
        </is>
      </c>
      <c r="B13" s="9" t="inlineStr">
        <is>
          <t>0.5%</t>
        </is>
      </c>
      <c r="C13" s="3">
        <f>D/M — negligible</f>
        <v/>
      </c>
    </row>
    <row r="14">
      <c r="A14" s="8" t="inlineStr">
        <is>
          <t>WACC</t>
        </is>
      </c>
      <c r="B14" s="9" t="inlineStr">
        <is>
          <t>9.0%</t>
        </is>
      </c>
      <c r="C14" s="3" t="inlineStr">
        <is>
          <t>~Cost of equity due to tiny debt weight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Maplebear/Instacart (CART) — Scenario Analysis</t>
        </is>
      </c>
    </row>
    <row r="3">
      <c r="A3" s="7" t="inlineStr">
        <is>
          <t>Metric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s="8" t="inlineStr">
        <is>
          <t>Revenue CAGR (5Y)</t>
        </is>
      </c>
      <c r="B4" s="9" t="inlineStr">
        <is>
          <t>8%</t>
        </is>
      </c>
      <c r="C4" s="9" t="inlineStr">
        <is>
          <t>12%</t>
        </is>
      </c>
      <c r="D4" s="9" t="inlineStr">
        <is>
          <t>16%</t>
        </is>
      </c>
    </row>
    <row r="5">
      <c r="A5" s="8" t="inlineStr">
        <is>
          <t>Terminal Revenue ($M)</t>
        </is>
      </c>
      <c r="B5" s="9" t="inlineStr">
        <is>
          <t>5,672</t>
        </is>
      </c>
      <c r="C5" s="9" t="inlineStr">
        <is>
          <t>7,213</t>
        </is>
      </c>
      <c r="D5" s="9" t="inlineStr">
        <is>
          <t>9,224</t>
        </is>
      </c>
    </row>
    <row r="6">
      <c r="A6" s="8" t="inlineStr">
        <is>
          <t>Take Rate (%)</t>
        </is>
      </c>
      <c r="B6" s="9" t="inlineStr">
        <is>
          <t>10%</t>
        </is>
      </c>
      <c r="C6" s="9" t="inlineStr">
        <is>
          <t>10.5%</t>
        </is>
      </c>
      <c r="D6" s="9" t="inlineStr">
        <is>
          <t>11%</t>
        </is>
      </c>
    </row>
    <row r="7">
      <c r="A7" s="8" t="inlineStr">
        <is>
          <t>GTP ($B)</t>
        </is>
      </c>
      <c r="B7" s="9" t="inlineStr">
        <is>
          <t>567</t>
        </is>
      </c>
      <c r="C7" s="9" t="inlineStr">
        <is>
          <t>687</t>
        </is>
      </c>
      <c r="D7" s="9" t="inlineStr">
        <is>
          <t>838</t>
        </is>
      </c>
    </row>
    <row r="8">
      <c r="A8" s="8" t="inlineStr">
        <is>
          <t>Operating Margin</t>
        </is>
      </c>
      <c r="B8" s="9" t="inlineStr">
        <is>
          <t>18%</t>
        </is>
      </c>
      <c r="C8" s="9" t="inlineStr">
        <is>
          <t>22%</t>
        </is>
      </c>
      <c r="D8" s="9" t="inlineStr">
        <is>
          <t>26%</t>
        </is>
      </c>
    </row>
    <row r="9">
      <c r="A9" s="8" t="inlineStr">
        <is>
          <t>Terminal Op Income ($M)</t>
        </is>
      </c>
      <c r="B9" s="9" t="inlineStr">
        <is>
          <t>1,021</t>
        </is>
      </c>
      <c r="C9" s="9" t="inlineStr">
        <is>
          <t>1,587</t>
        </is>
      </c>
      <c r="D9" s="9" t="inlineStr">
        <is>
          <t>2,398</t>
        </is>
      </c>
    </row>
    <row r="10">
      <c r="A10" s="8" t="inlineStr">
        <is>
          <t>Tax Adjustment</t>
        </is>
      </c>
      <c r="B10" s="9" t="inlineStr">
        <is>
          <t>20%</t>
        </is>
      </c>
      <c r="C10" s="9" t="inlineStr">
        <is>
          <t>20%</t>
        </is>
      </c>
      <c r="D10" s="9" t="inlineStr">
        <is>
          <t>20%</t>
        </is>
      </c>
    </row>
    <row r="11">
      <c r="A11" s="8" t="inlineStr">
        <is>
          <t>Terminal FCF ($M)</t>
        </is>
      </c>
      <c r="B11" s="9" t="inlineStr">
        <is>
          <t>790</t>
        </is>
      </c>
      <c r="C11" s="9" t="inlineStr">
        <is>
          <t>1,222</t>
        </is>
      </c>
      <c r="D11" s="9" t="inlineStr">
        <is>
          <t>1,890</t>
        </is>
      </c>
    </row>
    <row r="12">
      <c r="A12" s="8" t="inlineStr">
        <is>
          <t>Exit Multiple (EV/Op)</t>
        </is>
      </c>
      <c r="B12" s="9" t="inlineStr">
        <is>
          <t>11x</t>
        </is>
      </c>
      <c r="C12" s="9" t="inlineStr">
        <is>
          <t>15x</t>
        </is>
      </c>
      <c r="D12" s="9" t="inlineStr">
        <is>
          <t>20x</t>
        </is>
      </c>
    </row>
    <row r="13">
      <c r="A13" s="8" t="inlineStr">
        <is>
          <t>Implied EV</t>
        </is>
      </c>
      <c r="B13" s="9" t="inlineStr">
        <is>
          <t>$8,690M</t>
        </is>
      </c>
      <c r="C13" s="9" t="inlineStr">
        <is>
          <t>$19,305M</t>
        </is>
      </c>
      <c r="D13" s="9" t="inlineStr">
        <is>
          <t>$37,960M</t>
        </is>
      </c>
    </row>
    <row r="14">
      <c r="A14" s="8" t="inlineStr">
        <is>
          <t>Add: Net Cash</t>
        </is>
      </c>
      <c r="B14" s="9" t="inlineStr">
        <is>
          <t>$1,350M</t>
        </is>
      </c>
      <c r="C14" s="9" t="inlineStr">
        <is>
          <t>$1,350M</t>
        </is>
      </c>
      <c r="D14" s="9" t="inlineStr">
        <is>
          <t>$1,350M</t>
        </is>
      </c>
    </row>
    <row r="15">
      <c r="A15" s="8" t="inlineStr">
        <is>
          <t>Implied Equity Value</t>
        </is>
      </c>
      <c r="B15" s="9" t="inlineStr">
        <is>
          <t>$10,040M</t>
        </is>
      </c>
      <c r="C15" s="9" t="inlineStr">
        <is>
          <t>$20,655M</t>
        </is>
      </c>
      <c r="D15" s="9" t="inlineStr">
        <is>
          <t>$39,310M</t>
        </is>
      </c>
    </row>
    <row r="16">
      <c r="A16" s="8" t="inlineStr">
        <is>
          <t>Shares (M)</t>
        </is>
      </c>
      <c r="B16" s="9" t="inlineStr">
        <is>
          <t>230</t>
        </is>
      </c>
      <c r="C16" s="9" t="inlineStr">
        <is>
          <t>230</t>
        </is>
      </c>
      <c r="D16" s="9" t="inlineStr">
        <is>
          <t>230</t>
        </is>
      </c>
    </row>
    <row r="17">
      <c r="A17" s="8" t="inlineStr">
        <is>
          <t>Value/Share</t>
        </is>
      </c>
      <c r="B17" s="9" t="inlineStr">
        <is>
          <t>$43.65</t>
        </is>
      </c>
      <c r="C17" s="9" t="inlineStr">
        <is>
          <t>$89.80</t>
        </is>
      </c>
      <c r="D17" s="9" t="inlineStr">
        <is>
          <t>$170.91</t>
        </is>
      </c>
    </row>
    <row r="18">
      <c r="A18" s="8" t="inlineStr">
        <is>
          <t>Return from $39.80</t>
        </is>
      </c>
      <c r="B18" s="9" t="inlineStr">
        <is>
          <t>+9.4%</t>
        </is>
      </c>
      <c r="C18" s="9" t="inlineStr">
        <is>
          <t>+126%</t>
        </is>
      </c>
      <c r="D18" s="9" t="inlineStr">
        <is>
          <t>+329%</t>
        </is>
      </c>
    </row>
    <row r="19">
      <c r="A19" s="8" t="inlineStr">
        <is>
          <t>Weight</t>
        </is>
      </c>
      <c r="B19" s="9" t="inlineStr">
        <is>
          <t>25%</t>
        </is>
      </c>
      <c r="C19" s="9" t="inlineStr">
        <is>
          <t>50%</t>
        </is>
      </c>
      <c r="D19" s="9" t="inlineStr">
        <is>
          <t>25%</t>
        </is>
      </c>
    </row>
    <row r="20">
      <c r="A20" s="8" t="inlineStr">
        <is>
          <t>Weighted Value/Share</t>
        </is>
      </c>
      <c r="B20" s="9" t="inlineStr">
        <is>
          <t>$10.91</t>
        </is>
      </c>
      <c r="C20" s="9" t="inlineStr">
        <is>
          <t>$44.90</t>
        </is>
      </c>
      <c r="D20" s="9" t="inlineStr">
        <is>
          <t>$42.73</t>
        </is>
      </c>
    </row>
    <row r="21">
      <c r="A21" s="10" t="n"/>
      <c r="B21" s="9" t="inlineStr">
        <is>
          <t>Total Probability-Weighted FV</t>
        </is>
      </c>
      <c r="C21" s="9" t="n"/>
      <c r="D21" s="9" t="inlineStr">
        <is>
          <t>$98.54</t>
        </is>
      </c>
    </row>
    <row r="22">
      <c r="A22" s="10" t="n"/>
      <c r="B22" s="9" t="inlineStr">
        <is>
          <t>Upside from $39.80</t>
        </is>
      </c>
      <c r="C22" s="9" t="n"/>
      <c r="D22" s="9" t="inlineStr">
        <is>
          <t>+147%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45" customWidth="1" min="4" max="4"/>
  </cols>
  <sheetData>
    <row r="1">
      <c r="A1" s="1" t="inlineStr">
        <is>
          <t>Maplebear/Instacart (CART) — Data Sources &amp; Audit</t>
        </is>
      </c>
    </row>
    <row r="2">
      <c r="A2" s="8" t="inlineStr">
        <is>
          <t>Data Point</t>
        </is>
      </c>
      <c r="B2" s="3" t="inlineStr">
        <is>
          <t>Source</t>
        </is>
      </c>
      <c r="C2" s="3" t="inlineStr">
        <is>
          <t>Date</t>
        </is>
      </c>
      <c r="D2" s="3" t="inlineStr">
        <is>
          <t>Notes</t>
        </is>
      </c>
    </row>
    <row r="3">
      <c r="A3" s="3" t="inlineStr">
        <is>
          <t>Stock Price</t>
        </is>
      </c>
      <c r="B3" s="3" t="inlineStr">
        <is>
          <t>Yahoo Finance</t>
        </is>
      </c>
      <c r="C3" s="3" t="inlineStr">
        <is>
          <t>2026-05-29</t>
        </is>
      </c>
      <c r="D3" s="3" t="inlineStr">
        <is>
          <t>Closed $39.80</t>
        </is>
      </c>
    </row>
    <row r="4">
      <c r="A4" s="3" t="inlineStr">
        <is>
          <t>Market Cap</t>
        </is>
      </c>
      <c r="B4" s="3" t="inlineStr">
        <is>
          <t>Yahoo Finance</t>
        </is>
      </c>
      <c r="C4" s="3" t="inlineStr">
        <is>
          <t>2026-05-29</t>
        </is>
      </c>
      <c r="D4" s="3" t="inlineStr">
        <is>
          <t>$9.35B on 235M shares</t>
        </is>
      </c>
    </row>
    <row r="5">
      <c r="A5" s="3" t="inlineStr">
        <is>
          <t>Income Statement</t>
        </is>
      </c>
      <c r="B5" s="3" t="inlineStr">
        <is>
          <t>Yahoo Finance</t>
        </is>
      </c>
      <c r="C5" s="3" t="inlineStr">
        <is>
          <t>2026-05-30</t>
        </is>
      </c>
      <c r="D5" s="3" t="inlineStr">
        <is>
          <t>TTM $3.86B, FY25 $3.74B</t>
        </is>
      </c>
    </row>
    <row r="6">
      <c r="A6" s="3" t="inlineStr">
        <is>
          <t>Gross Profit/Margin</t>
        </is>
      </c>
      <c r="B6" s="3" t="inlineStr">
        <is>
          <t>Yahoo Finance</t>
        </is>
      </c>
      <c r="C6" s="3" t="inlineStr">
        <is>
          <t>2026-05-30</t>
        </is>
      </c>
      <c r="D6" s="3" t="inlineStr">
        <is>
          <t>~73% margin</t>
        </is>
      </c>
    </row>
    <row r="7">
      <c r="A7" s="3" t="inlineStr">
        <is>
          <t>GTV Data</t>
        </is>
      </c>
      <c r="B7" s="3" t="inlineStr">
        <is>
          <t>Company Q1 2026 earnings</t>
        </is>
      </c>
      <c r="C7" s="3" t="inlineStr">
        <is>
          <t>2026-04</t>
        </is>
      </c>
      <c r="D7" s="3" t="inlineStr">
        <is>
          <t>~$10.29B Q1 GTV</t>
        </is>
      </c>
    </row>
    <row r="8">
      <c r="A8" s="3" t="inlineStr">
        <is>
          <t>Operating Income</t>
        </is>
      </c>
      <c r="B8" s="3" t="inlineStr">
        <is>
          <t>Yahoo Finance + earnings</t>
        </is>
      </c>
      <c r="C8" s="3" t="inlineStr">
        <is>
          <t>2026-05-30</t>
        </is>
      </c>
      <c r="D8" s="3" t="inlineStr">
        <is>
          <t>TTM ~$450M</t>
        </is>
      </c>
    </row>
    <row r="9">
      <c r="A9" s="3" t="inlineStr">
        <is>
          <t>Free Cash Flow</t>
        </is>
      </c>
      <c r="B9" s="3" t="inlineStr">
        <is>
          <t>Yahoo Finance</t>
        </is>
      </c>
      <c r="C9" s="3" t="inlineStr">
        <is>
          <t>2026-05-30</t>
        </is>
      </c>
      <c r="D9" s="3" t="inlineStr">
        <is>
          <t>~$480M TTM</t>
        </is>
      </c>
    </row>
    <row r="10">
      <c r="A10" s="3" t="inlineStr">
        <is>
          <t>Analyst Estimates</t>
        </is>
      </c>
      <c r="B10" s="3" t="inlineStr">
        <is>
          <t>Yahoo Finance</t>
        </is>
      </c>
      <c r="C10" s="3" t="inlineStr">
        <is>
          <t>2026-05-30</t>
        </is>
      </c>
      <c r="D10" s="3" t="inlineStr">
        <is>
          <t>34 analysts</t>
        </is>
      </c>
    </row>
    <row r="11">
      <c r="A11" s="3" t="inlineStr">
        <is>
          <t>Buyback Data</t>
        </is>
      </c>
      <c r="B11" s="3" t="inlineStr">
        <is>
          <t>Q1 2026 earnings</t>
        </is>
      </c>
      <c r="C11" s="3" t="inlineStr">
        <is>
          <t>2026-04</t>
        </is>
      </c>
      <c r="D11" s="3" t="inlineStr">
        <is>
          <t>$349M Q1 buyback</t>
        </is>
      </c>
    </row>
    <row r="12">
      <c r="A12" s="3" t="inlineStr">
        <is>
          <t>Cash/Debt</t>
        </is>
      </c>
      <c r="B12" s="3" t="inlineStr">
        <is>
          <t>Yahoo Finance Financials</t>
        </is>
      </c>
      <c r="C12" s="3" t="inlineStr">
        <is>
          <t>2026-05-30</t>
        </is>
      </c>
      <c r="D12" s="3" t="inlineStr">
        <is>
          <t>~$1.5B cash, ~$50M debt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1" t="inlineStr">
        <is>
          <t>Maplebear/Instacart (CART) — Open Questions</t>
        </is>
      </c>
    </row>
    <row r="2">
      <c r="A2" s="9" t="n">
        <v>1</v>
      </c>
      <c r="B2" s="3" t="inlineStr">
        <is>
          <t>Growth decelerating: revenue +3% TTM, GTV +5.7%. Plateau or cyclical?</t>
        </is>
      </c>
    </row>
    <row r="3">
      <c r="A3" s="9" t="n">
        <v>2</v>
      </c>
      <c r="B3" s="3" t="inlineStr">
        <is>
          <t>Take rate expansion: can the company raise its ~9% take rate?</t>
        </is>
      </c>
    </row>
    <row r="4">
      <c r="A4" s="9" t="n">
        <v>3</v>
      </c>
      <c r="B4" s="3" t="inlineStr">
        <is>
          <t>Ad monetization: $286M TTM growing 16%. How much more runway?</t>
        </is>
      </c>
    </row>
    <row r="5">
      <c r="A5" s="9" t="n">
        <v>4</v>
      </c>
      <c r="B5" s="3" t="inlineStr">
        <is>
          <t>Buybacks: $3.5B auth on $9.35B mkt cap — value creation?</t>
        </is>
      </c>
    </row>
    <row r="6">
      <c r="A6" s="9" t="n">
        <v>5</v>
      </c>
      <c r="B6" s="3" t="inlineStr">
        <is>
          <t>Moat: Amazon, Walmart, DoorDash all doing grocery delivery.</t>
        </is>
      </c>
    </row>
    <row r="7">
      <c r="A7" s="9" t="n">
        <v>6</v>
      </c>
      <c r="B7" s="3" t="inlineStr">
        <is>
          <t>Non-grocery expansion: Ace Hardware, Lush, 1-800-Flowers partnerships.</t>
        </is>
      </c>
    </row>
    <row r="8">
      <c r="A8" s="9" t="n">
        <v>7</v>
      </c>
      <c r="B8" s="3" t="inlineStr">
        <is>
          <t>Regulatory: item price testing ended. More compliance costs?</t>
        </is>
      </c>
    </row>
    <row r="9">
      <c r="A9" s="9" t="n">
        <v>8</v>
      </c>
      <c r="B9" s="3" t="inlineStr">
        <is>
          <t>Q2 guidance vs consensus: GTV $10.1-10.25B. Above street?</t>
        </is>
      </c>
    </row>
    <row r="10">
      <c r="A10" s="9" t="n">
        <v>9</v>
      </c>
      <c r="B10" s="3" t="inlineStr">
        <is>
          <t>Margin trajectory: 2.2% to 14.7%. Can it sustain at 20%+?</t>
        </is>
      </c>
    </row>
    <row r="11">
      <c r="A11" s="9" t="n">
        <v>10</v>
      </c>
      <c r="B11" s="3" t="inlineStr">
        <is>
          <t>Post-pandemic grocery delivery habits: lower order frequency?</t>
        </is>
      </c>
    </row>
    <row r="12">
      <c r="A12" s="9" t="n">
        <v>11</v>
      </c>
      <c r="B12" s="3" t="inlineStr">
        <is>
          <t>Intl: Instacart in Canada. Any plans beyond North America?</t>
        </is>
      </c>
    </row>
    <row r="13">
      <c r="A13" s="9" t="n">
        <v>12</v>
      </c>
      <c r="B13" s="3" t="inlineStr">
        <is>
          <t>Dilution: share count 238M to 235M. More option grants?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Maplebear/Instacart (CART) — Sources</t>
        </is>
      </c>
    </row>
    <row r="2">
      <c r="A2" s="9" t="n">
        <v>1</v>
      </c>
      <c r="B2" s="3" t="inlineStr">
        <is>
          <t>Yahoo Finance CART Overview</t>
        </is>
      </c>
    </row>
    <row r="3">
      <c r="A3" s="9" t="n">
        <v>2</v>
      </c>
      <c r="B3" s="3" t="inlineStr">
        <is>
          <t>https://finance.yahoo.com/quote/CART/</t>
        </is>
      </c>
    </row>
    <row r="4">
      <c r="A4" s="9" t="n">
        <v>3</v>
      </c>
      <c r="B4" s="3" t="inlineStr">
        <is>
          <t>Financials (Income/Balance Sheet/Cash Flow)</t>
        </is>
      </c>
    </row>
    <row r="5">
      <c r="A5" s="9" t="n">
        <v>4</v>
      </c>
      <c r="B5" s="3" t="inlineStr">
        <is>
          <t>https://finance.yahoo.com/quote/CART/financials/</t>
        </is>
      </c>
    </row>
    <row r="6">
      <c r="A6" s="9" t="n">
        <v>5</v>
      </c>
      <c r="B6" s="3" t="inlineStr">
        <is>
          <t>Google Finance CART Overview</t>
        </is>
      </c>
    </row>
    <row r="7">
      <c r="A7" s="9" t="n">
        <v>6</v>
      </c>
      <c r="B7" s="3" t="inlineStr">
        <is>
          <t>https://www.google.com/finance/quote/CART:NASDAQ</t>
        </is>
      </c>
    </row>
    <row r="8">
      <c r="A8" s="9" t="n">
        <v>7</v>
      </c>
      <c r="B8" s="3" t="inlineStr">
        <is>
          <t>Q1 2026 Earnings summary</t>
        </is>
      </c>
    </row>
    <row r="9">
      <c r="A9" s="9" t="n">
        <v>8</v>
      </c>
      <c r="B9" s="3" t="inlineStr">
        <is>
          <t>GTV $10.29B Q1, Rev &gt;$1B, Net income $144M</t>
        </is>
      </c>
    </row>
    <row r="10">
      <c r="A10" s="9" t="n">
        <v>9</v>
      </c>
      <c r="B10" s="3" t="inlineStr">
        <is>
          <t>SEC EDGAR (Maplebear Inc.)</t>
        </is>
      </c>
    </row>
    <row r="11">
      <c r="A11" s="9" t="n">
        <v>10</v>
      </c>
      <c r="B11" s="3" t="inlineStr">
        <is>
          <t>https://www.sec.gov/cgi-bin/browse-edgar?action=getcompany&amp;q=CART&amp;type=10-K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2026-05-30T14:42:01Z</dcterms:created>
  <dcterms:modified xsi:type="dcterms:W3CDTF">2026-05-30T14:42:01Z</dcterms:modified>
</cp:coreProperties>
</file>