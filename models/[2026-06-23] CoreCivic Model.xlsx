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</cols>
  <sheetData>
    <row r="1">
      <c r="A1" s="1" t="inlineStr">
        <is>
          <t>CoreCivic, Inc. (CXW) — Valuation Model</t>
        </is>
      </c>
    </row>
    <row r="2">
      <c r="A2" s="2" t="inlineStr">
        <is>
          <t>Company:</t>
        </is>
      </c>
      <c r="B2" t="inlineStr">
        <is>
          <t>CoreCivic, Inc.</t>
        </is>
      </c>
    </row>
    <row r="3">
      <c r="A3" s="2" t="inlineStr">
        <is>
          <t>Ticker:</t>
        </is>
      </c>
      <c r="B3" t="inlineStr">
        <is>
          <t>NYSE: CXW</t>
        </is>
      </c>
    </row>
    <row r="4">
      <c r="A4" s="2" t="inlineStr">
        <is>
          <t>Sector:</t>
        </is>
      </c>
      <c r="B4" t="inlineStr">
        <is>
          <t>Real Estate — Privately Operated Correctional &amp; Detention Facilities</t>
        </is>
      </c>
    </row>
    <row r="5">
      <c r="A5" s="2" t="inlineStr">
        <is>
          <t>Date:</t>
        </is>
      </c>
      <c r="B5" t="inlineStr">
        <is>
          <t>2026-06-23</t>
        </is>
      </c>
    </row>
    <row r="6">
      <c r="A6" s="2" t="inlineStr">
        <is>
          <t>Price:</t>
        </is>
      </c>
      <c r="B6" t="n">
        <v>29.73</v>
      </c>
    </row>
    <row r="7">
      <c r="A7" s="2" t="inlineStr">
        <is>
          <t>Shares Outstanding:</t>
        </is>
      </c>
      <c r="B7" t="inlineStr">
        <is>
          <t>98.89M</t>
        </is>
      </c>
    </row>
    <row r="8">
      <c r="A8" s="2" t="inlineStr">
        <is>
          <t>Market Cap:</t>
        </is>
      </c>
      <c r="B8" t="inlineStr">
        <is>
          <t>$2.93B</t>
        </is>
      </c>
    </row>
    <row r="9">
      <c r="A9" s="2" t="inlineStr">
        <is>
          <t>Enterprise Value:</t>
        </is>
      </c>
      <c r="B9" t="inlineStr">
        <is>
          <t>$4.12B</t>
        </is>
      </c>
    </row>
    <row r="10">
      <c r="A10" s="2" t="inlineStr">
        <is>
          <t>Primary Lens:</t>
        </is>
      </c>
      <c r="B10" t="inlineStr">
        <is>
          <t>Forward P/E + EV/EBITDA + Scenario FCF Multiple Analysis</t>
        </is>
      </c>
    </row>
    <row r="11">
      <c r="A11" s="2" t="inlineStr">
        <is>
          <t>Stance:</t>
        </is>
      </c>
      <c r="B11" t="inlineStr">
        <is>
          <t>Cautiously Bullish — revenue growth + EPS surprise momentum, but debt-heavy and FCF volatile</t>
        </is>
      </c>
    </row>
    <row r="13">
      <c r="A13" s="3" t="inlineStr">
        <is>
          <t>Key Valuation Metrics</t>
        </is>
      </c>
    </row>
    <row r="14">
      <c r="A14" s="4" t="inlineStr">
        <is>
          <t>Metric</t>
        </is>
      </c>
      <c r="B14" s="4" t="inlineStr">
        <is>
          <t>Value</t>
        </is>
      </c>
      <c r="C14" s="4" t="inlineStr">
        <is>
          <t>Comment</t>
        </is>
      </c>
    </row>
    <row r="15">
      <c r="A15" s="5" t="inlineStr">
        <is>
          <t>Trailing P/E</t>
        </is>
      </c>
      <c r="B15" s="6" t="n">
        <v>24.17</v>
      </c>
      <c r="C15" s="6" t="inlineStr">
        <is>
          <t>Based on TTM diluted EPS $1.23; above 5-yr average for CXW</t>
        </is>
      </c>
    </row>
    <row r="16">
      <c r="A16" s="5" t="inlineStr">
        <is>
          <t>Forward P/E</t>
        </is>
      </c>
      <c r="B16" s="6" t="n">
        <v>18.58</v>
      </c>
      <c r="C16" s="6" t="inlineStr">
        <is>
          <t>Based on FY2026 consensus EPS $1.60; more reasonable entry point</t>
        </is>
      </c>
    </row>
    <row r="17">
      <c r="A17" s="5" t="inlineStr">
        <is>
          <t>P/Sales</t>
        </is>
      </c>
      <c r="B17" s="6" t="n">
        <v>1.25</v>
      </c>
      <c r="C17" s="6" t="inlineStr">
        <is>
          <t>MC $2.93B / TTM rev $2.34B; below industry average for real estate</t>
        </is>
      </c>
    </row>
    <row r="18">
      <c r="A18" s="5" t="inlineStr">
        <is>
          <t>P/FCF (TTM)</t>
        </is>
      </c>
      <c r="B18" s="6" t="n">
        <v>112.3</v>
      </c>
      <c r="C18" s="6" t="inlineStr">
        <is>
          <t>FCF TTM only $26M; depressed by heavy Capex cycle</t>
        </is>
      </c>
    </row>
    <row r="19">
      <c r="A19" s="5" t="inlineStr">
        <is>
          <t>EV/FCF (TTM)</t>
        </is>
      </c>
      <c r="B19" s="6" t="n">
        <v>157.9</v>
      </c>
      <c r="C19" s="6" t="inlineStr">
        <is>
          <t>EV $4.12B / FCF $26M; expensive but Capex-heavy</t>
        </is>
      </c>
    </row>
    <row r="20">
      <c r="A20" s="5" t="inlineStr">
        <is>
          <t>EV/Sales</t>
        </is>
      </c>
      <c r="B20" s="6" t="n">
        <v>1.76</v>
      </c>
      <c r="C20" s="6" t="inlineStr">
        <is>
          <t>$ 4.12B / 2.34B; modest for corrections sector</t>
        </is>
      </c>
    </row>
    <row r="21">
      <c r="A21" s="5" t="inlineStr">
        <is>
          <t>EV/EBITDA</t>
        </is>
      </c>
      <c r="B21" s="6" t="n">
        <v>11.02</v>
      </c>
      <c r="C21" s="6" t="inlineStr">
        <is>
          <t>$ 4.12B / 0.37B; reasonable for debt-heavy REIT adj.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>
      <c r="A1" s="1" t="inlineStr">
        <is>
          <t>WACC Calculation — CAPM Method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Source / Notes</t>
        </is>
      </c>
    </row>
    <row r="4">
      <c r="A4" s="5" t="inlineStr">
        <is>
          <t>Risk-Free Rate (10Y US)</t>
        </is>
      </c>
      <c r="B4" s="6" t="n">
        <v>0.04495</v>
      </c>
      <c r="C4" s="6" t="inlineStr">
        <is>
          <t>CNBC US10Y, 2026-06-23</t>
        </is>
      </c>
    </row>
    <row r="5">
      <c r="A5" s="5" t="inlineStr">
        <is>
          <t>Equity Risk Premium</t>
        </is>
      </c>
      <c r="B5" s="6" t="n">
        <v>0.05</v>
      </c>
      <c r="C5" s="6" t="inlineStr">
        <is>
          <t>Standard assumption</t>
        </is>
      </c>
    </row>
    <row r="6">
      <c r="A6" s="5" t="inlineStr">
        <is>
          <t>Beta (5Y Monthly)</t>
        </is>
      </c>
      <c r="B6" s="6" t="n">
        <v>0.64</v>
      </c>
      <c r="C6" s="6" t="inlineStr">
        <is>
          <t>Yahoo Finance Statistics</t>
        </is>
      </c>
    </row>
    <row r="7">
      <c r="A7" s="5" t="inlineStr">
        <is>
          <t>Cost of Equity (CAPM)</t>
        </is>
      </c>
      <c r="B7" s="6" t="n">
        <v>0.0769</v>
      </c>
      <c r="C7" s="6">
        <f>0.0449 + 0.64 × 5% = 0.0769</f>
        <v/>
      </c>
    </row>
    <row r="8">
      <c r="A8" s="5" t="inlineStr">
        <is>
          <t>Cost of Debt (pre-tax)</t>
        </is>
      </c>
      <c r="B8" s="6" t="n">
        <v>0.0649</v>
      </c>
      <c r="C8" s="6" t="inlineStr">
        <is>
          <t>Risk-free + 2% spread (BBB-ish corporate)</t>
        </is>
      </c>
    </row>
    <row r="9">
      <c r="A9" s="5" t="inlineStr">
        <is>
          <t>Tax Rate</t>
        </is>
      </c>
      <c r="B9" s="6" t="n">
        <v>0.2512</v>
      </c>
      <c r="C9" s="6" t="inlineStr">
        <is>
          <t>TTM effective: tax provision / pretax income</t>
        </is>
      </c>
    </row>
    <row r="10">
      <c r="A10" s="5" t="inlineStr">
        <is>
          <t>Market Cap ($B)</t>
        </is>
      </c>
      <c r="B10" s="6" t="n">
        <v>2.93</v>
      </c>
      <c r="C10" s="6" t="inlineStr">
        <is>
          <t xml:space="preserve"> Yahoo Finance</t>
        </is>
      </c>
    </row>
    <row r="11">
      <c r="A11" s="5" t="inlineStr">
        <is>
          <t>Total Debt ($B)</t>
        </is>
      </c>
      <c r="B11" s="6" t="n">
        <v>1.19</v>
      </c>
      <c r="C11" s="6" t="inlineStr">
        <is>
          <t>EV - MC; ~$1,142M gross debt minus $210M cash</t>
        </is>
      </c>
    </row>
    <row r="12">
      <c r="A12" s="5" t="inlineStr">
        <is>
          <t>Equity Weight</t>
        </is>
      </c>
      <c r="B12" s="6" t="n">
        <v>0.7112000000000001</v>
      </c>
      <c r="C12" s="6" t="inlineStr">
        <is>
          <t>MC / (MC + Net Debt)</t>
        </is>
      </c>
    </row>
    <row r="13">
      <c r="A13" s="5" t="inlineStr">
        <is>
          <t>Debt Weight</t>
        </is>
      </c>
      <c r="B13" s="6" t="n">
        <v>0.2888</v>
      </c>
      <c r="C13" s="6" t="inlineStr">
        <is>
          <t>Net Debt / (MC + Net Debt)</t>
        </is>
      </c>
    </row>
    <row r="14">
      <c r="A14" s="5" t="inlineStr">
        <is>
          <t>WACC</t>
        </is>
      </c>
      <c r="B14" s="6" t="n">
        <v>0.0688</v>
      </c>
      <c r="C14" s="6">
        <f> 0.7112 × 0.0769 + 0.2888 × 0.0649 × (1 - 0.2512)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6" customWidth="1" min="5" max="5"/>
    <col width="18" customWidth="1" min="6" max="6"/>
    <col width="16" customWidth="1" min="7" max="7"/>
    <col width="16" customWidth="1" min="8" max="8"/>
    <col width="12" customWidth="1" min="9" max="9"/>
    <col width="14" customWidth="1" min="10" max="10"/>
    <col width="12" customWidth="1" min="11" max="11"/>
    <col width="10" customWidth="1" min="12" max="12"/>
    <col width="16" customWidth="1" min="13" max="13"/>
  </cols>
  <sheetData>
    <row r="1">
      <c r="A1" s="1" t="inlineStr">
        <is>
          <t>Bear / Base / Bull Scenario Analysis — 5-Year Projection</t>
        </is>
      </c>
    </row>
    <row r="3">
      <c r="A3" s="4" t="inlineStr">
        <is>
          <t>Scenario</t>
        </is>
      </c>
      <c r="B3" s="4" t="inlineStr">
        <is>
          <t>Revenue CAGR (5Y)</t>
        </is>
      </c>
      <c r="C3" s="4" t="inlineStr">
        <is>
          <t>Terminal Revenue ($M)</t>
        </is>
      </c>
      <c r="D3" s="4" t="inlineStr">
        <is>
          <t>FCF Margin</t>
        </is>
      </c>
      <c r="E3" s="4" t="inlineStr">
        <is>
          <t>Terminal FCF ($M)</t>
        </is>
      </c>
      <c r="F3" s="4" t="inlineStr">
        <is>
          <t>Exit EV/FCF Multiple</t>
        </is>
      </c>
      <c r="G3" s="4" t="inlineStr">
        <is>
          <t>Implied EV ($M)</t>
        </is>
      </c>
      <c r="H3" s="4" t="inlineStr">
        <is>
          <t>Less Net Debt ($M)</t>
        </is>
      </c>
      <c r="I3" s="4" t="inlineStr">
        <is>
          <t>Shares (M)</t>
        </is>
      </c>
      <c r="J3" s="4" t="inlineStr">
        <is>
          <t>Target Price</t>
        </is>
      </c>
      <c r="K3" s="4" t="inlineStr">
        <is>
          <t>Upside %</t>
        </is>
      </c>
      <c r="L3" s="4" t="inlineStr">
        <is>
          <t>Weight</t>
        </is>
      </c>
      <c r="M3" s="4" t="inlineStr">
        <is>
          <t>Weighted $/Share</t>
        </is>
      </c>
    </row>
    <row r="4">
      <c r="A4" s="7" t="inlineStr">
        <is>
          <t>Bear</t>
        </is>
      </c>
      <c r="B4" s="6" t="n">
        <v>0.04</v>
      </c>
      <c r="C4" s="6" t="n">
        <v>2690</v>
      </c>
      <c r="D4" s="6" t="n">
        <v>0.04</v>
      </c>
      <c r="E4" s="6" t="n">
        <v>107.6</v>
      </c>
      <c r="F4" s="6" t="n">
        <v>9</v>
      </c>
      <c r="G4" s="6" t="n">
        <v>968</v>
      </c>
      <c r="H4" s="6" t="n">
        <v>1190</v>
      </c>
      <c r="I4" s="6" t="n">
        <v>98.89</v>
      </c>
      <c r="J4" s="6" t="n">
        <v>0</v>
      </c>
      <c r="K4" s="6" t="n">
        <v>-1</v>
      </c>
      <c r="L4" s="6" t="n">
        <v>0.25</v>
      </c>
      <c r="M4" s="6" t="n">
        <v>0</v>
      </c>
    </row>
    <row r="5">
      <c r="A5" s="8" t="inlineStr">
        <is>
          <t>Base</t>
        </is>
      </c>
      <c r="B5" s="6" t="n">
        <v>0.06</v>
      </c>
      <c r="C5" s="6" t="n">
        <v>2959</v>
      </c>
      <c r="D5" s="6" t="n">
        <v>0.06</v>
      </c>
      <c r="E5" s="6" t="n">
        <v>177.5</v>
      </c>
      <c r="F5" s="6" t="n">
        <v>12</v>
      </c>
      <c r="G5" s="6" t="n">
        <v>2130</v>
      </c>
      <c r="H5" s="6" t="n">
        <v>1190</v>
      </c>
      <c r="I5" s="6" t="n">
        <v>98.89</v>
      </c>
      <c r="J5" s="6" t="n">
        <v>9.51</v>
      </c>
      <c r="K5" s="6" t="n">
        <v>-0.6801210898082745</v>
      </c>
      <c r="L5" s="6" t="n">
        <v>0.5</v>
      </c>
      <c r="M5" s="6" t="n">
        <v>4.75</v>
      </c>
    </row>
    <row r="6">
      <c r="A6" s="9" t="inlineStr">
        <is>
          <t>Bull</t>
        </is>
      </c>
      <c r="B6" s="6" t="n">
        <v>0.1</v>
      </c>
      <c r="C6" s="6" t="n">
        <v>3561</v>
      </c>
      <c r="D6" s="6" t="n">
        <v>0.08</v>
      </c>
      <c r="E6" s="6" t="n">
        <v>284.9</v>
      </c>
      <c r="F6" s="6" t="n">
        <v>15</v>
      </c>
      <c r="G6" s="6" t="n">
        <v>4274</v>
      </c>
      <c r="H6" s="6" t="n">
        <v>1190</v>
      </c>
      <c r="I6" s="6" t="n">
        <v>98.89</v>
      </c>
      <c r="J6" s="6" t="n">
        <v>31.18</v>
      </c>
      <c r="K6" s="6" t="n">
        <v>0.04877228388832822</v>
      </c>
      <c r="L6" s="6" t="n">
        <v>0.25</v>
      </c>
      <c r="M6" s="6" t="n">
        <v>7.79</v>
      </c>
    </row>
    <row r="7">
      <c r="A7" s="10" t="inlineStr">
        <is>
          <t>Probability-Weighted FV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0" t="n">
        <v>12.54</v>
      </c>
      <c r="K7" s="10" t="n">
        <v>-0.5782</v>
      </c>
      <c r="L7" s="11" t="n"/>
      <c r="M7" s="11" t="n"/>
    </row>
    <row r="8">
      <c r="A8" s="2" t="inlineStr">
        <is>
          <t>Total Probability</t>
        </is>
      </c>
      <c r="L8" s="2" t="n">
        <v>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14" customWidth="1" min="4" max="4"/>
    <col width="50" customWidth="1" min="5" max="5"/>
  </cols>
  <sheetData>
    <row r="1">
      <c r="A1" s="1" t="inlineStr">
        <is>
          <t>Data Source Audit — Every Data Point Traced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 Access</t>
        </is>
      </c>
      <c r="E3" s="4" t="inlineStr">
        <is>
          <t>Notes</t>
        </is>
      </c>
    </row>
    <row r="4">
      <c r="A4" s="5" t="inlineStr">
        <is>
          <t>Stock Price</t>
        </is>
      </c>
      <c r="B4" s="6" t="inlineStr">
        <is>
          <t>$29.73</t>
        </is>
      </c>
      <c r="C4" s="6" t="inlineStr">
        <is>
          <t>Yahoo Finance /quote/CXW/</t>
        </is>
      </c>
      <c r="D4" s="6" t="inlineStr">
        <is>
          <t>2026-06-23</t>
        </is>
      </c>
      <c r="E4" s="6" t="inlineStr">
        <is>
          <t>Close price at 4:00 PM EDT</t>
        </is>
      </c>
    </row>
    <row r="5">
      <c r="A5" s="5" t="inlineStr">
        <is>
          <t>Market Cap</t>
        </is>
      </c>
      <c r="B5" s="6" t="inlineStr">
        <is>
          <t>$2.93B</t>
        </is>
      </c>
      <c r="C5" s="6" t="inlineStr">
        <is>
          <t>Yahoo Finance Statistics</t>
        </is>
      </c>
      <c r="D5" s="6" t="inlineStr">
        <is>
          <t>2026-06-23</t>
        </is>
      </c>
      <c r="E5" s="6" t="inlineStr">
        <is>
          <t>Reported value</t>
        </is>
      </c>
    </row>
    <row r="6">
      <c r="A6" s="5" t="inlineStr">
        <is>
          <t>Enterprise Value</t>
        </is>
      </c>
      <c r="B6" s="6" t="inlineStr">
        <is>
          <t>$4.12B</t>
        </is>
      </c>
      <c r="C6" s="6" t="inlineStr">
        <is>
          <t>Yahoo Finance Statistics</t>
        </is>
      </c>
      <c r="D6" s="6" t="inlineStr">
        <is>
          <t>2026-06-23</t>
        </is>
      </c>
      <c r="E6" s="6" t="inlineStr">
        <is>
          <t>MC + net debt</t>
        </is>
      </c>
    </row>
    <row r="7">
      <c r="A7" s="5" t="inlineStr">
        <is>
          <t>Shares Outstanding</t>
        </is>
      </c>
      <c r="B7" s="6" t="inlineStr">
        <is>
          <t>98.89M</t>
        </is>
      </c>
      <c r="C7" s="6" t="inlineStr">
        <is>
          <t>Yahoo Finance Statistics</t>
        </is>
      </c>
      <c r="D7" s="6" t="inlineStr">
        <is>
          <t>2026-06-23</t>
        </is>
      </c>
      <c r="E7" s="6" t="inlineStr">
        <is>
          <t>Implied shares outstanding, current</t>
        </is>
      </c>
    </row>
    <row r="8">
      <c r="A8" s="5" t="inlineStr">
        <is>
          <t>TTM Revenue</t>
        </is>
      </c>
      <c r="B8" s="6" t="inlineStr">
        <is>
          <t>$2,337.3M</t>
        </is>
      </c>
      <c r="C8" s="6" t="inlineStr">
        <is>
          <t>Yahoo Finance /financials/</t>
        </is>
      </c>
      <c r="D8" s="6" t="inlineStr">
        <is>
          <t>2026-06-23</t>
        </is>
      </c>
      <c r="E8" s="6" t="inlineStr">
        <is>
          <t>Trailing 12 months</t>
        </is>
      </c>
    </row>
    <row r="9">
      <c r="A9" s="5" t="inlineStr">
        <is>
          <t>FY2025 Revenue</t>
        </is>
      </c>
      <c r="B9" s="6" t="inlineStr">
        <is>
          <t>$2,211.2M</t>
        </is>
      </c>
      <c r="C9" s="6" t="inlineStr">
        <is>
          <t>Yahoo Finance /financials/</t>
        </is>
      </c>
      <c r="D9" s="6" t="inlineStr">
        <is>
          <t>2026-06-23</t>
        </is>
      </c>
      <c r="E9" s="6" t="inlineStr">
        <is>
          <t>Fiscal year 12/31/2025</t>
        </is>
      </c>
    </row>
    <row r="10">
      <c r="A10" s="5" t="inlineStr">
        <is>
          <t>FY2024 Revenue</t>
        </is>
      </c>
      <c r="B10" s="6" t="inlineStr">
        <is>
          <t>$1,961.6M</t>
        </is>
      </c>
      <c r="C10" s="6" t="inlineStr">
        <is>
          <t>Yahoo Finance /financials/</t>
        </is>
      </c>
      <c r="D10" s="6" t="inlineStr">
        <is>
          <t>2026-06-23</t>
        </is>
      </c>
      <c r="E10" s="6" t="inlineStr">
        <is>
          <t>Fiscal year 12/31/2024</t>
        </is>
      </c>
    </row>
    <row r="11">
      <c r="A11" s="5" t="inlineStr">
        <is>
          <t>FY2023 Revenue</t>
        </is>
      </c>
      <c r="B11" s="6" t="inlineStr">
        <is>
          <t>$1,896.6M</t>
        </is>
      </c>
      <c r="C11" s="6" t="inlineStr">
        <is>
          <t>Yahoo Finance /financials/</t>
        </is>
      </c>
      <c r="D11" s="6" t="inlineStr">
        <is>
          <t>2026-06-23</t>
        </is>
      </c>
      <c r="E11" s="6" t="inlineStr">
        <is>
          <t>Fiscal year 12/31/2023</t>
        </is>
      </c>
    </row>
    <row r="12">
      <c r="A12" s="5" t="inlineStr">
        <is>
          <t>FY2022 Revenue</t>
        </is>
      </c>
      <c r="B12" s="6" t="inlineStr">
        <is>
          <t>$1,845.3M</t>
        </is>
      </c>
      <c r="C12" s="6" t="inlineStr">
        <is>
          <t>Yahoo Finance /financials/</t>
        </is>
      </c>
      <c r="D12" s="6" t="inlineStr">
        <is>
          <t>2026-06-23</t>
        </is>
      </c>
      <c r="E12" s="6" t="inlineStr">
        <is>
          <t>Fiscal year 12/31/2022</t>
        </is>
      </c>
    </row>
    <row r="13">
      <c r="A13" s="5" t="inlineStr">
        <is>
          <t>TTM Gross Profit</t>
        </is>
      </c>
      <c r="B13" s="6" t="inlineStr">
        <is>
          <t>$551.8M</t>
        </is>
      </c>
      <c r="C13" s="6" t="inlineStr">
        <is>
          <t>Yahoo Finance /financials/</t>
        </is>
      </c>
      <c r="D13" s="6" t="inlineStr">
        <is>
          <t>2026-06-23</t>
        </is>
      </c>
      <c r="E13" s="6" t="inlineStr">
        <is>
          <t>Revenue - cost of revenue</t>
        </is>
      </c>
    </row>
    <row r="14">
      <c r="A14" s="5" t="inlineStr">
        <is>
          <t>TTM Operating Income</t>
        </is>
      </c>
      <c r="B14" s="6" t="inlineStr">
        <is>
          <t>$242.8M</t>
        </is>
      </c>
      <c r="C14" s="6" t="inlineStr">
        <is>
          <t>Yahoo Finance /financials/</t>
        </is>
      </c>
      <c r="D14" s="6" t="inlineStr">
        <is>
          <t>2026-06-23</t>
        </is>
      </c>
      <c r="E14" s="6" t="inlineStr">
        <is>
          <t>Operating income pre-interest</t>
        </is>
      </c>
    </row>
    <row r="15">
      <c r="A15" s="5" t="inlineStr">
        <is>
          <t>TTM Net Income</t>
        </is>
      </c>
      <c r="B15" s="6" t="inlineStr">
        <is>
          <t>$129.3M</t>
        </is>
      </c>
      <c r="C15" s="6" t="inlineStr">
        <is>
          <t>Yahoo Finance /financials/</t>
        </is>
      </c>
      <c r="D15" s="6" t="inlineStr">
        <is>
          <t>2026-06-23</t>
        </is>
      </c>
      <c r="E15" s="6" t="inlineStr">
        <is>
          <t>NI common stockholders</t>
        </is>
      </c>
    </row>
    <row r="16">
      <c r="A16" s="5" t="inlineStr">
        <is>
          <t>TTM EBITDA</t>
        </is>
      </c>
      <c r="B16" s="6" t="inlineStr">
        <is>
          <t>$373.8M</t>
        </is>
      </c>
      <c r="C16" s="6" t="inlineStr">
        <is>
          <t>Yahoo Finance /financials/</t>
        </is>
      </c>
      <c r="D16" s="6" t="inlineStr">
        <is>
          <t>2026-06-23</t>
        </is>
      </c>
      <c r="E16" s="6" t="inlineStr">
        <is>
          <t>S&amp;P-calculated EBITDA</t>
        </is>
      </c>
    </row>
    <row r="17">
      <c r="A17" s="5" t="inlineStr">
        <is>
          <t>TTM Diluted EPS</t>
        </is>
      </c>
      <c r="B17" s="6" t="inlineStr">
        <is>
          <t>$1.23</t>
        </is>
      </c>
      <c r="C17" s="6" t="inlineStr">
        <is>
          <t>Yahoo Finance /financials/</t>
        </is>
      </c>
      <c r="D17" s="6" t="inlineStr">
        <is>
          <t>2026-06-23</t>
        </is>
      </c>
      <c r="E17" s="6" t="inlineStr">
        <is>
          <t>Diluted EPS</t>
        </is>
      </c>
    </row>
    <row r="18">
      <c r="A18" s="5" t="inlineStr">
        <is>
          <t>FY2025 Total Debt</t>
        </is>
      </c>
      <c r="B18" s="6" t="inlineStr">
        <is>
          <t>$1,351.2M</t>
        </is>
      </c>
      <c r="C18" s="6" t="inlineStr">
        <is>
          <t>Yahoo Finance /balance-sheet/</t>
        </is>
      </c>
      <c r="D18" s="6" t="inlineStr">
        <is>
          <t>2026-06-23</t>
        </is>
      </c>
      <c r="E18" s="6" t="inlineStr">
        <is>
          <t>Total debt line item</t>
        </is>
      </c>
    </row>
    <row r="19">
      <c r="A19" s="5" t="inlineStr">
        <is>
          <t>Total Assets FY2025</t>
        </is>
      </c>
      <c r="B19" s="6" t="inlineStr">
        <is>
          <t>$3,256.7M</t>
        </is>
      </c>
      <c r="C19" s="6" t="inlineStr">
        <is>
          <t>Yahoo Finance /balance-sheet/</t>
        </is>
      </c>
      <c r="D19" s="6" t="inlineStr">
        <is>
          <t>2026-06-23</t>
        </is>
      </c>
      <c r="E19" s="6" t="inlineStr">
        <is>
          <t>Total assets</t>
        </is>
      </c>
    </row>
    <row r="20">
      <c r="A20" s="5" t="inlineStr">
        <is>
          <t>Total Equity FY2025</t>
        </is>
      </c>
      <c r="B20" s="6" t="inlineStr">
        <is>
          <t>$1,405.2M</t>
        </is>
      </c>
      <c r="C20" s="6" t="inlineStr">
        <is>
          <t>Yahoo Finance /balance-sheet/</t>
        </is>
      </c>
      <c r="D20" s="6" t="inlineStr">
        <is>
          <t>2026-06-23</t>
        </is>
      </c>
      <c r="E20" s="6" t="inlineStr">
        <is>
          <t>Total equity</t>
        </is>
      </c>
    </row>
    <row r="21">
      <c r="A21" s="5" t="inlineStr">
        <is>
          <t>Total Cash Q1'26</t>
        </is>
      </c>
      <c r="B21" s="6" t="inlineStr">
        <is>
          <t>$209.7M</t>
        </is>
      </c>
      <c r="C21" s="6" t="inlineStr">
        <is>
          <t>Yahoo Finance Statistics</t>
        </is>
      </c>
      <c r="D21" s="6" t="inlineStr">
        <is>
          <t>2026-06-23</t>
        </is>
      </c>
      <c r="E21" s="6" t="inlineStr">
        <is>
          <t>Most recent quarter total cash</t>
        </is>
      </c>
    </row>
    <row r="22">
      <c r="A22" s="5" t="inlineStr">
        <is>
          <t>TTM Operating Cash Flow</t>
        </is>
      </c>
      <c r="B22" s="6" t="inlineStr">
        <is>
          <t>$163.9M</t>
        </is>
      </c>
      <c r="C22" s="6" t="inlineStr">
        <is>
          <t>Yahoo Finance /cash-flow/</t>
        </is>
      </c>
      <c r="D22" s="6" t="inlineStr">
        <is>
          <t>2026-06-23</t>
        </is>
      </c>
      <c r="E22" s="6" t="inlineStr">
        <is>
          <t>OCF TTM</t>
        </is>
      </c>
    </row>
    <row r="23">
      <c r="A23" s="5" t="inlineStr">
        <is>
          <t>TTM Capital Expenditure</t>
        </is>
      </c>
      <c r="B23" s="6" t="inlineStr">
        <is>
          <t>$137.8M</t>
        </is>
      </c>
      <c r="C23" s="6" t="inlineStr">
        <is>
          <t>Yahoo Finance /cash-flow/</t>
        </is>
      </c>
      <c r="D23" s="6" t="inlineStr">
        <is>
          <t>2026-06-23</t>
        </is>
      </c>
      <c r="E23" s="6" t="inlineStr">
        <is>
          <t>Capex TTM</t>
        </is>
      </c>
    </row>
    <row r="24">
      <c r="A24" s="5" t="inlineStr">
        <is>
          <t>TTM Free Cash Flow</t>
        </is>
      </c>
      <c r="B24" s="6" t="inlineStr">
        <is>
          <t>$26.1M</t>
        </is>
      </c>
      <c r="C24" s="6" t="inlineStr">
        <is>
          <t>Yahoo Finance /cash-flow/</t>
        </is>
      </c>
      <c r="D24" s="6" t="inlineStr">
        <is>
          <t>2026-06-23</t>
        </is>
      </c>
      <c r="E24" s="6" t="inlineStr">
        <is>
          <t>OCF - Capex, depressed by Capex surge</t>
        </is>
      </c>
    </row>
    <row r="25">
      <c r="A25" s="5" t="inlineStr">
        <is>
          <t>FY2025 FCF</t>
        </is>
      </c>
      <c r="B25" s="6" t="inlineStr">
        <is>
          <t>$54.0M</t>
        </is>
      </c>
      <c r="C25" s="6" t="inlineStr">
        <is>
          <t>Yahoo Finance /cash-flow/</t>
        </is>
      </c>
      <c r="D25" s="6" t="inlineStr">
        <is>
          <t>2026-06-23</t>
        </is>
      </c>
      <c r="E25" s="6" t="inlineStr">
        <is>
          <t>FCF FY2025</t>
        </is>
      </c>
    </row>
    <row r="26">
      <c r="A26" s="5" t="inlineStr">
        <is>
          <t>TTM Buybacks</t>
        </is>
      </c>
      <c r="B26" s="6" t="inlineStr">
        <is>
          <t>$233.5M</t>
        </is>
      </c>
      <c r="C26" s="6" t="inlineStr">
        <is>
          <t>Yahoo Finance /cash-flow/</t>
        </is>
      </c>
      <c r="D26" s="6" t="inlineStr">
        <is>
          <t>2026-06-23</t>
        </is>
      </c>
      <c r="E26" s="6" t="inlineStr">
        <is>
          <t>Repurchase of capital stock, TTM</t>
        </is>
      </c>
    </row>
    <row r="27">
      <c r="A27" s="5" t="inlineStr">
        <is>
          <t>Beta (5Y Monthly)</t>
        </is>
      </c>
      <c r="B27" s="6" t="inlineStr">
        <is>
          <t>0.64</t>
        </is>
      </c>
      <c r="C27" s="6" t="inlineStr">
        <is>
          <t>Yahoo Finance Statistics</t>
        </is>
      </c>
      <c r="D27" s="6" t="inlineStr">
        <is>
          <t>2026-06-23</t>
        </is>
      </c>
      <c r="E27" s="6" t="inlineStr">
        <is>
          <t>5-year monthly beta</t>
        </is>
      </c>
    </row>
    <row r="28">
      <c r="A28" s="5" t="inlineStr">
        <is>
          <t>P/E Trailing</t>
        </is>
      </c>
      <c r="B28" s="6" t="inlineStr">
        <is>
          <t>24.11x</t>
        </is>
      </c>
      <c r="C28" s="6" t="inlineStr">
        <is>
          <t>Yahoo Finance Statistics</t>
        </is>
      </c>
      <c r="D28" s="6" t="inlineStr">
        <is>
          <t>2026-06-23</t>
        </is>
      </c>
      <c r="E28" s="6" t="inlineStr">
        <is>
          <t>Trailing P/E</t>
        </is>
      </c>
    </row>
    <row r="29">
      <c r="A29" s="5" t="inlineStr">
        <is>
          <t>P/E Forward</t>
        </is>
      </c>
      <c r="B29" s="6" t="inlineStr">
        <is>
          <t>18.52x</t>
        </is>
      </c>
      <c r="C29" s="6" t="inlineStr">
        <is>
          <t>Yahoo Finance Statistics</t>
        </is>
      </c>
      <c r="D29" s="6" t="inlineStr">
        <is>
          <t>2026-06-23</t>
        </is>
      </c>
      <c r="E29" s="6" t="inlineStr">
        <is>
          <t>Forward P/E</t>
        </is>
      </c>
    </row>
    <row r="30">
      <c r="A30" s="5" t="inlineStr">
        <is>
          <t>P/Sales</t>
        </is>
      </c>
      <c r="B30" s="6" t="inlineStr">
        <is>
          <t>1.33x</t>
        </is>
      </c>
      <c r="C30" s="6" t="inlineStr">
        <is>
          <t>Yahoo Finance Statistics</t>
        </is>
      </c>
      <c r="D30" s="6" t="inlineStr">
        <is>
          <t>2026-06-23</t>
        </is>
      </c>
      <c r="E30" s="6" t="inlineStr">
        <is>
          <t>Price to sales</t>
        </is>
      </c>
    </row>
    <row r="31">
      <c r="A31" s="5" t="inlineStr">
        <is>
          <t>EV/EBITDA</t>
        </is>
      </c>
      <c r="B31" s="6" t="inlineStr">
        <is>
          <t>11.02x</t>
        </is>
      </c>
      <c r="C31" s="6" t="inlineStr">
        <is>
          <t>Yahoo Finance Statistics</t>
        </is>
      </c>
      <c r="D31" s="6" t="inlineStr">
        <is>
          <t>2026-06-23</t>
        </is>
      </c>
      <c r="E31" s="6" t="inlineStr">
        <is>
          <t>Enterprise value to EBITDA</t>
        </is>
      </c>
    </row>
    <row r="32">
      <c r="A32" s="5" t="inlineStr">
        <is>
          <t>FY2026 EPS Consensus</t>
        </is>
      </c>
      <c r="B32" s="6" t="inlineStr">
        <is>
          <t>$1.60</t>
        </is>
      </c>
      <c r="C32" s="6" t="inlineStr">
        <is>
          <t>Yahoo Finance /analysis/</t>
        </is>
      </c>
      <c r="D32" s="6" t="inlineStr">
        <is>
          <t>2026-06-23</t>
        </is>
      </c>
      <c r="E32" s="6" t="inlineStr">
        <is>
          <t>5 analysts, normalized/non-GAAP</t>
        </is>
      </c>
    </row>
    <row r="33">
      <c r="A33" s="5" t="inlineStr">
        <is>
          <t>FY2027 EPS Consensus</t>
        </is>
      </c>
      <c r="B33" s="6" t="inlineStr">
        <is>
          <t>$1.99</t>
        </is>
      </c>
      <c r="C33" s="6" t="inlineStr">
        <is>
          <t>Yahoo Finance /analysis/</t>
        </is>
      </c>
      <c r="D33" s="6" t="inlineStr">
        <is>
          <t>2026-06-23</t>
        </is>
      </c>
      <c r="E33" s="6" t="inlineStr">
        <is>
          <t>3 analysts, normalized/non-GAAP</t>
        </is>
      </c>
    </row>
    <row r="34">
      <c r="A34" s="5" t="inlineStr">
        <is>
          <t>FY2026 Revenue Consensus</t>
        </is>
      </c>
      <c r="B34" s="6" t="inlineStr">
        <is>
          <t>$2.56B</t>
        </is>
      </c>
      <c r="C34" s="6" t="inlineStr">
        <is>
          <t>Yahoo Finance /analysis/</t>
        </is>
      </c>
      <c r="D34" s="6" t="inlineStr">
        <is>
          <t>2026-06-23</t>
        </is>
      </c>
      <c r="E34" s="6" t="inlineStr">
        <is>
          <t>5 analysts average</t>
        </is>
      </c>
    </row>
    <row r="35">
      <c r="A35" s="5" t="inlineStr">
        <is>
          <t>FY2027 Revenue Consensus</t>
        </is>
      </c>
      <c r="B35" s="6" t="inlineStr">
        <is>
          <t>$2.68B</t>
        </is>
      </c>
      <c r="C35" s="6" t="inlineStr">
        <is>
          <t>Yahoo Finance /analysis/</t>
        </is>
      </c>
      <c r="D35" s="6" t="inlineStr">
        <is>
          <t>2026-06-23</t>
        </is>
      </c>
      <c r="E35" s="6" t="inlineStr">
        <is>
          <t>3 analysts average</t>
        </is>
      </c>
    </row>
    <row r="36">
      <c r="A36" s="5" t="inlineStr">
        <is>
          <t>10Y US Treasury</t>
        </is>
      </c>
      <c r="B36" s="6" t="inlineStr">
        <is>
          <t>4.495%</t>
        </is>
      </c>
      <c r="C36" s="6" t="inlineStr">
        <is>
          <t>CNBC US10Y</t>
        </is>
      </c>
      <c r="D36" s="6" t="inlineStr">
        <is>
          <t>2026-06-23</t>
        </is>
      </c>
      <c r="E36" s="6" t="inlineStr">
        <is>
          <t>Yield at ~10:09 PM EDT</t>
        </is>
      </c>
    </row>
    <row r="37">
      <c r="A37" s="5" t="inlineStr">
        <is>
          <t>Next Earnings Date</t>
        </is>
      </c>
      <c r="B37" s="6" t="inlineStr">
        <is>
          <t>N/A</t>
        </is>
      </c>
      <c r="C37" s="6" t="inlineStr">
        <is>
          <t>Yahoo Finance</t>
        </is>
      </c>
      <c r="D37" s="6" t="inlineStr">
        <is>
          <t>2026-06-23</t>
        </is>
      </c>
      <c r="E37" s="6" t="inlineStr">
        <is>
          <t>Not listed; likely mid-August for Q2 FY26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0" customWidth="1" min="3" max="3"/>
  </cols>
  <sheetData>
    <row r="1">
      <c r="A1" s="1" t="inlineStr">
        <is>
          <t>Open Questions And Due Diligence Items</t>
        </is>
      </c>
    </row>
    <row r="3" ht="60" customHeight="1">
      <c r="A3" s="2" t="inlineStr">
        <is>
          <t>1.</t>
        </is>
      </c>
      <c r="B3" s="2" t="inlineStr">
        <is>
          <t>Debt Surge and Capital Structure</t>
        </is>
      </c>
      <c r="C3" s="12" t="inlineStr">
        <is>
          <t>Total debt jumped from $1.01B (FY2024) to $1.35B (FY2025) — a 33% increase. FY2025 also saw $435M in new debt issuance vs. $203M in repayments. Is this related to facility acquisition, land banking, or refinancing? The interest expense is already $62-65M/year, eating ~25% of operating income.</t>
        </is>
      </c>
    </row>
    <row r="4" ht="60" customHeight="1">
      <c r="A4" s="2" t="inlineStr">
        <is>
          <t>2.</t>
        </is>
      </c>
      <c r="B4" s="2" t="inlineStr">
        <is>
          <t>FCF Compressiveness</t>
        </is>
      </c>
      <c r="C4" s="12" t="inlineStr">
        <is>
          <t>TTM FCF is only $26.1M on $2.34B revenue — a 1.1% FCF margin. FY2024 was 10.1% and FY2023 was 8.5%. The collapse is driven by CapEx surge from $70M to $140M+. Is this a multi-year capex cycle (new commissioning facilities) or a one-time spike? What facilities are commissioning?</t>
        </is>
      </c>
    </row>
    <row r="5" ht="60" customHeight="1">
      <c r="A5" s="2" t="inlineStr">
        <is>
          <t>3.</t>
        </is>
      </c>
      <c r="B5" s="2" t="inlineStr">
        <is>
          <t>Share Count Dynamics</t>
        </is>
      </c>
      <c r="C5" s="12" t="inlineStr">
        <is>
          <t>Shares outstanding fell from 118.2M (FY2022 basic avg) to ~98.9M (current). TTM buybacks are $233M — heavy repurchase activity. Is management buying at peak valuation? At $29.73 and 24x trailing P/E, buybacks may be overpaying.</t>
        </is>
      </c>
    </row>
    <row r="6" ht="60" customHeight="1">
      <c r="A6" s="2" t="inlineStr">
        <is>
          <t>4.</t>
        </is>
      </c>
      <c r="B6" s="2" t="inlineStr">
        <is>
          <t>Government Contract Concentration</t>
        </is>
      </c>
      <c r="C6" s="12" t="inlineStr">
        <is>
          <t>CXW operates 107 secure, 48 minimum-security, and 31 residential/rehabilitation facilities across 28 states. Revenue is almost entirely government-contracted. Federal and state budget pressures, declining incarceration rates, and potential policy shifts (e.g., immigration detention contract changes) present material concentration risk.</t>
        </is>
      </c>
    </row>
    <row r="7" ht="60" customHeight="1">
      <c r="A7" s="2" t="inlineStr">
        <is>
          <t>5.</t>
        </is>
      </c>
      <c r="B7" s="2" t="inlineStr">
        <is>
          <t>ESG Overhang and Activism</t>
        </is>
      </c>
      <c r="C7" s="12" t="inlineStr">
        <is>
          <t>Private prison operators face persistent ESG headwinds. BlackRock has stated it does not invest in companies that profit from incarceration. Index funds and ESG-screened assets may systematically underweight CXW, creating a persistent valuation discount relative to fundamentals.</t>
        </is>
      </c>
    </row>
    <row r="8" ht="60" customHeight="1">
      <c r="A8" s="2" t="inlineStr">
        <is>
          <t>6.</t>
        </is>
      </c>
      <c r="B8" s="2" t="inlineStr">
        <is>
          <t>Competitive Position vs. GEO Group</t>
        </is>
      </c>
      <c r="C8" s="12" t="inlineStr">
        <is>
          <t>GEO Group (GEO) is the direct competitor with ~$1.35B revenue and similar margins. CXW's revenue advantage ($2.34B vs $1.35B for GEO) comes from scale, but GEO has better margin profiles and less debt. Is CXW the market leader because it's cheaper or because it has more facilities?</t>
        </is>
      </c>
    </row>
    <row r="9" ht="60" customHeight="1">
      <c r="A9" s="2" t="inlineStr">
        <is>
          <t>7.</t>
        </is>
      </c>
      <c r="B9" s="2" t="inlineStr">
        <is>
          <t>Operating Margin Sustainability</t>
        </is>
      </c>
      <c r="C9" s="12" t="inlineStr">
        <is>
          <t>TTM operating margin is 10.4% ($242.8M / $2,337M). But interest coverage (OpInc / IntExp) is only ~3.7x. With debt at $1.35B, rising rates, and lease obligations of $130M, is operating income sufficient to service all fixed obligations?</t>
        </is>
      </c>
    </row>
    <row r="10" ht="60" customHeight="1">
      <c r="A10" s="2" t="inlineStr">
        <is>
          <t>8.</t>
        </is>
      </c>
      <c r="B10" s="2" t="inlineStr">
        <is>
          <t>EPS Revisions Trend</t>
        </is>
      </c>
      <c r="C10" s="12" t="inlineStr">
        <is>
          <t>Analyst EPS estimates have been cut significantly over the past 90 days: FY2026 from $1.63 to $1.60, FY2027 from $2.34 to $1.99. CXW has beaten estimates recently (+35.6% in Q1, +30.6% in Q4) but the revision trajectory is negative. Are analysts becoming concerned about revenue sustainability?</t>
        </is>
      </c>
    </row>
    <row r="11" ht="60" customHeight="1">
      <c r="A11" s="2" t="inlineStr">
        <is>
          <t>9.</t>
        </is>
      </c>
      <c r="B11" s="2" t="inlineStr">
        <is>
          <t>Tax Rate Anomalies</t>
        </is>
      </c>
      <c r="C11" s="12" t="inlineStr">
        <is>
          <t>FY2022 had a massive one-time item: 'Other income/expense' of +$82.4M (unusual — possibly asset sale or tax benefit). TTM effective tax rate is 25.9% ($48.1M / $177.4M), higher than the corporate rate of 21%. What drives the premium? State taxes?</t>
        </is>
      </c>
    </row>
    <row r="12" ht="60" customHeight="1">
      <c r="A12" s="2" t="inlineStr">
        <is>
          <t>10.</t>
        </is>
      </c>
      <c r="B12" s="2" t="inlineStr">
        <is>
          <t>Capital Allocation Strategy</t>
        </is>
      </c>
      <c r="C12" s="12" t="inlineStr">
        <is>
          <t>Management has spent $233M TTM on buybacks while increasing debt by $340M TTM net (issuance $735M - repayment $324M). The balance sheet is getting levered while the stock trades at 24x trailing P/E. This is aggressive leverage to fund buybacks at elevated multiples — is this good capital allocation?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</cols>
  <sheetData>
    <row r="1">
      <c r="A1" s="1" t="inlineStr">
        <is>
          <t>Data Sources</t>
        </is>
      </c>
    </row>
    <row r="3">
      <c r="A3" s="4" t="inlineStr">
        <is>
          <t>#</t>
        </is>
      </c>
      <c r="B3" s="4" t="inlineStr">
        <is>
          <t>Description</t>
        </is>
      </c>
      <c r="C3" s="4" t="inlineStr">
        <is>
          <t>URL</t>
        </is>
      </c>
    </row>
    <row r="4">
      <c r="A4" s="11" t="inlineStr">
        <is>
          <t>1.</t>
        </is>
      </c>
      <c r="B4" s="11" t="inlineStr">
        <is>
          <t>Yahoo Finance — CXW Quote</t>
        </is>
      </c>
      <c r="C4" s="11" t="inlineStr">
        <is>
          <t>https://finance.yahoo.com/quote/CXW/</t>
        </is>
      </c>
    </row>
    <row r="5">
      <c r="A5" s="11" t="inlineStr">
        <is>
          <t>2.</t>
        </is>
      </c>
      <c r="B5" s="11" t="inlineStr">
        <is>
          <t>Yahoo Finance — CXW Income Statement</t>
        </is>
      </c>
      <c r="C5" s="11" t="inlineStr">
        <is>
          <t>https://finance.yahoo.com/quote/CXW/financials/</t>
        </is>
      </c>
    </row>
    <row r="6">
      <c r="A6" s="11" t="inlineStr">
        <is>
          <t>3.</t>
        </is>
      </c>
      <c r="B6" s="11" t="inlineStr">
        <is>
          <t>Yahoo Finance — CXW Balance Sheet</t>
        </is>
      </c>
      <c r="C6" s="11" t="inlineStr">
        <is>
          <t>https://finance.yahoo.com/quote/CXW/balance-sheet/</t>
        </is>
      </c>
    </row>
    <row r="7">
      <c r="A7" s="11" t="inlineStr">
        <is>
          <t>4.</t>
        </is>
      </c>
      <c r="B7" s="11" t="inlineStr">
        <is>
          <t>Yahoo Finance — CXW Cash Flow</t>
        </is>
      </c>
      <c r="C7" s="11" t="inlineStr">
        <is>
          <t>https://finance.yahoo.com/quote/CXW/cash-flow/</t>
        </is>
      </c>
    </row>
    <row r="8">
      <c r="A8" s="11" t="inlineStr">
        <is>
          <t>5.</t>
        </is>
      </c>
      <c r="B8" s="11" t="inlineStr">
        <is>
          <t>Yahoo Finance — CXW Key Statistics</t>
        </is>
      </c>
      <c r="C8" s="11" t="inlineStr">
        <is>
          <t>https://finance.yahoo.com/quote/CXW/key-statistics/</t>
        </is>
      </c>
    </row>
    <row r="9">
      <c r="A9" s="11" t="inlineStr">
        <is>
          <t>6.</t>
        </is>
      </c>
      <c r="B9" s="11" t="inlineStr">
        <is>
          <t>Yahoo Finance — CXW Analyst Estimates</t>
        </is>
      </c>
      <c r="C9" s="11" t="inlineStr">
        <is>
          <t>https://finance.yahoo.com/quote/CXW/analysis/</t>
        </is>
      </c>
    </row>
    <row r="10">
      <c r="A10" s="11" t="inlineStr">
        <is>
          <t>7.</t>
        </is>
      </c>
      <c r="B10" s="11" t="inlineStr">
        <is>
          <t>CNBC — US10Y 10-Year Treasury Yield</t>
        </is>
      </c>
      <c r="C10" s="11" t="inlineStr">
        <is>
          <t>https://www.cnbc.com/quotes/US10Y</t>
        </is>
      </c>
    </row>
    <row r="11">
      <c r="A11" s="11" t="inlineStr">
        <is>
          <t>8.</t>
        </is>
      </c>
      <c r="B11" s="11" t="inlineStr">
        <is>
          <t>StockAnalysis.com — CXW (returned 404; Yahoo Finance used as primary source)</t>
        </is>
      </c>
      <c r="C11" s="11" t="inlineStr">
        <is>
          <t>https://stockanalysis.com/quote/CXW/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2026-06-24T02:45:55Z</dcterms:created>
  <dcterms:modified xsi:type="dcterms:W3CDTF">2026-06-24T02:45:55Z</dcterms:modified>
</cp:coreProperties>
</file>