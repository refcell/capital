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C00000"/>
    </font>
    <font>
      <b val="1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5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65" customWidth="1" min="3" max="3"/>
  </cols>
  <sheetData>
    <row r="1">
      <c r="A1" s="1" t="inlineStr">
        <is>
          <t>The Hanover Insurance Group, Inc. (THG) — P/B &amp; ROE Valuation Model</t>
        </is>
      </c>
    </row>
    <row r="2">
      <c r="A2" s="2" t="inlineStr">
        <is>
          <t>Date: 2026-06-29 | Ticker: NYSE: THG | Price: $214.54 | Shares: 35.0M</t>
        </is>
      </c>
    </row>
    <row r="3">
      <c r="A3" s="2" t="inlineStr">
        <is>
          <t>Market Cap: $7.44B | Enterprise Value: $8.04B | Primary Lens: P/B &amp; ROE (Insurance)</t>
        </is>
      </c>
    </row>
    <row r="4">
      <c r="A4" s="3" t="inlineStr">
        <is>
          <t>Insurance company — FCF multiples marked N/A. Deposits are operating liabilities, not financial debt.</t>
        </is>
      </c>
    </row>
    <row r="6">
      <c r="A6" s="4" t="inlineStr">
        <is>
          <t>Company</t>
        </is>
      </c>
      <c r="B6" s="5" t="inlineStr">
        <is>
          <t>The Hanover Insurance Group, Inc.</t>
        </is>
      </c>
    </row>
    <row r="7">
      <c r="A7" s="4" t="inlineStr">
        <is>
          <t>Date</t>
        </is>
      </c>
      <c r="B7" s="5" t="inlineStr">
        <is>
          <t>2026-06-29</t>
        </is>
      </c>
    </row>
    <row r="8">
      <c r="A8" s="4" t="inlineStr">
        <is>
          <t>Ticker</t>
        </is>
      </c>
      <c r="B8" s="5" t="inlineStr">
        <is>
          <t>NYSE: THG</t>
        </is>
      </c>
    </row>
    <row r="9">
      <c r="A9" s="4" t="inlineStr">
        <is>
          <t>Price</t>
        </is>
      </c>
      <c r="B9" s="5" t="inlineStr">
        <is>
          <t>$214.54</t>
        </is>
      </c>
    </row>
    <row r="10">
      <c r="A10" s="4" t="inlineStr">
        <is>
          <t>Shares Outstanding (dil avg)</t>
        </is>
      </c>
      <c r="B10" s="5" t="inlineStr">
        <is>
          <t>35.00M</t>
        </is>
      </c>
    </row>
    <row r="11">
      <c r="A11" s="4" t="inlineStr">
        <is>
          <t>Market Cap</t>
        </is>
      </c>
      <c r="B11" s="5" t="inlineStr">
        <is>
          <t>$7.44B</t>
        </is>
      </c>
    </row>
    <row r="12">
      <c r="A12" s="4" t="inlineStr">
        <is>
          <t>Enterprise Value</t>
        </is>
      </c>
      <c r="B12" s="5" t="inlineStr">
        <is>
          <t>$8.04B</t>
        </is>
      </c>
    </row>
    <row r="13">
      <c r="A13" s="4" t="inlineStr">
        <is>
          <t>Primary Lens</t>
        </is>
      </c>
      <c r="B13" s="5" t="inlineStr">
        <is>
          <t>P/B and ROE (Insurance/Financial Services)</t>
        </is>
      </c>
    </row>
    <row r="14">
      <c r="A14" s="4" t="inlineStr">
        <is>
          <t>Stance</t>
        </is>
      </c>
      <c r="B14" s="5" t="inlineStr">
        <is>
          <t>Watch — strong ROE growth, but insurance cycles matter</t>
        </is>
      </c>
    </row>
    <row r="16">
      <c r="A16" s="6" t="inlineStr">
        <is>
          <t>Metric</t>
        </is>
      </c>
      <c r="B16" s="6" t="inlineStr">
        <is>
          <t>Value</t>
        </is>
      </c>
      <c r="C16" s="6" t="inlineStr">
        <is>
          <t>Comment</t>
        </is>
      </c>
    </row>
    <row r="17">
      <c r="A17" s="7" t="inlineStr">
        <is>
          <t>Trailing P/E</t>
        </is>
      </c>
      <c r="B17" s="8" t="inlineStr">
        <is>
          <t>10.3x</t>
        </is>
      </c>
      <c r="C17" s="8" t="inlineStr">
        <is>
          <t>P/E ~10.3x on TTM NI of $721M. Reasonable for insurance.</t>
        </is>
      </c>
    </row>
    <row r="18">
      <c r="A18" s="7" t="inlineStr">
        <is>
          <t>Forward P/E (FY2026)</t>
        </is>
      </c>
      <c r="B18" s="8" t="inlineStr">
        <is>
          <t>11.4x</t>
        </is>
      </c>
      <c r="C18" s="8" t="inlineStr">
        <is>
          <t>Using FY26 consensus EPS $18.6 × 35.0M</t>
        </is>
      </c>
    </row>
    <row r="19">
      <c r="A19" s="7" t="inlineStr">
        <is>
          <t>Forward P/E (FY2027)</t>
        </is>
      </c>
      <c r="B19" s="8" t="inlineStr">
        <is>
          <t>11.4x</t>
        </is>
      </c>
      <c r="C19" s="8" t="inlineStr">
        <is>
          <t>Using FY27 consensus EPS $18.59 × 35.0M</t>
        </is>
      </c>
    </row>
    <row r="20">
      <c r="A20" s="7" t="inlineStr">
        <is>
          <t>P/Sales (TTM)</t>
        </is>
      </c>
      <c r="B20" s="8" t="inlineStr">
        <is>
          <t>1.12x</t>
        </is>
      </c>
      <c r="C20" s="8" t="inlineStr">
        <is>
          <t>MC $7.44B / Rev $6.66B</t>
        </is>
      </c>
    </row>
    <row r="21">
      <c r="A21" s="7" t="inlineStr">
        <is>
          <t>P/Book</t>
        </is>
      </c>
      <c r="B21" s="8" t="inlineStr">
        <is>
          <t>2.08x</t>
        </is>
      </c>
      <c r="C21" s="8" t="inlineStr">
        <is>
          <t>MC $7.44B / BV $3.57B. Current P/B 2.08x vs. historical 1.5-2.5x range.</t>
        </is>
      </c>
    </row>
    <row r="22">
      <c r="A22" s="7" t="inlineStr">
        <is>
          <t>BVPS (Current Q1 2026)</t>
        </is>
      </c>
      <c r="B22" s="8" t="inlineStr">
        <is>
          <t>$100.86</t>
        </is>
      </c>
      <c r="C22" s="8" t="inlineStr">
        <is>
          <t>Yahoo Finance mrq book value per share</t>
        </is>
      </c>
    </row>
    <row r="23">
      <c r="A23" s="7" t="inlineStr">
        <is>
          <t>ROE (TTM)</t>
        </is>
      </c>
      <c r="B23" s="8" t="inlineStr">
        <is>
          <t>20.2%</t>
        </is>
      </c>
      <c r="C23" s="8" t="inlineStr">
        <is>
          <t>TTM NI $721M / FY25 BV $4B = ~20.2%</t>
        </is>
      </c>
    </row>
    <row r="24">
      <c r="A24" s="7" t="inlineStr">
        <is>
          <t>P/FCF</t>
        </is>
      </c>
      <c r="B24" s="8" t="inlineStr">
        <is>
          <t>N/A</t>
        </is>
      </c>
      <c r="C24" s="8" t="inlineStr">
        <is>
          <t>Insurance — FCF is not a meaningful valuation metric</t>
        </is>
      </c>
    </row>
    <row r="25">
      <c r="A25" s="7" t="inlineStr">
        <is>
          <t>EV/FCF</t>
        </is>
      </c>
      <c r="B25" s="8" t="inlineStr">
        <is>
          <t>N/A</t>
        </is>
      </c>
      <c r="C25" s="8" t="inlineStr">
        <is>
          <t>Insurance — FCF is not a meaningful valuation metric</t>
        </is>
      </c>
    </row>
    <row r="26">
      <c r="A26" s="7" t="inlineStr">
        <is>
          <t>P/FCF (Yahoo LFCF)</t>
        </is>
      </c>
      <c r="B26" s="8" t="inlineStr">
        <is>
          <t>N/A</t>
        </is>
      </c>
      <c r="C26" s="8" t="inlineStr">
        <is>
          <t>Yahoo shows 'Levered FCF TTM $1B' but this is OCF-Capex for an insurer; deposits offset loan origination</t>
        </is>
      </c>
    </row>
    <row r="27">
      <c r="A27" s="7" t="inlineStr">
        <is>
          <t>EV/Sales</t>
        </is>
      </c>
      <c r="B27" s="8" t="inlineStr">
        <is>
          <t>1.21x</t>
        </is>
      </c>
      <c r="C27" s="8" t="inlineStr">
        <is>
          <t>EV $8.04B / Rev $6.66B</t>
        </is>
      </c>
    </row>
    <row r="28">
      <c r="A28" s="7" t="inlineStr">
        <is>
          <t>EV/EBITDA</t>
        </is>
      </c>
      <c r="B28" s="8" t="inlineStr">
        <is>
          <t>N/A</t>
        </is>
      </c>
      <c r="C28" s="8" t="inlineStr">
        <is>
          <t>Not standard for insurance companies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55" customWidth="1" min="3" max="3"/>
  </cols>
  <sheetData>
    <row r="1">
      <c r="A1" s="1" t="inlineStr">
        <is>
          <t>THG — WACC (CAPM) — Insurance Company Override</t>
        </is>
      </c>
    </row>
    <row r="2">
      <c r="A2" s="3" t="inlineStr">
        <is>
          <t>Note: FCF-based DCF is NOT appropriate for insurance/financial. WACC shown for Residual Income framework only.</t>
        </is>
      </c>
    </row>
    <row r="4">
      <c r="A4" s="4" t="inlineStr">
        <is>
          <t>Component</t>
        </is>
      </c>
      <c r="B4" s="9" t="inlineStr">
        <is>
          <t>Value</t>
        </is>
      </c>
      <c r="C4" s="9" t="inlineStr">
        <is>
          <t>Source / Notes</t>
        </is>
      </c>
    </row>
    <row r="5">
      <c r="A5" s="4" t="inlineStr">
        <is>
          <t>Risk-Free Rate (10Y US Treasury)</t>
        </is>
      </c>
      <c r="B5" s="5" t="inlineStr">
        <is>
          <t>4.374%</t>
        </is>
      </c>
      <c r="C5" s="5" t="inlineStr">
        <is>
          <t>CNBC US10Y as of 2026-06-29</t>
        </is>
      </c>
    </row>
    <row r="6">
      <c r="A6" s="4" t="inlineStr">
        <is>
          <t>Equity Risk Premium</t>
        </is>
      </c>
      <c r="B6" s="5" t="inlineStr">
        <is>
          <t>5.0%</t>
        </is>
      </c>
      <c r="C6" s="5" t="inlineStr">
        <is>
          <t>Standard assumption</t>
        </is>
      </c>
    </row>
    <row r="7">
      <c r="A7" s="4" t="inlineStr">
        <is>
          <t>Beta (Levered, 5Y Monthly)</t>
        </is>
      </c>
      <c r="B7" s="5" t="inlineStr">
        <is>
          <t>0.32</t>
        </is>
      </c>
      <c r="C7" s="5" t="inlineStr">
        <is>
          <t>Yahoo Finance Statistics</t>
        </is>
      </c>
    </row>
    <row r="8">
      <c r="A8" s="4" t="inlineStr">
        <is>
          <t>Cost of Equity (CAPM)</t>
        </is>
      </c>
      <c r="B8" s="5" t="inlineStr">
        <is>
          <t>5.97%</t>
        </is>
      </c>
      <c r="C8" s="5">
        <f>4.374 + 0.32 × 5.0</f>
        <v/>
      </c>
    </row>
    <row r="9">
      <c r="A9" s="4" t="inlineStr">
        <is>
          <t>Cost of Debt</t>
        </is>
      </c>
      <c r="B9" s="5" t="inlineStr">
        <is>
          <t>4.5%</t>
        </is>
      </c>
      <c r="C9" s="5" t="inlineStr">
        <is>
          <t>Interest exp ~$33.3M / Debt ~$783M (FY2024)</t>
        </is>
      </c>
    </row>
    <row r="10">
      <c r="A10" s="4" t="inlineStr">
        <is>
          <t>Tax Rate</t>
        </is>
      </c>
      <c r="B10" s="5" t="inlineStr">
        <is>
          <t>21.7%</t>
        </is>
      </c>
      <c r="C10" s="5" t="inlineStr">
        <is>
          <t>FY2025: Tax prov $183.1M / Pretax $843.8M</t>
        </is>
      </c>
    </row>
    <row r="11">
      <c r="A11" s="4" t="inlineStr"/>
      <c r="B11" s="5" t="inlineStr"/>
      <c r="C11" s="5" t="inlineStr"/>
    </row>
    <row r="12">
      <c r="A12" s="4" t="inlineStr">
        <is>
          <t>CAPITAL STRUCTURE</t>
        </is>
      </c>
      <c r="B12" s="5" t="inlineStr"/>
      <c r="C12" s="5" t="inlineStr"/>
    </row>
    <row r="13">
      <c r="A13" s="4" t="inlineStr">
        <is>
          <t>Market Cap</t>
        </is>
      </c>
      <c r="B13" s="5" t="inlineStr">
        <is>
          <t>$7.44B</t>
        </is>
      </c>
      <c r="C13" s="5" t="inlineStr">
        <is>
          <t>Yahoo Finance intraday</t>
        </is>
      </c>
    </row>
    <row r="14">
      <c r="A14" s="4" t="inlineStr">
        <is>
          <t>Total Debt (Q1 2026 mrq)</t>
        </is>
      </c>
      <c r="B14" s="5" t="inlineStr">
        <is>
          <t>$0.8B</t>
        </is>
      </c>
      <c r="C14" s="5" t="inlineStr">
        <is>
          <t>Yahoo Finance Balance Sheet</t>
        </is>
      </c>
    </row>
    <row r="15">
      <c r="A15" s="4" t="inlineStr">
        <is>
          <t>Total Market Value</t>
        </is>
      </c>
      <c r="B15" s="5" t="inlineStr">
        <is>
          <t>$8.28B</t>
        </is>
      </c>
      <c r="C15" s="5" t="inlineStr"/>
    </row>
    <row r="16">
      <c r="A16" s="4" t="inlineStr">
        <is>
          <t>Equity Weight</t>
        </is>
      </c>
      <c r="B16" s="5" t="inlineStr">
        <is>
          <t>0.8981</t>
        </is>
      </c>
      <c r="C16" s="5" t="inlineStr"/>
    </row>
    <row r="17">
      <c r="A17" s="4" t="inlineStr">
        <is>
          <t>Debt Weight</t>
        </is>
      </c>
      <c r="B17" s="5" t="inlineStr">
        <is>
          <t>0.1019</t>
        </is>
      </c>
      <c r="C17" s="5" t="inlineStr"/>
    </row>
    <row r="18">
      <c r="A18" s="4" t="inlineStr"/>
      <c r="B18" s="5" t="inlineStr"/>
      <c r="C18" s="5" t="inlineStr"/>
    </row>
    <row r="19">
      <c r="A19" s="4" t="inlineStr">
        <is>
          <t>WACC</t>
        </is>
      </c>
      <c r="B19" s="5" t="inlineStr">
        <is>
          <t>5.72%</t>
        </is>
      </c>
      <c r="C19" s="5">
        <f>0.8981×5.97% + 0.1019×4.5%×(1-21.7%)</f>
        <v/>
      </c>
    </row>
    <row r="20">
      <c r="A20" s="4" t="inlineStr"/>
      <c r="B20" s="5" t="inlineStr"/>
      <c r="C20" s="5" t="inlineStr"/>
    </row>
    <row r="21">
      <c r="A21" s="4" t="inlineStr">
        <is>
          <t>Primary Framework</t>
        </is>
      </c>
      <c r="B21" s="5" t="inlineStr">
        <is>
          <t>Residual Income (ROE vs. Cost of Equity)</t>
        </is>
      </c>
      <c r="C21" s="5" t="inlineStr">
        <is>
          <t>Insurance company — P/B is the anchor</t>
        </is>
      </c>
    </row>
    <row r="22">
      <c r="A22" s="4" t="inlineStr">
        <is>
          <t>Fair P/B = ROE / (Cost of Equity - g)</t>
        </is>
      </c>
      <c r="B22" s="5" t="inlineStr">
        <is>
          <t>ROE ~20.2% vs Ke ~6.0%</t>
        </is>
      </c>
      <c r="C22" s="5" t="inlineStr">
        <is>
          <t>Residual Income formula for banks/insurers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0" customWidth="1" min="4" max="4"/>
    <col width="14" customWidth="1" min="5" max="5"/>
    <col width="18" customWidth="1" min="6" max="6"/>
    <col width="10" customWidth="1" min="7" max="7"/>
    <col width="18" customWidth="1" min="8" max="8"/>
    <col width="70" customWidth="1" min="9" max="9"/>
  </cols>
  <sheetData>
    <row r="1">
      <c r="A1" s="1" t="inlineStr">
        <is>
          <t>THG — Bear / Base / Bull Scenarios (P/B + ROE Framework)</t>
        </is>
      </c>
    </row>
    <row r="2">
      <c r="A2" s="3" t="inlineStr">
        <is>
          <t>Insurance company: valuations based on BVPS CAGR, exit P/B multiples, and implied price per share.</t>
        </is>
      </c>
    </row>
    <row r="4">
      <c r="A4" s="6" t="inlineStr">
        <is>
          <t>Scenario</t>
        </is>
      </c>
      <c r="B4" s="6" t="inlineStr">
        <is>
          <t>BVPS CAGR (5Y)</t>
        </is>
      </c>
      <c r="C4" s="6" t="inlineStr">
        <is>
          <t>Terminal BVPS (5Y)</t>
        </is>
      </c>
      <c r="D4" s="6" t="inlineStr">
        <is>
          <t>Exit P/B</t>
        </is>
      </c>
      <c r="E4" s="6" t="inlineStr">
        <is>
          <t>Target Price</t>
        </is>
      </c>
      <c r="F4" s="6" t="inlineStr">
        <is>
          <t>Upside from Current</t>
        </is>
      </c>
      <c r="G4" s="6" t="inlineStr">
        <is>
          <t>Weight</t>
        </is>
      </c>
      <c r="H4" s="6" t="inlineStr">
        <is>
          <t>Weighted Value/Share</t>
        </is>
      </c>
      <c r="I4" s="6" t="inlineStr">
        <is>
          <t>Key Assumptions</t>
        </is>
      </c>
    </row>
    <row r="5">
      <c r="A5" s="7" t="inlineStr">
        <is>
          <t>Bear</t>
        </is>
      </c>
      <c r="B5" s="10" t="n">
        <v>0.04</v>
      </c>
      <c r="C5" s="11" t="n">
        <v>122.711611736064</v>
      </c>
      <c r="D5" s="12" t="n">
        <v>1.6</v>
      </c>
      <c r="E5" s="11" t="n">
        <v>196.3385787777024</v>
      </c>
      <c r="F5" s="10" t="n">
        <v>-0.08483928974688905</v>
      </c>
      <c r="G5" s="10" t="n">
        <v>0.2</v>
      </c>
      <c r="H5" s="11" t="n">
        <v>39.26771575554049</v>
      </c>
      <c r="I5" s="8" t="inlineStr">
        <is>
          <t>Hard insurance cycle; combined ratio rises; ROE drops to 12-14%; P/B contracts to 1.6x. Book growth slows on reserves.</t>
        </is>
      </c>
    </row>
    <row r="6">
      <c r="A6" s="7" t="inlineStr">
        <is>
          <t>Base</t>
        </is>
      </c>
      <c r="B6" s="10" t="n">
        <v>0.08</v>
      </c>
      <c r="C6" s="11" t="n">
        <v>148.196429826048</v>
      </c>
      <c r="D6" s="12" t="n">
        <v>2</v>
      </c>
      <c r="E6" s="11" t="n">
        <v>296.3928596520961</v>
      </c>
      <c r="F6" s="10" t="n">
        <v>0.3815272660207705</v>
      </c>
      <c r="G6" s="10" t="n">
        <v>0.5</v>
      </c>
      <c r="H6" s="11" t="n">
        <v>148.196429826048</v>
      </c>
      <c r="I6" s="8" t="inlineStr">
        <is>
          <t>Moderate cycle; ROE holds at 18-20%; P/B maintains current 2.0x. Steady buybacks support BVPS growth.</t>
        </is>
      </c>
    </row>
    <row r="7">
      <c r="A7" s="7" t="inlineStr">
        <is>
          <t>Bull</t>
        </is>
      </c>
      <c r="B7" s="10" t="n">
        <v>0.12</v>
      </c>
      <c r="C7" s="11" t="n">
        <v>177.7497821675521</v>
      </c>
      <c r="D7" s="12" t="n">
        <v>2.4</v>
      </c>
      <c r="E7" s="11" t="n">
        <v>426.5994772021249</v>
      </c>
      <c r="F7" s="10" t="n">
        <v>0.9884379472458513</v>
      </c>
      <c r="G7" s="10" t="n">
        <v>0.3</v>
      </c>
      <c r="H7" s="11" t="n">
        <v>127.9798431606375</v>
      </c>
      <c r="I7" s="8" t="inlineStr">
        <is>
          <t>Soft cycle; pricing power; combined ratio improves; ROE expands to 22-25%; P/B re-rates to 2.4x on quality premium.</t>
        </is>
      </c>
    </row>
    <row r="9">
      <c r="A9" s="13" t="inlineStr">
        <is>
          <t>Total Probability-Weighted FV</t>
        </is>
      </c>
      <c r="B9" s="13" t="n"/>
      <c r="C9" s="13" t="n"/>
      <c r="D9" s="13" t="n"/>
      <c r="E9" s="13" t="n"/>
      <c r="F9" s="14" t="n">
        <v>0.4703271592347629</v>
      </c>
      <c r="G9" s="13" t="n"/>
      <c r="H9" s="15" t="n">
        <v>315.443988742226</v>
      </c>
      <c r="I9" s="13" t="n"/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5" customWidth="1" min="3" max="3"/>
    <col width="15" customWidth="1" min="4" max="4"/>
    <col width="60" customWidth="1" min="5" max="5"/>
  </cols>
  <sheetData>
    <row r="1">
      <c r="A1" s="1" t="inlineStr">
        <is>
          <t>THG — Actuals Source Audit</t>
        </is>
      </c>
    </row>
    <row r="3">
      <c r="A3" s="6" t="inlineStr">
        <is>
          <t>Data Point</t>
        </is>
      </c>
      <c r="B3" s="6" t="inlineStr">
        <is>
          <t>Value</t>
        </is>
      </c>
      <c r="C3" s="6" t="inlineStr">
        <is>
          <t>Source</t>
        </is>
      </c>
      <c r="D3" s="6" t="inlineStr">
        <is>
          <t>Date Accessed</t>
        </is>
      </c>
      <c r="E3" s="6" t="inlineStr">
        <is>
          <t>Notes</t>
        </is>
      </c>
    </row>
    <row r="4">
      <c r="A4" s="4" t="inlineStr">
        <is>
          <t>Stock Price</t>
        </is>
      </c>
      <c r="B4" s="5" t="inlineStr">
        <is>
          <t>$214.54</t>
        </is>
      </c>
      <c r="C4" s="5" t="inlineStr">
        <is>
          <t>Yahoo Finance /quote/THG/</t>
        </is>
      </c>
      <c r="D4" s="5" t="inlineStr">
        <is>
          <t>2026-06-29</t>
        </is>
      </c>
      <c r="E4" s="5" t="inlineStr">
        <is>
          <t>Close price June 29, 2026</t>
        </is>
      </c>
    </row>
    <row r="5">
      <c r="A5" s="4" t="inlineStr">
        <is>
          <t>After Hours Price</t>
        </is>
      </c>
      <c r="B5" s="5" t="inlineStr">
        <is>
          <t>$216.25</t>
        </is>
      </c>
      <c r="C5" s="5" t="inlineStr">
        <is>
          <t>Yahoo Finance /quote/THG/</t>
        </is>
      </c>
      <c r="D5" s="5" t="inlineStr">
        <is>
          <t>2026-06-29</t>
        </is>
      </c>
      <c r="E5" s="5" t="inlineStr">
        <is>
          <t>After hours 6:02 PM EDT</t>
        </is>
      </c>
    </row>
    <row r="6">
      <c r="A6" s="4" t="inlineStr">
        <is>
          <t>Market Cap</t>
        </is>
      </c>
      <c r="B6" s="5" t="inlineStr">
        <is>
          <t>$7.44B</t>
        </is>
      </c>
      <c r="C6" s="5" t="inlineStr">
        <is>
          <t>Yahoo Finance Statistics</t>
        </is>
      </c>
      <c r="D6" s="5" t="inlineStr">
        <is>
          <t>2026-06-29</t>
        </is>
      </c>
      <c r="E6" s="5" t="inlineStr">
        <is>
          <t>Intraday market cap</t>
        </is>
      </c>
    </row>
    <row r="7">
      <c r="A7" s="4" t="inlineStr">
        <is>
          <t>Enterprise Value</t>
        </is>
      </c>
      <c r="B7" s="5" t="inlineStr">
        <is>
          <t>$8.04B</t>
        </is>
      </c>
      <c r="C7" s="5" t="inlineStr">
        <is>
          <t>Yahoo Finance Statistics</t>
        </is>
      </c>
      <c r="D7" s="5" t="inlineStr">
        <is>
          <t>2026-06-29</t>
        </is>
      </c>
      <c r="E7" s="5" t="inlineStr"/>
    </row>
    <row r="8">
      <c r="A8" s="4" t="inlineStr">
        <is>
          <t>Shares Outstanding</t>
        </is>
      </c>
      <c r="B8" s="5" t="inlineStr">
        <is>
          <t>35.00M diluted</t>
        </is>
      </c>
      <c r="C8" s="5" t="inlineStr">
        <is>
          <t>Yahoo Finance Statistics</t>
        </is>
      </c>
      <c r="D8" s="5" t="inlineStr">
        <is>
          <t>2026-06-29</t>
        </is>
      </c>
      <c r="E8" s="5" t="inlineStr">
        <is>
          <t>Implied shares outstanding</t>
        </is>
      </c>
    </row>
    <row r="9">
      <c r="A9" s="4" t="inlineStr">
        <is>
          <t>Beta (5Y Monthly)</t>
        </is>
      </c>
      <c r="B9" s="5" t="inlineStr">
        <is>
          <t>0.32</t>
        </is>
      </c>
      <c r="C9" s="5" t="inlineStr">
        <is>
          <t>Yahoo Finance Statistics</t>
        </is>
      </c>
      <c r="D9" s="5" t="inlineStr">
        <is>
          <t>2026-06-29</t>
        </is>
      </c>
      <c r="E9" s="5" t="inlineStr"/>
    </row>
    <row r="10">
      <c r="A10" s="4" t="inlineStr">
        <is>
          <t>52 Week Range</t>
        </is>
      </c>
      <c r="B10" s="5" t="inlineStr">
        <is>
          <t>$160.70 - $214.76</t>
        </is>
      </c>
      <c r="C10" s="5" t="inlineStr">
        <is>
          <t>Yahoo Finance Summary</t>
        </is>
      </c>
      <c r="D10" s="5" t="inlineStr">
        <is>
          <t>2026-06-29</t>
        </is>
      </c>
      <c r="E10" s="5" t="inlineStr">
        <is>
          <t>Stock at 52-week high</t>
        </is>
      </c>
    </row>
    <row r="11">
      <c r="A11" s="4" t="inlineStr"/>
      <c r="B11" s="5" t="inlineStr"/>
      <c r="C11" s="5" t="inlineStr"/>
      <c r="D11" s="5" t="inlineStr"/>
      <c r="E11" s="5" t="inlineStr"/>
    </row>
    <row r="12">
      <c r="A12" s="4" t="inlineStr">
        <is>
          <t>Revenue FY2022</t>
        </is>
      </c>
      <c r="B12" s="5" t="inlineStr">
        <is>
          <t>$5432.9M</t>
        </is>
      </c>
      <c r="C12" s="5" t="inlineStr">
        <is>
          <t>Yahoo Finance Income Statement</t>
        </is>
      </c>
      <c r="D12" s="5" t="inlineStr">
        <is>
          <t>2026-06-29</t>
        </is>
      </c>
      <c r="E12" s="5" t="inlineStr">
        <is>
          <t>All numbers in thousands</t>
        </is>
      </c>
    </row>
    <row r="13">
      <c r="A13" s="4" t="inlineStr">
        <is>
          <t>Revenue FY2023</t>
        </is>
      </c>
      <c r="B13" s="5" t="inlineStr">
        <is>
          <t>$5963.5M</t>
        </is>
      </c>
      <c r="C13" s="5" t="inlineStr">
        <is>
          <t>Yahoo Finance Income Statement</t>
        </is>
      </c>
      <c r="D13" s="5" t="inlineStr">
        <is>
          <t>2026-06-29</t>
        </is>
      </c>
      <c r="E13" s="5" t="inlineStr"/>
    </row>
    <row r="14">
      <c r="A14" s="4" t="inlineStr">
        <is>
          <t>Revenue FY2024</t>
        </is>
      </c>
      <c r="B14" s="5" t="inlineStr">
        <is>
          <t>$6216.8M</t>
        </is>
      </c>
      <c r="C14" s="5" t="inlineStr">
        <is>
          <t>Yahoo Finance Income Statement</t>
        </is>
      </c>
      <c r="D14" s="5" t="inlineStr">
        <is>
          <t>2026-06-29</t>
        </is>
      </c>
      <c r="E14" s="5" t="inlineStr"/>
    </row>
    <row r="15">
      <c r="A15" s="4" t="inlineStr">
        <is>
          <t>Revenue FY2025</t>
        </is>
      </c>
      <c r="B15" s="5" t="inlineStr">
        <is>
          <t>$6567.3M</t>
        </is>
      </c>
      <c r="C15" s="5" t="inlineStr">
        <is>
          <t>Yahoo Finance Income Statement</t>
        </is>
      </c>
      <c r="D15" s="5" t="inlineStr">
        <is>
          <t>2026-06-29</t>
        </is>
      </c>
      <c r="E15" s="5" t="inlineStr"/>
    </row>
    <row r="16">
      <c r="A16" s="4" t="inlineStr">
        <is>
          <t>Revenue TTM</t>
        </is>
      </c>
      <c r="B16" s="5" t="inlineStr">
        <is>
          <t>$6662.0M</t>
        </is>
      </c>
      <c r="C16" s="5" t="inlineStr">
        <is>
          <t>Yahoo Finance Income Statement</t>
        </is>
      </c>
      <c r="D16" s="5" t="inlineStr">
        <is>
          <t>2026-06-29</t>
        </is>
      </c>
      <c r="E16" s="5" t="inlineStr"/>
    </row>
    <row r="17">
      <c r="A17" s="4" t="inlineStr">
        <is>
          <t>Net Income FY2022</t>
        </is>
      </c>
      <c r="B17" s="5" t="inlineStr">
        <is>
          <t>$116.0M</t>
        </is>
      </c>
      <c r="C17" s="5" t="inlineStr">
        <is>
          <t>Yahoo Finance Income Statement</t>
        </is>
      </c>
      <c r="D17" s="5" t="inlineStr">
        <is>
          <t>2026-06-29</t>
        </is>
      </c>
      <c r="E17" s="5" t="inlineStr"/>
    </row>
    <row r="18">
      <c r="A18" s="4" t="inlineStr">
        <is>
          <t>Net Income FY2023</t>
        </is>
      </c>
      <c r="B18" s="5" t="inlineStr">
        <is>
          <t>$35.3M</t>
        </is>
      </c>
      <c r="C18" s="5" t="inlineStr">
        <is>
          <t>Yahoo Finance Income Statement</t>
        </is>
      </c>
      <c r="D18" s="5" t="inlineStr">
        <is>
          <t>2026-06-29</t>
        </is>
      </c>
      <c r="E18" s="5" t="inlineStr">
        <is>
          <t>Severe one-time items — not representative</t>
        </is>
      </c>
    </row>
    <row r="19">
      <c r="A19" s="4" t="inlineStr">
        <is>
          <t>Net Income FY2024</t>
        </is>
      </c>
      <c r="B19" s="5" t="inlineStr">
        <is>
          <t>$426.0M</t>
        </is>
      </c>
      <c r="C19" s="5" t="inlineStr">
        <is>
          <t>Yahoo Finance Income Statement</t>
        </is>
      </c>
      <c r="D19" s="5" t="inlineStr">
        <is>
          <t>2026-06-29</t>
        </is>
      </c>
      <c r="E19" s="5" t="inlineStr"/>
    </row>
    <row r="20">
      <c r="A20" s="4" t="inlineStr">
        <is>
          <t>Net Income FY2025</t>
        </is>
      </c>
      <c r="B20" s="5" t="inlineStr">
        <is>
          <t>$662.5M</t>
        </is>
      </c>
      <c r="C20" s="5" t="inlineStr">
        <is>
          <t>Yahoo Finance Income Statement</t>
        </is>
      </c>
      <c r="D20" s="5" t="inlineStr">
        <is>
          <t>2026-06-29</t>
        </is>
      </c>
      <c r="E20" s="5" t="inlineStr"/>
    </row>
    <row r="21">
      <c r="A21" s="4" t="inlineStr">
        <is>
          <t>Net Income TTM</t>
        </is>
      </c>
      <c r="B21" s="5" t="inlineStr">
        <is>
          <t>$721.1M</t>
        </is>
      </c>
      <c r="C21" s="5" t="inlineStr">
        <is>
          <t>Yahoo Finance Income Statement</t>
        </is>
      </c>
      <c r="D21" s="5" t="inlineStr">
        <is>
          <t>2026-06-29</t>
        </is>
      </c>
      <c r="E21" s="5" t="inlineStr"/>
    </row>
    <row r="22">
      <c r="A22" s="4" t="inlineStr"/>
      <c r="B22" s="5" t="inlineStr"/>
      <c r="C22" s="5" t="inlineStr"/>
      <c r="D22" s="5" t="inlineStr"/>
      <c r="E22" s="5" t="inlineStr"/>
    </row>
    <row r="23">
      <c r="A23" s="4" t="inlineStr">
        <is>
          <t>Total Assets FY2025</t>
        </is>
      </c>
      <c r="B23" s="5" t="inlineStr">
        <is>
          <t>$16,945.9M</t>
        </is>
      </c>
      <c r="C23" s="5" t="inlineStr">
        <is>
          <t>Yahoo Finance Balance Sheet</t>
        </is>
      </c>
      <c r="D23" s="5" t="inlineStr">
        <is>
          <t>2026-06-29</t>
        </is>
      </c>
      <c r="E23" s="5" t="inlineStr">
        <is>
          <t>Q1 2026 mrq — jumped 11% from FY25. Possible acquisition?</t>
        </is>
      </c>
    </row>
    <row r="24">
      <c r="A24" s="4" t="inlineStr">
        <is>
          <t>Total Debt Q1 2026</t>
        </is>
      </c>
      <c r="B24" s="5" t="inlineStr">
        <is>
          <t>$843.8M</t>
        </is>
      </c>
      <c r="C24" s="5" t="inlineStr">
        <is>
          <t>Yahoo Finance Statistics</t>
        </is>
      </c>
      <c r="D24" s="5" t="inlineStr">
        <is>
          <t>2026-06-29</t>
        </is>
      </c>
      <c r="E24" s="5" t="inlineStr"/>
    </row>
    <row r="25">
      <c r="A25" s="4" t="inlineStr">
        <is>
          <t>Total Equity FY2025</t>
        </is>
      </c>
      <c r="B25" s="5" t="inlineStr">
        <is>
          <t>$3571.5M</t>
        </is>
      </c>
      <c r="C25" s="5" t="inlineStr">
        <is>
          <t>Yahoo Finance Balance Sheet</t>
        </is>
      </c>
      <c r="D25" s="5" t="inlineStr">
        <is>
          <t>2026-06-29</t>
        </is>
      </c>
      <c r="E25" s="5" t="inlineStr"/>
    </row>
    <row r="26">
      <c r="A26" s="4" t="inlineStr">
        <is>
          <t>BVPS mrq</t>
        </is>
      </c>
      <c r="B26" s="5" t="inlineStr">
        <is>
          <t>$100.86</t>
        </is>
      </c>
      <c r="C26" s="5" t="inlineStr">
        <is>
          <t>Yahoo Finance Statistics</t>
        </is>
      </c>
      <c r="D26" s="5" t="inlineStr">
        <is>
          <t>2026-06-29</t>
        </is>
      </c>
      <c r="E26" s="5" t="inlineStr"/>
    </row>
    <row r="27">
      <c r="A27" s="4" t="inlineStr"/>
      <c r="B27" s="5" t="inlineStr"/>
      <c r="C27" s="5" t="inlineStr"/>
      <c r="D27" s="5" t="inlineStr"/>
      <c r="E27" s="5" t="inlineStr"/>
    </row>
    <row r="28">
      <c r="A28" s="4" t="inlineStr">
        <is>
          <t>OCF FY2025</t>
        </is>
      </c>
      <c r="B28" s="5" t="inlineStr">
        <is>
          <t>$1178.1M</t>
        </is>
      </c>
      <c r="C28" s="5" t="inlineStr">
        <is>
          <t>Yahoo Finance Cash Flow</t>
        </is>
      </c>
      <c r="D28" s="5" t="inlineStr">
        <is>
          <t>2026-06-29</t>
        </is>
      </c>
      <c r="E28" s="5" t="inlineStr"/>
    </row>
    <row r="29">
      <c r="A29" s="4" t="inlineStr">
        <is>
          <t>OCF TTM</t>
        </is>
      </c>
      <c r="B29" s="5" t="inlineStr">
        <is>
          <t>$1258.0M</t>
        </is>
      </c>
      <c r="C29" s="5" t="inlineStr">
        <is>
          <t>Yahoo Finance Cash Flow</t>
        </is>
      </c>
      <c r="D29" s="5" t="inlineStr">
        <is>
          <t>2026-06-29</t>
        </is>
      </c>
      <c r="E29" s="5" t="inlineStr"/>
    </row>
    <row r="30">
      <c r="A30" s="4" t="inlineStr">
        <is>
          <t>Capex TTM</t>
        </is>
      </c>
      <c r="B30" s="5" t="inlineStr">
        <is>
          <t>$9.4M</t>
        </is>
      </c>
      <c r="C30" s="5" t="inlineStr">
        <is>
          <t>Yahoo Finance Cash Flow</t>
        </is>
      </c>
      <c r="D30" s="5" t="inlineStr">
        <is>
          <t>2026-06-29</t>
        </is>
      </c>
      <c r="E30" s="5" t="inlineStr">
        <is>
          <t>Minimal capex — insurance company</t>
        </is>
      </c>
    </row>
    <row r="31">
      <c r="A31" s="4" t="inlineStr"/>
      <c r="B31" s="5" t="inlineStr"/>
      <c r="C31" s="5" t="inlineStr"/>
      <c r="D31" s="5" t="inlineStr"/>
      <c r="E31" s="5" t="inlineStr"/>
    </row>
    <row r="32">
      <c r="A32" s="4" t="inlineStr">
        <is>
          <t>FY26 Rev Estimate</t>
        </is>
      </c>
      <c r="B32" s="5" t="inlineStr">
        <is>
          <t>$6640M</t>
        </is>
      </c>
      <c r="C32" s="5" t="inlineStr">
        <is>
          <t>Yahoo Finance Analysis</t>
        </is>
      </c>
      <c r="D32" s="5" t="inlineStr">
        <is>
          <t>2026-06-29</t>
        </is>
      </c>
      <c r="E32" s="5" t="inlineStr">
        <is>
          <t>6 analysts, avg $6.64B</t>
        </is>
      </c>
    </row>
    <row r="33">
      <c r="A33" s="4" t="inlineStr">
        <is>
          <t>FY27 Rev Estimate</t>
        </is>
      </c>
      <c r="B33" s="5" t="inlineStr">
        <is>
          <t>$6930M</t>
        </is>
      </c>
      <c r="C33" s="5" t="inlineStr">
        <is>
          <t>Yahoo Finance Analysis</t>
        </is>
      </c>
      <c r="D33" s="5" t="inlineStr">
        <is>
          <t>2026-06-29</t>
        </is>
      </c>
      <c r="E33" s="5" t="inlineStr">
        <is>
          <t>6 analysts, avg $6.93B</t>
        </is>
      </c>
    </row>
    <row r="34">
      <c r="A34" s="4" t="inlineStr">
        <is>
          <t>FY26 EPS Estimate</t>
        </is>
      </c>
      <c r="B34" s="5" t="inlineStr">
        <is>
          <t>$18.60</t>
        </is>
      </c>
      <c r="C34" s="5" t="inlineStr">
        <is>
          <t>Yahoo Finance Analysis</t>
        </is>
      </c>
      <c r="D34" s="5" t="inlineStr">
        <is>
          <t>2026-06-29</t>
        </is>
      </c>
      <c r="E34" s="5" t="inlineStr">
        <is>
          <t>8 analysts, avg $18.60</t>
        </is>
      </c>
    </row>
    <row r="35">
      <c r="A35" s="4" t="inlineStr">
        <is>
          <t>FY27 EPS Estimate</t>
        </is>
      </c>
      <c r="B35" s="5" t="inlineStr">
        <is>
          <t>$18.59</t>
        </is>
      </c>
      <c r="C35" s="5" t="inlineStr">
        <is>
          <t>Yahoo Finance Analysis</t>
        </is>
      </c>
      <c r="D35" s="5" t="inlineStr">
        <is>
          <t>2026-06-29</t>
        </is>
      </c>
      <c r="E35" s="5" t="inlineStr">
        <is>
          <t>8 analysts, avg $18.59</t>
        </is>
      </c>
    </row>
    <row r="36">
      <c r="A36" s="4" t="inlineStr">
        <is>
          <t>Q1 FY26 EPS Actual</t>
        </is>
      </c>
      <c r="B36" s="5" t="inlineStr">
        <is>
          <t>$5.25</t>
        </is>
      </c>
      <c r="C36" s="5" t="inlineStr">
        <is>
          <t>Yahoo Finance Analysis</t>
        </is>
      </c>
      <c r="D36" s="5" t="inlineStr">
        <is>
          <t>2026-06-29</t>
        </is>
      </c>
      <c r="E36" s="5" t="inlineStr">
        <is>
          <t>Beat of +24.5% est $4.22</t>
        </is>
      </c>
    </row>
    <row r="37">
      <c r="A37" s="4" t="inlineStr"/>
      <c r="B37" s="5" t="inlineStr"/>
      <c r="C37" s="5" t="inlineStr"/>
      <c r="D37" s="5" t="inlineStr"/>
      <c r="E37" s="5" t="inlineStr"/>
    </row>
    <row r="38">
      <c r="A38" s="4" t="inlineStr">
        <is>
          <t>10Y Treasury Rate</t>
        </is>
      </c>
      <c r="B38" s="5" t="inlineStr">
        <is>
          <t>4.374%</t>
        </is>
      </c>
      <c r="C38" s="5" t="inlineStr">
        <is>
          <t>CNBC US10Y</t>
        </is>
      </c>
      <c r="D38" s="5" t="inlineStr">
        <is>
          <t>2026-06-29</t>
        </is>
      </c>
      <c r="E38" s="5" t="inlineStr"/>
    </row>
    <row r="39">
      <c r="A39" s="4" t="inlineStr">
        <is>
          <t>Next Earnings Date</t>
        </is>
      </c>
      <c r="B39" s="5" t="inlineStr">
        <is>
          <t>2026-07-28</t>
        </is>
      </c>
      <c r="C39" s="5" t="inlineStr">
        <is>
          <t>Yahoo Finance Profile</t>
        </is>
      </c>
      <c r="D39" s="5" t="inlineStr">
        <is>
          <t>2026-06-29</t>
        </is>
      </c>
      <c r="E39" s="5" t="inlineStr">
        <is>
          <t>July 28, 2026</t>
        </is>
      </c>
    </row>
    <row r="40">
      <c r="A40" s="4" t="inlineStr">
        <is>
          <t>Dividend Yield</t>
        </is>
      </c>
      <c r="B40" s="5" t="inlineStr">
        <is>
          <t>1.74%</t>
        </is>
      </c>
      <c r="C40" s="5" t="inlineStr">
        <is>
          <t>Yahoo Finance Statistics</t>
        </is>
      </c>
      <c r="D40" s="5" t="inlineStr">
        <is>
          <t>2026-06-29</t>
        </is>
      </c>
      <c r="E40" s="5" t="inlineStr">
        <is>
          <t>Trailing annual $3.70</t>
        </is>
      </c>
    </row>
    <row r="41">
      <c r="A41" s="4" t="inlineStr">
        <is>
          <t>Payout Ratio</t>
        </is>
      </c>
      <c r="B41" s="5" t="inlineStr">
        <is>
          <t>18.67%</t>
        </is>
      </c>
      <c r="C41" s="5" t="inlineStr">
        <is>
          <t>Yahoo Finance Statistics</t>
        </is>
      </c>
      <c r="D41" s="5" t="inlineStr">
        <is>
          <t>2026-06-29</t>
        </is>
      </c>
      <c r="E41" s="5" t="inlineStr">
        <is>
          <t>Very low — room for buybacks + dividends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2" customWidth="1" min="3" max="3"/>
  </cols>
  <sheetData>
    <row r="1">
      <c r="A1" s="1" t="inlineStr">
        <is>
          <t>THG — Open Questions</t>
        </is>
      </c>
    </row>
    <row r="3">
      <c r="A3" s="6" t="inlineStr">
        <is>
          <t>#</t>
        </is>
      </c>
      <c r="B3" s="6" t="inlineStr">
        <is>
          <t>Question</t>
        </is>
      </c>
      <c r="C3" s="6" t="inlineStr">
        <is>
          <t>Priority</t>
        </is>
      </c>
    </row>
    <row r="4">
      <c r="A4" s="5" t="inlineStr">
        <is>
          <t>1</t>
        </is>
      </c>
      <c r="B4" s="5" t="inlineStr">
        <is>
          <t>Asset jump: Total assets surged $16,946M (Q1 2026) vs $15,275M (FY2025) — an 11% jump in one quarter. Was this investment portfolio appreciation, a reinsurance acquisition, or something else?</t>
        </is>
      </c>
      <c r="C4" s="16" t="inlineStr">
        <is>
          <t>HIGH</t>
        </is>
      </c>
    </row>
    <row r="5">
      <c r="A5" s="5" t="inlineStr">
        <is>
          <t>2</t>
        </is>
      </c>
      <c r="B5" s="5" t="inlineStr">
        <is>
          <t>Debt increase: Total debt rose from $784M (FY2025) to $844M (Q1 2026). Is this deal-related or ordinary refinancing?</t>
        </is>
      </c>
      <c r="C5" s="17" t="inlineStr">
        <is>
          <t>MEDIUM</t>
        </is>
      </c>
    </row>
    <row r="6">
      <c r="A6" s="5" t="inlineStr">
        <is>
          <t>3</t>
        </is>
      </c>
      <c r="B6" s="5" t="inlineStr">
        <is>
          <t>FY2023 earnings collapse: Net income crashed to just $35.3M (EPS $0.98) in FY2023 — down 71% from FY2022. What one-time items or catastrophic combined ratio drove this?</t>
        </is>
      </c>
      <c r="C6" s="16" t="inlineStr">
        <is>
          <t>HIGH</t>
        </is>
      </c>
    </row>
    <row r="7">
      <c r="A7" s="5" t="inlineStr">
        <is>
          <t>4</t>
        </is>
      </c>
      <c r="B7" s="5" t="inlineStr">
        <is>
          <t>Combined ratio trend: What is the combined ratio trajectory under current hard insurance cycle? Does this mean structural improvement or cyclical temporary?</t>
        </is>
      </c>
      <c r="C7" s="16" t="inlineStr">
        <is>
          <t>HIGH</t>
        </is>
      </c>
    </row>
    <row r="8">
      <c r="A8" s="5" t="inlineStr">
        <is>
          <t>5</t>
        </is>
      </c>
      <c r="B8" s="5" t="inlineStr">
        <is>
          <t>Share count: Basic shares 35.6M diluted vs 36.3M diluted avg. Is the company consistently executing buybacks or is there option dilution offsetting?</t>
        </is>
      </c>
      <c r="C8" s="17" t="inlineStr">
        <is>
          <t>MEDIUM</t>
        </is>
      </c>
    </row>
    <row r="9">
      <c r="A9" s="5" t="inlineStr">
        <is>
          <t>6</t>
        </is>
      </c>
      <c r="B9" s="5" t="inlineStr">
        <is>
          <t>Insurance cycle position: Where is the US property &amp; casualty insurance cycle? Hardening pricing power supports margin expansion — but how long can it last?</t>
        </is>
      </c>
      <c r="C9" s="16" t="inlineStr">
        <is>
          <t>HIGH</t>
        </is>
      </c>
    </row>
    <row r="10">
      <c r="A10" s="5" t="inlineStr">
        <is>
          <t>7</t>
        </is>
      </c>
      <c r="B10" s="5" t="inlineStr">
        <is>
          <t>Investment portfolio: As an insurer, THG holds a large float/investment portfolio. What returns on float does it generate? Duration/credit risk?</t>
        </is>
      </c>
      <c r="C10" s="17" t="inlineStr">
        <is>
          <t>MEDIUM</t>
        </is>
      </c>
    </row>
    <row r="11">
      <c r="A11" s="5" t="inlineStr">
        <is>
          <t>8</t>
        </is>
      </c>
      <c r="B11" s="5" t="inlineStr">
        <is>
          <t>Segment concentration: Core Commercial vs Specialty vs Personal Lines — any customer or segment concentration risk?</t>
        </is>
      </c>
      <c r="C11" s="17" t="inlineStr">
        <is>
          <t>MEDIUM</t>
        </is>
      </c>
    </row>
    <row r="12">
      <c r="A12" s="5" t="inlineStr">
        <is>
          <t>9</t>
        </is>
      </c>
      <c r="B12" s="5" t="inlineStr">
        <is>
          <t>Guidance: Management guidance for FY2026? Q1 showed a 24.5% EPS beat — is this repeatable?</t>
        </is>
      </c>
      <c r="C12" s="16" t="inlineStr">
        <is>
          <t>HIGH</t>
        </is>
      </c>
    </row>
    <row r="13">
      <c r="A13" s="5" t="inlineStr">
        <is>
          <t>10</t>
        </is>
      </c>
      <c r="B13" s="5" t="inlineStr">
        <is>
          <t>Geographic exposure: What is the geographic distribution of risk? Hurricane/ catastrophe exposure given Worcester, MA HQ?</t>
        </is>
      </c>
      <c r="C13" s="17" t="inlineStr">
        <is>
          <t>MEDIUM</t>
        </is>
      </c>
    </row>
    <row r="14">
      <c r="A14" s="5" t="inlineStr">
        <is>
          <t>11</t>
        </is>
      </c>
      <c r="B14" s="5" t="inlineStr">
        <is>
          <t>Next earnings: July 28, 2026 — Q2 results could confirm whether Q1 beat was sustainable. Key catalyst for P/B re-rating view.</t>
        </is>
      </c>
      <c r="C14" s="16" t="inlineStr">
        <is>
          <t>HIGH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65" customWidth="1" min="3" max="3"/>
  </cols>
  <sheetData>
    <row r="1">
      <c r="A1" s="1" t="inlineStr">
        <is>
          <t>THG — Sources</t>
        </is>
      </c>
    </row>
    <row r="3">
      <c r="A3" s="6" t="inlineStr">
        <is>
          <t>#</t>
        </is>
      </c>
      <c r="B3" s="6" t="inlineStr">
        <is>
          <t>Source</t>
        </is>
      </c>
      <c r="C3" s="6" t="inlineStr">
        <is>
          <t>URL</t>
        </is>
      </c>
    </row>
    <row r="4">
      <c r="A4" s="5" t="inlineStr">
        <is>
          <t>1</t>
        </is>
      </c>
      <c r="B4" s="5" t="inlineStr">
        <is>
          <t>Yahoo Finance — THG Quote &amp; Summary</t>
        </is>
      </c>
      <c r="C4" s="5" t="inlineStr">
        <is>
          <t>https://finance.yahoo.com/quote/THG/</t>
        </is>
      </c>
    </row>
    <row r="5">
      <c r="A5" s="5" t="inlineStr">
        <is>
          <t>2</t>
        </is>
      </c>
      <c r="B5" s="5" t="inlineStr">
        <is>
          <t>Yahoo Finance — THG Income Statement</t>
        </is>
      </c>
      <c r="C5" s="5" t="inlineStr">
        <is>
          <t>https://finance.yahoo.com/quote/THG/financials/</t>
        </is>
      </c>
    </row>
    <row r="6">
      <c r="A6" s="5" t="inlineStr">
        <is>
          <t>3</t>
        </is>
      </c>
      <c r="B6" s="5" t="inlineStr">
        <is>
          <t>Yahoo Finance — THG Balance Sheet</t>
        </is>
      </c>
      <c r="C6" s="5" t="inlineStr">
        <is>
          <t>https://finance.yahoo.com/quote/THG/balance-sheet/</t>
        </is>
      </c>
    </row>
    <row r="7">
      <c r="A7" s="5" t="inlineStr">
        <is>
          <t>4</t>
        </is>
      </c>
      <c r="B7" s="5" t="inlineStr">
        <is>
          <t>Yahoo Finance — THG Cash Flow</t>
        </is>
      </c>
      <c r="C7" s="5" t="inlineStr">
        <is>
          <t>https://finance.yahoo.com/quote/THG/cash-flow/</t>
        </is>
      </c>
    </row>
    <row r="8">
      <c r="A8" s="5" t="inlineStr">
        <is>
          <t>5</t>
        </is>
      </c>
      <c r="B8" s="5" t="inlineStr">
        <is>
          <t>Yahoo Finance — THG Key Statistics</t>
        </is>
      </c>
      <c r="C8" s="5" t="inlineStr">
        <is>
          <t>https://finance.yahoo.com/quote/THG/key-statistics/</t>
        </is>
      </c>
    </row>
    <row r="9">
      <c r="A9" s="5" t="inlineStr">
        <is>
          <t>6</t>
        </is>
      </c>
      <c r="B9" s="5" t="inlineStr">
        <is>
          <t>Yahoo Finance — THG Analysis / Estimates</t>
        </is>
      </c>
      <c r="C9" s="5" t="inlineStr">
        <is>
          <t>https://finance.yahoo.com/quote/THG/analysis/</t>
        </is>
      </c>
    </row>
    <row r="10">
      <c r="A10" s="5" t="inlineStr">
        <is>
          <t>7</t>
        </is>
      </c>
      <c r="B10" s="5" t="inlineStr">
        <is>
          <t>Yahoo Finance — THG Company Profile</t>
        </is>
      </c>
      <c r="C10" s="5" t="inlineStr">
        <is>
          <t>https://finance.yahoo.com/quote/THG/profile/</t>
        </is>
      </c>
    </row>
    <row r="11">
      <c r="A11" s="5" t="inlineStr">
        <is>
          <t>8</t>
        </is>
      </c>
      <c r="B11" s="5" t="inlineStr">
        <is>
          <t>CNBC — US 10-Year Treasury (US10Y)</t>
        </is>
      </c>
      <c r="C11" s="5" t="inlineStr">
        <is>
          <t>https://cnbc.com/quotes/US10Y</t>
        </is>
      </c>
    </row>
    <row r="12">
      <c r="A12" s="5" t="inlineStr">
        <is>
          <t>9</t>
        </is>
      </c>
      <c r="B12" s="5" t="inlineStr">
        <is>
          <t>StockAnalysis.com — THG (404 — not available)</t>
        </is>
      </c>
      <c r="C12" s="5" t="inlineStr">
        <is>
          <t>N/A</t>
        </is>
      </c>
    </row>
    <row r="13">
      <c r="A13" s="5" t="inlineStr">
        <is>
          <t>10</t>
        </is>
      </c>
      <c r="B13" s="5" t="inlineStr">
        <is>
          <t>ISS Governance Quality Score (via Yahoo Finance)</t>
        </is>
      </c>
      <c r="C13" s="5" t="inlineStr">
        <is>
          <t>https://finance.yahoo.com/quote/THG/profile/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2026-06-30T02:45:26Z</dcterms:created>
  <dcterms:modified xsi:type="dcterms:W3CDTF">2026-06-30T02:45:26Z</dcterms:modified>
</cp:coreProperties>
</file>