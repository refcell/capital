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0" fillId="0" borderId="1" pivotButton="0" quotePrefix="0" xfId="0"/>
    <xf numFmtId="0" fontId="0" fillId="4" borderId="1" pivotButton="0" quotePrefix="0" xfId="0"/>
    <xf numFmtId="2" fontId="0" fillId="4" borderId="1" pivotButton="0" quotePrefix="0" xfId="0"/>
    <xf numFmtId="165" fontId="0" fillId="4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1" t="inlineStr">
        <is>
          <t>Central Garden &amp; Pet Company (CENTA) Valuation Model — 2026-06-26</t>
        </is>
      </c>
    </row>
    <row r="2">
      <c r="A2" s="2" t="inlineStr">
        <is>
          <t>Ticker</t>
        </is>
      </c>
      <c r="B2" t="inlineStr">
        <is>
          <t>CENTA</t>
        </is>
      </c>
    </row>
    <row r="3">
      <c r="A3" s="2" t="inlineStr">
        <is>
          <t>Date</t>
        </is>
      </c>
      <c r="B3" t="inlineStr">
        <is>
          <t>2026-06-26</t>
        </is>
      </c>
    </row>
    <row r="4">
      <c r="A4" s="2" t="inlineStr">
        <is>
          <t>Price</t>
        </is>
      </c>
      <c r="B4" t="n">
        <v>39.32</v>
      </c>
    </row>
    <row r="5">
      <c r="A5" s="2" t="inlineStr">
        <is>
          <t>Shares Outstanding (M)</t>
        </is>
      </c>
      <c r="B5" t="n">
        <v>62.4</v>
      </c>
    </row>
    <row r="6">
      <c r="A6" s="2" t="inlineStr">
        <is>
          <t>Market Cap ($B)</t>
        </is>
      </c>
      <c r="B6" t="n">
        <v>2.45</v>
      </c>
    </row>
    <row r="7">
      <c r="A7" s="2" t="inlineStr">
        <is>
          <t>Enterprise Value ($B)</t>
        </is>
      </c>
      <c r="B7" t="n">
        <v>3.27</v>
      </c>
    </row>
    <row r="8">
      <c r="A8" s="2" t="inlineStr">
        <is>
          <t>Primary Valuation Lens</t>
        </is>
      </c>
      <c r="B8" t="inlineStr">
        <is>
          <t>P/E ratio, EV/EBITDA, P/FCF with FCF exit multiple scenarios</t>
        </is>
      </c>
    </row>
    <row r="9">
      <c r="A9" s="2" t="inlineStr">
        <is>
          <t>Stance</t>
        </is>
      </c>
      <c r="B9" t="inlineStr">
        <is>
          <t>Watch / Needs more work</t>
        </is>
      </c>
    </row>
    <row r="11">
      <c r="A11" s="3" t="inlineStr">
        <is>
          <t>Metric</t>
        </is>
      </c>
      <c r="B11" s="3" t="inlineStr">
        <is>
          <t>Value</t>
        </is>
      </c>
      <c r="C11" s="3" t="inlineStr">
        <is>
          <t>Comment</t>
        </is>
      </c>
    </row>
    <row r="12">
      <c r="A12" s="4" t="inlineStr">
        <is>
          <t>P/E (TTM)</t>
        </is>
      </c>
      <c r="B12" s="5" t="n">
        <v>14.19</v>
      </c>
      <c r="C12" s="4" t="inlineStr">
        <is>
          <t>Trailing P/E. Consistent with a steady-state consumer goods company.</t>
        </is>
      </c>
    </row>
    <row r="13">
      <c r="A13" s="4" t="inlineStr">
        <is>
          <t>Forward P/E</t>
        </is>
      </c>
      <c r="B13" s="5" t="n">
        <v>11.78</v>
      </c>
      <c r="C13" s="4" t="inlineStr">
        <is>
          <t>Forward P/E based on FY2026 consensus EPS of ~$3.33 (TTM EPS $2.75). Attractive given beat pattern.</t>
        </is>
      </c>
    </row>
    <row r="14">
      <c r="A14" s="4" t="inlineStr">
        <is>
          <t>P/S (TTM)</t>
        </is>
      </c>
      <c r="B14" s="5" t="n">
        <v>0.77</v>
      </c>
      <c r="C14" s="4" t="inlineStr">
        <is>
          <t>Below 1.0x. Reflects cyclical garden headwinds and modest margins.</t>
        </is>
      </c>
    </row>
    <row r="15">
      <c r="A15" s="4" t="inlineStr">
        <is>
          <t>P/FCF (TTM)</t>
        </is>
      </c>
      <c r="B15" s="5" t="n">
        <v>8.68</v>
      </c>
      <c r="C15" s="4" t="inlineStr">
        <is>
          <t>MC $2.45B / FCF $282.4M. Reasonable for the sector.</t>
        </is>
      </c>
    </row>
    <row r="16">
      <c r="A16" s="4" t="inlineStr">
        <is>
          <t>EV/FCF</t>
        </is>
      </c>
      <c r="B16" s="5" t="n">
        <v>11.58</v>
      </c>
      <c r="C16" s="4" t="inlineStr">
        <is>
          <t>EV $3.27B / FCF $282.4M. Slightly above P/FCF due to net debt.</t>
        </is>
      </c>
    </row>
    <row r="17">
      <c r="A17" s="4" t="inlineStr">
        <is>
          <t>EV/Sales</t>
        </is>
      </c>
      <c r="B17" s="5" t="n">
        <v>1.03</v>
      </c>
      <c r="C17" s="4" t="inlineStr">
        <is>
          <t>Below 1.0x enterprise multiple on $3.16B revenue. Cheap.</t>
        </is>
      </c>
    </row>
    <row r="18">
      <c r="A18" s="4" t="inlineStr">
        <is>
          <t>EV/EBITDA</t>
        </is>
      </c>
      <c r="B18" s="5" t="n">
        <v>8.880000000000001</v>
      </c>
      <c r="C18" s="4" t="inlineStr">
        <is>
          <t>Near sector median. Consumer goods typically 8-12x. On the low end.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</cols>
  <sheetData>
    <row r="1">
      <c r="A1" s="1" t="inlineStr">
        <is>
          <t>WACC Calculation — CENTA</t>
        </is>
      </c>
    </row>
    <row r="2">
      <c r="A2" s="3" t="inlineStr">
        <is>
          <t>Component</t>
        </is>
      </c>
      <c r="B2" s="3" t="inlineStr">
        <is>
          <t>Value</t>
        </is>
      </c>
      <c r="C2" s="3" t="inlineStr">
        <is>
          <t>Notes / Calculation</t>
        </is>
      </c>
    </row>
    <row r="3">
      <c r="A3" s="4" t="inlineStr">
        <is>
          <t>Risk-Free Rate (10Y US Treasury)</t>
        </is>
      </c>
      <c r="B3" s="6" t="n">
        <v>0.0438</v>
      </c>
      <c r="C3" s="4" t="inlineStr">
        <is>
          <t>4.38% from CNBC, June 26 2026</t>
        </is>
      </c>
    </row>
    <row r="4">
      <c r="A4" s="4" t="inlineStr">
        <is>
          <t>Equity Risk Premium</t>
        </is>
      </c>
      <c r="B4" s="6" t="n">
        <v>0.05</v>
      </c>
      <c r="C4" s="4" t="inlineStr">
        <is>
          <t>Standard 5% assumption</t>
        </is>
      </c>
    </row>
    <row r="5">
      <c r="A5" s="4" t="inlineStr">
        <is>
          <t>Beta (5Y monthly, levered)</t>
        </is>
      </c>
      <c r="B5" s="6" t="n">
        <v>0.55</v>
      </c>
      <c r="C5" s="4" t="inlineStr">
        <is>
          <t>Yahoo Finance Statistics. Low beta = defensive consumer staples.</t>
        </is>
      </c>
    </row>
    <row r="6">
      <c r="A6" s="4" t="inlineStr">
        <is>
          <t>Cost of Equity (CAPM)</t>
        </is>
      </c>
      <c r="B6" s="6" t="n">
        <v>0.0713</v>
      </c>
      <c r="C6" s="4">
        <f>Rf + Beta*ERP = 4.38% + 0.55*5% = 7.13%</f>
        <v/>
      </c>
    </row>
    <row r="7">
      <c r="A7" s="4" t="inlineStr">
        <is>
          <t>Cost of Debt (pre-tax)</t>
        </is>
      </c>
      <c r="B7" s="6" t="n">
        <v>0.055</v>
      </c>
      <c r="C7" s="4" t="inlineStr">
        <is>
          <t>Est. ~5.5% based on revolving credit facility + lease costs</t>
        </is>
      </c>
    </row>
    <row r="8">
      <c r="A8" s="4" t="inlineStr">
        <is>
          <t>Tax Rate (TTM effective)</t>
        </is>
      </c>
      <c r="B8" s="6" t="n">
        <v>0.243</v>
      </c>
      <c r="C8" s="4" t="inlineStr">
        <is>
          <t>Tax provision $55.1M / Pretax $226.9M = 24.3%</t>
        </is>
      </c>
    </row>
    <row r="9">
      <c r="A9" s="4" t="inlineStr">
        <is>
          <t>Market Cap ($M)</t>
        </is>
      </c>
      <c r="B9" s="6" t="n">
        <v>2450</v>
      </c>
      <c r="C9" s="4" t="inlineStr">
        <is>
          <t>Price $39.32 x 62.4M shares</t>
        </is>
      </c>
    </row>
    <row r="10">
      <c r="A10" s="4" t="inlineStr">
        <is>
          <t>Total Debt ($M)</t>
        </is>
      </c>
      <c r="B10" s="6" t="n">
        <v>1440.3</v>
      </c>
      <c r="C10" s="4" t="inlineStr">
        <is>
          <t>Total debt per Yahoo Finance balance sheet as of 9/30/2025</t>
        </is>
      </c>
    </row>
    <row r="11">
      <c r="A11" s="7" t="inlineStr">
        <is>
          <t>Equity Weight (E/V)</t>
        </is>
      </c>
      <c r="B11" s="8" t="n">
        <v>0.6298</v>
      </c>
      <c r="C11" s="7">
        <f>2450 / 3890</f>
        <v/>
      </c>
    </row>
    <row r="12">
      <c r="A12" s="4" t="inlineStr">
        <is>
          <t>Debt Weight (D/V)</t>
        </is>
      </c>
      <c r="B12" s="6" t="n">
        <v>0.3702</v>
      </c>
      <c r="C12" s="4">
        <f>1440.3 / 3890</f>
        <v/>
      </c>
    </row>
    <row r="13">
      <c r="A13" s="4" t="inlineStr">
        <is>
          <t>WACC</t>
        </is>
      </c>
      <c r="B13" s="6" t="n">
        <v>0.0603</v>
      </c>
      <c r="C13" s="4">
        <f>W_eq*Ke + W_d*Kd*(1-T) = 62.98%*7.13% + 37.02%*5.50%*(1-24.30%) = 6.03%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8" customWidth="1" min="5" max="5"/>
    <col width="16" customWidth="1" min="6" max="6"/>
    <col width="15" customWidth="1" min="7" max="7"/>
    <col width="16" customWidth="1" min="8" max="8"/>
    <col width="12" customWidth="1" min="9" max="9"/>
    <col width="14" customWidth="1" min="10" max="10"/>
    <col width="12" customWidth="1" min="11" max="11"/>
    <col width="10" customWidth="1" min="12" max="12"/>
  </cols>
  <sheetData>
    <row r="1">
      <c r="A1" s="1" t="inlineStr">
        <is>
          <t>Scenario Analysis — CENTA</t>
        </is>
      </c>
    </row>
    <row r="3">
      <c r="A3" s="3" t="inlineStr">
        <is>
          <t>Scenario</t>
        </is>
      </c>
      <c r="B3" s="3" t="inlineStr">
        <is>
          <t>Revenue CAGR (5Y)</t>
        </is>
      </c>
      <c r="C3" s="3" t="inlineStr">
        <is>
          <t>Terminal Revenue ($M)</t>
        </is>
      </c>
      <c r="D3" s="3" t="inlineStr">
        <is>
          <t>Adjusted FCF Margin</t>
        </is>
      </c>
      <c r="E3" s="3" t="inlineStr">
        <is>
          <t>Terminal FCF ($M)</t>
        </is>
      </c>
      <c r="F3" s="3" t="inlineStr">
        <is>
          <t>Exit FCF Multiple</t>
        </is>
      </c>
      <c r="G3" s="3" t="inlineStr">
        <is>
          <t>Implied EV ($M)</t>
        </is>
      </c>
      <c r="H3" s="3" t="inlineStr">
        <is>
          <t>Less Net Debt ($M)</t>
        </is>
      </c>
      <c r="I3" s="3" t="inlineStr">
        <is>
          <t>Shares (M)</t>
        </is>
      </c>
      <c r="J3" s="3" t="inlineStr">
        <is>
          <t>Target Price</t>
        </is>
      </c>
      <c r="K3" s="3" t="inlineStr">
        <is>
          <t>Upside %</t>
        </is>
      </c>
      <c r="L3" s="3" t="inlineStr">
        <is>
          <t>Weight</t>
        </is>
      </c>
    </row>
    <row r="4">
      <c r="A4" s="4" t="inlineStr">
        <is>
          <t>Bear</t>
        </is>
      </c>
      <c r="B4" s="4" t="inlineStr">
        <is>
          <t>-2.0%</t>
        </is>
      </c>
      <c r="C4" s="4" t="n">
        <v>2858.7</v>
      </c>
      <c r="D4" s="4" t="inlineStr">
        <is>
          <t>8.0%</t>
        </is>
      </c>
      <c r="E4" s="4" t="n">
        <v>228.7</v>
      </c>
      <c r="F4" s="4" t="n">
        <v>9</v>
      </c>
      <c r="G4" s="4" t="n">
        <v>2058.3</v>
      </c>
      <c r="H4" s="4" t="n">
        <v>309.2</v>
      </c>
      <c r="I4" s="4" t="n">
        <v>62.4</v>
      </c>
      <c r="J4" s="5" t="n">
        <v>28.03</v>
      </c>
      <c r="K4" s="9" t="inlineStr">
        <is>
          <t>-28.7%</t>
        </is>
      </c>
      <c r="L4" s="4" t="n">
        <v>0.25</v>
      </c>
    </row>
    <row r="5">
      <c r="A5" s="10" t="inlineStr">
        <is>
          <t>Base</t>
        </is>
      </c>
      <c r="B5" s="10" t="inlineStr">
        <is>
          <t>0.5%</t>
        </is>
      </c>
      <c r="C5" s="10" t="n">
        <v>3242.5</v>
      </c>
      <c r="D5" s="10" t="inlineStr">
        <is>
          <t>10.0%</t>
        </is>
      </c>
      <c r="E5" s="10" t="n">
        <v>324.2</v>
      </c>
      <c r="F5" s="10" t="n">
        <v>11</v>
      </c>
      <c r="G5" s="10" t="n">
        <v>3566.2</v>
      </c>
      <c r="H5" s="10" t="n">
        <v>309.2</v>
      </c>
      <c r="I5" s="10" t="n">
        <v>62.4</v>
      </c>
      <c r="J5" s="11" t="n">
        <v>52.2</v>
      </c>
      <c r="K5" s="12" t="inlineStr">
        <is>
          <t>32.7%</t>
        </is>
      </c>
      <c r="L5" s="10" t="n">
        <v>0.5</v>
      </c>
    </row>
    <row r="6">
      <c r="A6" s="4" t="inlineStr">
        <is>
          <t>Bull</t>
        </is>
      </c>
      <c r="B6" s="4" t="inlineStr">
        <is>
          <t>3.0%</t>
        </is>
      </c>
      <c r="C6" s="4" t="n">
        <v>3666.3</v>
      </c>
      <c r="D6" s="4" t="inlineStr">
        <is>
          <t>12.0%</t>
        </is>
      </c>
      <c r="E6" s="4" t="n">
        <v>440</v>
      </c>
      <c r="F6" s="4" t="n">
        <v>14</v>
      </c>
      <c r="G6" s="4" t="n">
        <v>6160</v>
      </c>
      <c r="H6" s="4" t="n">
        <v>309.2</v>
      </c>
      <c r="I6" s="4" t="n">
        <v>62.4</v>
      </c>
      <c r="J6" s="5" t="n">
        <v>93.76000000000001</v>
      </c>
      <c r="K6" s="9" t="inlineStr">
        <is>
          <t>138.5%</t>
        </is>
      </c>
      <c r="L6" s="4" t="n">
        <v>0.25</v>
      </c>
    </row>
    <row r="8">
      <c r="A8" s="7" t="inlineStr">
        <is>
          <t>Weighted Value/Share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13" t="n">
        <v>56.55</v>
      </c>
      <c r="K8" s="7" t="inlineStr">
        <is>
          <t>43.8%</t>
        </is>
      </c>
    </row>
    <row r="9">
      <c r="A9" s="2" t="inlineStr">
        <is>
          <t>Total Probability-Weighted Fair Value</t>
        </is>
      </c>
      <c r="J9" s="7" t="n">
        <v>56.55</v>
      </c>
    </row>
    <row r="10">
      <c r="A10" s="2" t="inlineStr">
        <is>
          <t>Upside from Current Price</t>
        </is>
      </c>
      <c r="J10" s="7" t="inlineStr">
        <is>
          <t>43.8%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5" customWidth="1" min="3" max="3"/>
    <col width="14" customWidth="1" min="4" max="4"/>
    <col width="40" customWidth="1" min="5" max="5"/>
  </cols>
  <sheetData>
    <row r="1">
      <c r="A1" s="1" t="inlineStr">
        <is>
          <t>Actuals Source Audit — CENTA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4" t="inlineStr">
        <is>
          <t>$39.32</t>
        </is>
      </c>
      <c r="C4" s="4" t="inlineStr">
        <is>
          <t>finance.yahoo.com/quote/CENTA/</t>
        </is>
      </c>
      <c r="D4" s="4" t="inlineStr">
        <is>
          <t>2026-06-26</t>
        </is>
      </c>
      <c r="E4" s="4" t="inlineStr">
        <is>
          <t>Close price</t>
        </is>
      </c>
    </row>
    <row r="5">
      <c r="A5" s="4" t="inlineStr">
        <is>
          <t>Market Cap</t>
        </is>
      </c>
      <c r="B5" s="4" t="inlineStr">
        <is>
          <t>$2.46B</t>
        </is>
      </c>
      <c r="C5" s="4" t="inlineStr">
        <is>
          <t>finance.yahoo.com/quote/CENTA/</t>
        </is>
      </c>
      <c r="D5" s="4" t="inlineStr">
        <is>
          <t>2026-06-26</t>
        </is>
      </c>
      <c r="E5" s="4" t="inlineStr">
        <is>
          <t>Intraday MC</t>
        </is>
      </c>
    </row>
    <row r="6">
      <c r="A6" s="4" t="inlineStr">
        <is>
          <t>Enterprise Value</t>
        </is>
      </c>
      <c r="B6" s="4" t="inlineStr">
        <is>
          <t>$3.27B</t>
        </is>
      </c>
      <c r="C6" s="4" t="inlineStr">
        <is>
          <t>finance.yahoo.com/quote/CENTA/</t>
        </is>
      </c>
      <c r="D6" s="4" t="inlineStr">
        <is>
          <t>2026-06-26</t>
        </is>
      </c>
      <c r="E6" s="4" t="inlineStr">
        <is>
          <t>Yahoo Finance Statistics</t>
        </is>
      </c>
    </row>
    <row r="7">
      <c r="A7" s="4" t="inlineStr">
        <is>
          <t>Shares Outstanding (diluted avg)</t>
        </is>
      </c>
      <c r="B7" s="4" t="inlineStr">
        <is>
          <t>62.4M</t>
        </is>
      </c>
      <c r="C7" s="4" t="inlineStr">
        <is>
          <t>finance.yahoo.com/quote/CENTA/financials/</t>
        </is>
      </c>
      <c r="D7" s="4" t="inlineStr">
        <is>
          <t>TTM</t>
        </is>
      </c>
      <c r="E7" s="4" t="inlineStr">
        <is>
          <t>Diluted average shares TTM</t>
        </is>
      </c>
    </row>
    <row r="8">
      <c r="A8" s="4" t="inlineStr">
        <is>
          <t>Shares (issued, latest)</t>
        </is>
      </c>
      <c r="B8" s="4" t="inlineStr">
        <is>
          <t>62.87M</t>
        </is>
      </c>
      <c r="C8" s="4" t="inlineStr">
        <is>
          <t>finance.yahoo.com/quote/CENTA/balance-sheet/</t>
        </is>
      </c>
      <c r="D8" s="4" t="inlineStr">
        <is>
          <t>2025-09-30</t>
        </is>
      </c>
      <c r="E8" s="4" t="inlineStr">
        <is>
          <t>Ordinary shares number</t>
        </is>
      </c>
    </row>
    <row r="9">
      <c r="A9" s="4" t="inlineStr">
        <is>
          <t>Revenue (TTM)</t>
        </is>
      </c>
      <c r="B9" s="4" t="inlineStr">
        <is>
          <t>$3,162.6M</t>
        </is>
      </c>
      <c r="C9" s="4" t="inlineStr">
        <is>
          <t>finance.yahoo.com/quote/CENTA/financials/</t>
        </is>
      </c>
      <c r="D9" s="4" t="inlineStr">
        <is>
          <t>TTM</t>
        </is>
      </c>
      <c r="E9" s="4" t="inlineStr">
        <is>
          <t>Trailing twelve months</t>
        </is>
      </c>
    </row>
    <row r="10">
      <c r="A10" s="4" t="inlineStr">
        <is>
          <t>Revenue FY2025</t>
        </is>
      </c>
      <c r="B10" s="4" t="inlineStr">
        <is>
          <t>$3,129.1M</t>
        </is>
      </c>
      <c r="C10" s="4" t="inlineStr">
        <is>
          <t>finance.yahoo.com/quote/CENTA/financials/</t>
        </is>
      </c>
      <c r="D10" s="4" t="inlineStr">
        <is>
          <t>2025-09-30</t>
        </is>
      </c>
      <c r="E10" s="4" t="inlineStr">
        <is>
          <t>Annual</t>
        </is>
      </c>
    </row>
    <row r="11">
      <c r="A11" s="4" t="inlineStr">
        <is>
          <t>Revenue FY2024</t>
        </is>
      </c>
      <c r="B11" s="4" t="inlineStr">
        <is>
          <t>$3,200.5M</t>
        </is>
      </c>
      <c r="C11" s="4" t="inlineStr">
        <is>
          <t>finance.yahoo.com/quote/CENTA/financials/</t>
        </is>
      </c>
      <c r="D11" s="4" t="inlineStr">
        <is>
          <t>2024-09-30</t>
        </is>
      </c>
      <c r="E11" s="4" t="inlineStr">
        <is>
          <t>Annual</t>
        </is>
      </c>
    </row>
    <row r="12">
      <c r="A12" s="4" t="inlineStr">
        <is>
          <t>Revenue FY2023</t>
        </is>
      </c>
      <c r="B12" s="4" t="inlineStr">
        <is>
          <t>$3,310.1M</t>
        </is>
      </c>
      <c r="C12" s="4" t="inlineStr">
        <is>
          <t>finance.yahoo.com/quote/CENTA/financials/</t>
        </is>
      </c>
      <c r="D12" s="4" t="inlineStr">
        <is>
          <t>2023-09-30</t>
        </is>
      </c>
      <c r="E12" s="4" t="inlineStr">
        <is>
          <t>Annual</t>
        </is>
      </c>
    </row>
    <row r="13">
      <c r="A13" s="4" t="inlineStr">
        <is>
          <t>Revenue FY2022</t>
        </is>
      </c>
      <c r="B13" s="4" t="inlineStr">
        <is>
          <t>$3,338.6M</t>
        </is>
      </c>
      <c r="C13" s="4" t="inlineStr">
        <is>
          <t>finance.yahoo.com/quote/CENTA/financials/</t>
        </is>
      </c>
      <c r="D13" s="4" t="inlineStr">
        <is>
          <t>2022-09-30</t>
        </is>
      </c>
      <c r="E13" s="4" t="inlineStr">
        <is>
          <t>Annual</t>
        </is>
      </c>
    </row>
    <row r="14">
      <c r="A14" s="4" t="inlineStr">
        <is>
          <t>Gross Profit (TTM)</t>
        </is>
      </c>
      <c r="B14" s="4" t="inlineStr">
        <is>
          <t>$1,018.7M</t>
        </is>
      </c>
      <c r="C14" s="4" t="inlineStr">
        <is>
          <t>finance.yahoo.com/quote/CENTA/financials/</t>
        </is>
      </c>
      <c r="D14" s="4" t="inlineStr">
        <is>
          <t>TTM</t>
        </is>
      </c>
      <c r="E14" s="4" t="inlineStr">
        <is>
          <t>TTM</t>
        </is>
      </c>
    </row>
    <row r="15">
      <c r="A15" s="4" t="inlineStr">
        <is>
          <t>Gross Margin (TTM)</t>
        </is>
      </c>
      <c r="B15" s="4" t="inlineStr">
        <is>
          <t>32.2%</t>
        </is>
      </c>
      <c r="C15" s="4" t="inlineStr">
        <is>
          <t>Calculated</t>
        </is>
      </c>
      <c r="D15" s="4" t="inlineStr">
        <is>
          <t>TTM</t>
        </is>
      </c>
      <c r="E15" s="4" t="inlineStr">
        <is>
          <t>1018.7/3162.6</t>
        </is>
      </c>
    </row>
    <row r="16">
      <c r="A16" s="4" t="inlineStr">
        <is>
          <t>Operating Income (TTM)</t>
        </is>
      </c>
      <c r="B16" s="4" t="inlineStr">
        <is>
          <t>$259.2M</t>
        </is>
      </c>
      <c r="C16" s="4" t="inlineStr">
        <is>
          <t>finance.yahoo.com/quote/CENTA/financials/</t>
        </is>
      </c>
      <c r="D16" s="4" t="inlineStr">
        <is>
          <t>TTM</t>
        </is>
      </c>
      <c r="E16" s="4" t="inlineStr">
        <is>
          <t>TTM</t>
        </is>
      </c>
    </row>
    <row r="17">
      <c r="A17" s="4" t="inlineStr">
        <is>
          <t>Operating Margin (TTM)</t>
        </is>
      </c>
      <c r="B17" s="4" t="inlineStr">
        <is>
          <t>8.2%</t>
        </is>
      </c>
      <c r="C17" s="4" t="inlineStr">
        <is>
          <t>Calculated</t>
        </is>
      </c>
      <c r="D17" s="4" t="inlineStr">
        <is>
          <t>TTM</t>
        </is>
      </c>
      <c r="E17" s="4" t="inlineStr">
        <is>
          <t>259.2/3162.6</t>
        </is>
      </c>
    </row>
    <row r="18">
      <c r="A18" s="4" t="inlineStr">
        <is>
          <t>Net Income (TTM)</t>
        </is>
      </c>
      <c r="B18" s="4" t="inlineStr">
        <is>
          <t>$171.5M</t>
        </is>
      </c>
      <c r="C18" s="4" t="inlineStr">
        <is>
          <t>finance.yahoo.com/quote/CENTA/financials/</t>
        </is>
      </c>
      <c r="D18" s="4" t="inlineStr">
        <is>
          <t>TTM</t>
        </is>
      </c>
      <c r="E18" s="4" t="inlineStr">
        <is>
          <t>TTM</t>
        </is>
      </c>
    </row>
    <row r="19">
      <c r="A19" s="4" t="inlineStr">
        <is>
          <t>EPS Diluted (TTM)</t>
        </is>
      </c>
      <c r="B19" s="4" t="inlineStr">
        <is>
          <t>$2.75</t>
        </is>
      </c>
      <c r="C19" s="4" t="inlineStr">
        <is>
          <t>finance.yahoo.com/quote/CENTA/</t>
        </is>
      </c>
      <c r="D19" s="4" t="inlineStr">
        <is>
          <t>TTM</t>
        </is>
      </c>
      <c r="E19" s="4" t="inlineStr">
        <is>
          <t>Yahoo Finance summary</t>
        </is>
      </c>
    </row>
    <row r="20">
      <c r="A20" s="4" t="inlineStr">
        <is>
          <t>EBITDA (TTM)</t>
        </is>
      </c>
      <c r="B20" s="4" t="inlineStr">
        <is>
          <t>$367.9M</t>
        </is>
      </c>
      <c r="C20" s="4" t="inlineStr">
        <is>
          <t>finance.yahoo.com/quote/CENTA/financials/</t>
        </is>
      </c>
      <c r="D20" s="4" t="inlineStr">
        <is>
          <t>TTM</t>
        </is>
      </c>
      <c r="E20" s="4" t="inlineStr">
        <is>
          <t>TTM</t>
        </is>
      </c>
    </row>
    <row r="21">
      <c r="A21" s="4" t="inlineStr">
        <is>
          <t>Operating Cash Flow (TTM)</t>
        </is>
      </c>
      <c r="B21" s="4" t="inlineStr">
        <is>
          <t>$328.3M</t>
        </is>
      </c>
      <c r="C21" s="4" t="inlineStr">
        <is>
          <t>finance.yahoo.com/quote/CENTA/cash-flow/</t>
        </is>
      </c>
      <c r="D21" s="4" t="inlineStr">
        <is>
          <t>TTM</t>
        </is>
      </c>
      <c r="E21" s="4" t="inlineStr">
        <is>
          <t>TTM</t>
        </is>
      </c>
    </row>
    <row r="22">
      <c r="A22" s="4" t="inlineStr">
        <is>
          <t>Capex (TTM)</t>
        </is>
      </c>
      <c r="B22" s="4" t="inlineStr">
        <is>
          <t>$45.9M</t>
        </is>
      </c>
      <c r="C22" s="4" t="inlineStr">
        <is>
          <t>finance.yahoo.com/quote/CENTA/cash-flow/</t>
        </is>
      </c>
      <c r="D22" s="4" t="inlineStr">
        <is>
          <t>TTM</t>
        </is>
      </c>
      <c r="E22" s="4" t="inlineStr">
        <is>
          <t>Capital expenditures TTM</t>
        </is>
      </c>
    </row>
    <row r="23">
      <c r="A23" s="4" t="inlineStr">
        <is>
          <t>Free Cash Flow (TTM)</t>
        </is>
      </c>
      <c r="B23" s="4" t="inlineStr">
        <is>
          <t>$282.4M</t>
        </is>
      </c>
      <c r="C23" s="4" t="inlineStr">
        <is>
          <t>finance.yahoo.com/quote/CENTA/cash-flow/</t>
        </is>
      </c>
      <c r="D23" s="4" t="inlineStr">
        <is>
          <t>TTM</t>
        </is>
      </c>
      <c r="E23" s="4" t="inlineStr">
        <is>
          <t>OCF - Capex</t>
        </is>
      </c>
    </row>
    <row r="24">
      <c r="A24" s="4" t="inlineStr">
        <is>
          <t>Total Cash (latest)</t>
        </is>
      </c>
      <c r="B24" s="4" t="inlineStr">
        <is>
          <t>$668.4M</t>
        </is>
      </c>
      <c r="C24" s="4" t="inlineStr">
        <is>
          <t>finance.yahoo.com/quote/CENTA/</t>
        </is>
      </c>
      <c r="D24" s="4" t="inlineStr">
        <is>
          <t>2025-09-30</t>
        </is>
      </c>
      <c r="E24" s="4" t="inlineStr">
        <is>
          <t>Yahoo Finance Statistics</t>
        </is>
      </c>
    </row>
    <row r="25">
      <c r="A25" s="4" t="inlineStr">
        <is>
          <t>Total Debt</t>
        </is>
      </c>
      <c r="B25" s="4" t="inlineStr">
        <is>
          <t>$1,440.3M</t>
        </is>
      </c>
      <c r="C25" s="4" t="inlineStr">
        <is>
          <t>finance.yahoo.com/quote/CENTA/balance-sheet/</t>
        </is>
      </c>
      <c r="D25" s="4" t="inlineStr">
        <is>
          <t>2025-09-30</t>
        </is>
      </c>
      <c r="E25" s="4" t="inlineStr">
        <is>
          <t>Total debt</t>
        </is>
      </c>
    </row>
    <row r="26">
      <c r="A26" s="4" t="inlineStr">
        <is>
          <t>Net Debt</t>
        </is>
      </c>
      <c r="B26" s="4" t="inlineStr">
        <is>
          <t>$309.2M</t>
        </is>
      </c>
      <c r="C26" s="4" t="inlineStr">
        <is>
          <t>finance.yahoo.com/quote/CENTA/balance-sheet/</t>
        </is>
      </c>
      <c r="D26" s="4" t="inlineStr">
        <is>
          <t>2025-09-30</t>
        </is>
      </c>
      <c r="E26" s="4" t="inlineStr">
        <is>
          <t>Total debt - cash</t>
        </is>
      </c>
    </row>
    <row r="27">
      <c r="A27" s="4" t="inlineStr">
        <is>
          <t>Beta (5Y Monthly)</t>
        </is>
      </c>
      <c r="B27" s="4" t="inlineStr">
        <is>
          <t>0.55</t>
        </is>
      </c>
      <c r="C27" s="4" t="inlineStr">
        <is>
          <t>finance.yahoo.com/quote/CENTA/</t>
        </is>
      </c>
      <c r="D27" s="4" t="inlineStr">
        <is>
          <t>2026-06-26</t>
        </is>
      </c>
      <c r="E27" s="4" t="inlineStr">
        <is>
          <t>Yahoo Finance Summary</t>
        </is>
      </c>
    </row>
    <row r="28">
      <c r="A28" s="4" t="inlineStr">
        <is>
          <t>P/E TTM</t>
        </is>
      </c>
      <c r="B28" s="4" t="inlineStr">
        <is>
          <t>14.19</t>
        </is>
      </c>
      <c r="C28" s="4" t="inlineStr">
        <is>
          <t>finance.yahoo.com/quote/CENTA/</t>
        </is>
      </c>
      <c r="D28" s="4" t="inlineStr">
        <is>
          <t>2026-06-26</t>
        </is>
      </c>
      <c r="E28" s="4" t="inlineStr">
        <is>
          <t>Yahoo Finance Statistics</t>
        </is>
      </c>
    </row>
    <row r="29">
      <c r="A29" s="4" t="inlineStr">
        <is>
          <t>Forward P/E</t>
        </is>
      </c>
      <c r="B29" s="4" t="inlineStr">
        <is>
          <t>11.78</t>
        </is>
      </c>
      <c r="C29" s="4" t="inlineStr">
        <is>
          <t>finance.yahoo.com/quote/CENTA/</t>
        </is>
      </c>
      <c r="D29" s="4" t="inlineStr">
        <is>
          <t>2026-06-26</t>
        </is>
      </c>
      <c r="E29" s="4" t="inlineStr">
        <is>
          <t>Yahoo Finance Statistics</t>
        </is>
      </c>
    </row>
    <row r="30">
      <c r="A30" s="4" t="inlineStr">
        <is>
          <t>Analyst FY2026 Revenue est.</t>
        </is>
      </c>
      <c r="B30" s="4" t="inlineStr">
        <is>
          <t>$3.05B</t>
        </is>
      </c>
      <c r="C30" s="4" t="inlineStr">
        <is>
          <t>finance.yahoo.com/quote/CENTA/analysis/</t>
        </is>
      </c>
      <c r="D30" s="4" t="inlineStr">
        <is>
          <t>2026-06-26</t>
        </is>
      </c>
      <c r="E30" s="4" t="inlineStr">
        <is>
          <t>4 analysts</t>
        </is>
      </c>
    </row>
    <row r="31">
      <c r="A31" s="4" t="inlineStr">
        <is>
          <t>Analyst FY2027 Revenue est.</t>
        </is>
      </c>
      <c r="B31" s="4" t="inlineStr">
        <is>
          <t>$2.95B</t>
        </is>
      </c>
      <c r="C31" s="4" t="inlineStr">
        <is>
          <t>finance.yahoo.com/quote/CENTA/analysis/</t>
        </is>
      </c>
      <c r="D31" s="4" t="inlineStr">
        <is>
          <t>2026-06-26</t>
        </is>
      </c>
      <c r="E31" s="4" t="inlineStr">
        <is>
          <t>4 analysts</t>
        </is>
      </c>
    </row>
    <row r="32">
      <c r="A32" s="4" t="inlineStr">
        <is>
          <t>Analyst FY2026 EPS est.</t>
        </is>
      </c>
      <c r="B32" s="4" t="inlineStr">
        <is>
          <t>$2.97</t>
        </is>
      </c>
      <c r="C32" s="4" t="inlineStr">
        <is>
          <t>finance.yahoo.com/quote/CENTA/analysis/</t>
        </is>
      </c>
      <c r="D32" s="4" t="inlineStr">
        <is>
          <t>2026-06-26</t>
        </is>
      </c>
      <c r="E32" s="4" t="inlineStr">
        <is>
          <t>5 analysts</t>
        </is>
      </c>
    </row>
    <row r="33">
      <c r="A33" s="4" t="inlineStr">
        <is>
          <t>Analyst FY2027 EPS est.</t>
        </is>
      </c>
      <c r="B33" s="4" t="inlineStr">
        <is>
          <t>$3.09</t>
        </is>
      </c>
      <c r="C33" s="4" t="inlineStr">
        <is>
          <t>finance.yahoo.com/quote/CENTA/analysis/</t>
        </is>
      </c>
      <c r="D33" s="4" t="inlineStr">
        <is>
          <t>2026-06-26</t>
        </is>
      </c>
      <c r="E33" s="4" t="inlineStr">
        <is>
          <t>5 analysts</t>
        </is>
      </c>
    </row>
    <row r="34">
      <c r="A34" s="4" t="inlineStr">
        <is>
          <t>1Y Target Estimate</t>
        </is>
      </c>
      <c r="B34" s="4" t="inlineStr">
        <is>
          <t>$43.50</t>
        </is>
      </c>
      <c r="C34" s="4" t="inlineStr">
        <is>
          <t>finance.yahoo.com/quote/CENTA/</t>
        </is>
      </c>
      <c r="D34" s="4" t="inlineStr">
        <is>
          <t>2026-06-26</t>
        </is>
      </c>
      <c r="E34" s="4" t="inlineStr">
        <is>
          <t>Average target</t>
        </is>
      </c>
    </row>
    <row r="35">
      <c r="A35" s="4" t="inlineStr">
        <is>
          <t>Next Earnings Date</t>
        </is>
      </c>
      <c r="B35" s="4" t="inlineStr">
        <is>
          <t>Aug 5, 2026</t>
        </is>
      </c>
      <c r="C35" s="4" t="inlineStr">
        <is>
          <t>finance.yahoo.com/quote/CENTA/</t>
        </is>
      </c>
      <c r="D35" s="4" t="inlineStr">
        <is>
          <t>2026-06-26</t>
        </is>
      </c>
      <c r="E35" s="4" t="inlineStr">
        <is>
          <t>Estimated</t>
        </is>
      </c>
    </row>
    <row r="36">
      <c r="A36" s="4" t="inlineStr">
        <is>
          <t>10Y Treasury Rate</t>
        </is>
      </c>
      <c r="B36" s="4" t="inlineStr">
        <is>
          <t>4.376%</t>
        </is>
      </c>
      <c r="C36" s="4" t="inlineStr">
        <is>
          <t>cnbc.com/quotes/US10Y</t>
        </is>
      </c>
      <c r="D36" s="4" t="inlineStr">
        <is>
          <t>2026-06-26</t>
        </is>
      </c>
      <c r="E36" s="4" t="inlineStr">
        <is>
          <t>CNBC real-time</t>
        </is>
      </c>
    </row>
    <row r="37">
      <c r="A37" s="4" t="inlineStr">
        <is>
          <t>Tax Rate (effective, TTM)</t>
        </is>
      </c>
      <c r="B37" s="4" t="inlineStr">
        <is>
          <t>24.3%</t>
        </is>
      </c>
      <c r="C37" s="4" t="inlineStr">
        <is>
          <t>Calculated</t>
        </is>
      </c>
      <c r="D37" s="4" t="inlineStr">
        <is>
          <t>TTM</t>
        </is>
      </c>
      <c r="E37" s="4" t="inlineStr">
        <is>
          <t>55.1M / 226.9M</t>
        </is>
      </c>
    </row>
    <row r="38">
      <c r="A38" s="4" t="inlineStr">
        <is>
          <t>Capital Lease Obligations</t>
        </is>
      </c>
      <c r="B38" s="4" t="inlineStr">
        <is>
          <t>$248.6M</t>
        </is>
      </c>
      <c r="C38" s="4" t="inlineStr">
        <is>
          <t>finance.yahoo.com/quote/CENTA/balance-sheet/</t>
        </is>
      </c>
      <c r="D38" s="4" t="inlineStr">
        <is>
          <t>2025-09-30</t>
        </is>
      </c>
      <c r="E38" s="4" t="inlineStr">
        <is>
          <t>BS item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0" customWidth="1" min="3" max="3"/>
  </cols>
  <sheetData>
    <row r="1">
      <c r="A1" s="1" t="inlineStr">
        <is>
          <t>Open Questions — CENTA</t>
        </is>
      </c>
    </row>
    <row r="3">
      <c r="A3" s="3" t="inlineStr">
        <is>
          <t>#</t>
        </is>
      </c>
      <c r="B3" s="3" t="inlineStr">
        <is>
          <t>Topic</t>
        </is>
      </c>
      <c r="C3" s="3" t="inlineStr">
        <is>
          <t>Question</t>
        </is>
      </c>
    </row>
    <row r="4">
      <c r="A4" s="4" t="inlineStr">
        <is>
          <t>Q1</t>
        </is>
      </c>
      <c r="B4" s="4" t="inlineStr">
        <is>
          <t>Revenue Decline Trend</t>
        </is>
      </c>
      <c r="C4" s="4" t="inlineStr">
        <is>
          <t>Revenue has declined from $3,338.6M (FY2022) to $3,162.6M (TTM) — a 5.3% decline over 3 years. Analyst consensus expects further decline to $2.95B by FY2027. Is this a cyclical low (garden softness) or structural (channel shift to Amazon/e-commerce)?</t>
        </is>
      </c>
    </row>
    <row r="5">
      <c r="A5" s="4" t="inlineStr">
        <is>
          <t>Q2</t>
        </is>
      </c>
      <c r="B5" s="4" t="inlineStr">
        <is>
          <t>Margin Profile Assessment</t>
        </is>
      </c>
      <c r="C5" s="4" t="inlineStr">
        <is>
          <t>Gross margin of 32.2% and operating margin of 8.2% are modest for branded consumer goods. Competitors like Ingredion (INGR) typically show 30%+ gross margins. Why is CENTA's margin profile below peer averages?</t>
        </is>
      </c>
    </row>
    <row r="6">
      <c r="A6" s="4" t="inlineStr">
        <is>
          <t>Q3</t>
        </is>
      </c>
      <c r="B6" s="4" t="inlineStr">
        <is>
          <t>Debt Management Trajectory</t>
        </is>
      </c>
      <c r="C6" s="4" t="inlineStr">
        <is>
          <t>Net debt has declined significantly from $1,009M (FY2022) to $309M (FY2025) — a $700M+ reduction. At what pace will debt continue declining, and will management shift to buybacks/dividends?</t>
        </is>
      </c>
    </row>
    <row r="7">
      <c r="A7" s="4" t="inlineStr">
        <is>
          <t>Q4</t>
        </is>
      </c>
      <c r="B7" s="4" t="inlineStr">
        <is>
          <t>Share Count Decline</t>
        </is>
      </c>
      <c r="C7" s="4" t="inlineStr">
        <is>
          <t>Shares outstanding fell from 67.8M (FY2022) to 62.9M (FY2025) — 7% reduction. Buybacks averaged $34M/year (TTM). Is this acceleration likely?</t>
        </is>
      </c>
    </row>
    <row r="8">
      <c r="A8" s="4" t="inlineStr">
        <is>
          <t>Q5</t>
        </is>
      </c>
      <c r="B8" s="4" t="inlineStr">
        <is>
          <t>Garden Segment Cyclicity</t>
        </is>
      </c>
      <c r="C8" s="4" t="inlineStr">
        <is>
          <t>The Garden segment (fertilizers, seeds, pesticides) is highly seasonal and cyclical. FY2025 operating income of $250M was up sharply from $185M in FY2024. What drove the recovery — operational efficiency or cyclical tailwinds?</t>
        </is>
      </c>
    </row>
    <row r="9">
      <c r="A9" s="4" t="inlineStr">
        <is>
          <t>Q6</t>
        </is>
      </c>
      <c r="B9" s="4" t="inlineStr">
        <is>
          <t>Pet Segment Competitive Threats</t>
        </is>
      </c>
      <c r="C9" s="4" t="inlineStr">
        <is>
          <t>Pet segment carries major brands (Nylabone, Kaytee, Four Paws) but faces competition from Chewy, Amazon Pets, and private label. Brand loyalty and pricing power need closer examination.</t>
        </is>
      </c>
    </row>
    <row r="10">
      <c r="A10" s="4" t="inlineStr">
        <is>
          <t>Q7</t>
        </is>
      </c>
      <c r="B10" s="4" t="inlineStr">
        <is>
          <t>FCF Sustainability</t>
        </is>
      </c>
      <c r="C10" s="4" t="inlineStr">
        <is>
          <t>TTM FCF of $282.4M represents 8.9% FCF margin — strong. But FY2024 FCF was $352M and FY2023 was $328M. The decline suggests either working capital swings, higher capex needs, or revenue drag. Is $282M the new run rate?</t>
        </is>
      </c>
    </row>
    <row r="11">
      <c r="A11" s="4" t="inlineStr">
        <is>
          <t>Q8</t>
        </is>
      </c>
      <c r="B11" s="4" t="inlineStr">
        <is>
          <t>Capital Lease Obligations</t>
        </is>
      </c>
      <c r="C11" s="4" t="inlineStr">
        <is>
          <t>Capital leases of $248.6M (up from $186M in FY2023) suggest facility/warehouse expansion. Is this a growth investment or maintenance commitment?</t>
        </is>
      </c>
    </row>
    <row r="12">
      <c r="A12" s="4" t="inlineStr">
        <is>
          <t>Q9</t>
        </is>
      </c>
      <c r="B12" s="4" t="inlineStr">
        <is>
          <t>Next Earnings — Aug 5, 2026</t>
        </is>
      </c>
      <c r="C12" s="4" t="inlineStr">
        <is>
          <t>Q1 FY2027 earnings on Aug 5 represent the first full post-pandemic-peak garden season. Will garden revenue stabilize? Any new guidance on FY2026-full-year outlook?</t>
        </is>
      </c>
    </row>
    <row r="13">
      <c r="A13" s="4" t="inlineStr">
        <is>
          <t>Q10</t>
        </is>
      </c>
      <c r="B13" s="4" t="inlineStr">
        <is>
          <t>Competitive Differentiation</t>
        </is>
      </c>
      <c r="C13" s="4" t="inlineStr">
        <is>
          <t>What protects CENTA's brands from commoditization? Private label penetration in garden chemicals and pet supplies is rising — does CENTA have a cost advantage from scale?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55" customWidth="1" min="4" max="4"/>
  </cols>
  <sheetData>
    <row r="1">
      <c r="A1" s="1" t="inlineStr">
        <is>
          <t>Sources — CENTA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Data Provided</t>
        </is>
      </c>
    </row>
    <row r="4">
      <c r="A4" s="4" t="inlineStr">
        <is>
          <t>1</t>
        </is>
      </c>
      <c r="B4" s="4" t="inlineStr">
        <is>
          <t>Yahoo Finance Summary</t>
        </is>
      </c>
      <c r="C4" s="4" t="inlineStr">
        <is>
          <t>https://finance.yahoo.com/quote/CENTA/</t>
        </is>
      </c>
      <c r="D4" s="4" t="inlineStr">
        <is>
          <t>Price, market cap, beta, P/E, forward P/E, analyst targets, earnings date</t>
        </is>
      </c>
    </row>
    <row r="5">
      <c r="A5" s="4" t="inlineStr">
        <is>
          <t>2</t>
        </is>
      </c>
      <c r="B5" s="4" t="inlineStr">
        <is>
          <t>Yahoo Finance Income Statement</t>
        </is>
      </c>
      <c r="C5" s="4" t="inlineStr">
        <is>
          <t>https://finance.yahoo.com/quote/CENTA/financials/</t>
        </is>
      </c>
      <c r="D5" s="4" t="inlineStr">
        <is>
          <t>Revenue, gross profit, operating income, net income, EPS — annual and TTM</t>
        </is>
      </c>
    </row>
    <row r="6">
      <c r="A6" s="4" t="inlineStr">
        <is>
          <t>3</t>
        </is>
      </c>
      <c r="B6" s="4" t="inlineStr">
        <is>
          <t>Yahoo Finance Balance Sheet</t>
        </is>
      </c>
      <c r="C6" s="4" t="inlineStr">
        <is>
          <t>https://finance.yahoo.com/quote/CENTA/balance-sheet/</t>
        </is>
      </c>
      <c r="D6" s="4" t="inlineStr">
        <is>
          <t>Total assets, debt, cash, shares outstanding, working capital</t>
        </is>
      </c>
    </row>
    <row r="7">
      <c r="A7" s="4" t="inlineStr">
        <is>
          <t>4</t>
        </is>
      </c>
      <c r="B7" s="4" t="inlineStr">
        <is>
          <t>Yahoo Finance Cash Flow</t>
        </is>
      </c>
      <c r="C7" s="4" t="inlineStr">
        <is>
          <t>https://finance.yahoo.com/quote/CENTA/cash-flow/</t>
        </is>
      </c>
      <c r="D7" s="4" t="inlineStr">
        <is>
          <t>Operating cash flow, capex, free cash flow, buybacks</t>
        </is>
      </c>
    </row>
    <row r="8">
      <c r="A8" s="4" t="inlineStr">
        <is>
          <t>5</t>
        </is>
      </c>
      <c r="B8" s="4" t="inlineStr">
        <is>
          <t>Yahoo Finance Analysis</t>
        </is>
      </c>
      <c r="C8" s="4" t="inlineStr">
        <is>
          <t>https://finance.yahoo.com/quote/CENTA/analysis/</t>
        </is>
      </c>
      <c r="D8" s="4" t="inlineStr">
        <is>
          <t>Analyst revenue/EPS estimates, revision trends, earnings surprise</t>
        </is>
      </c>
    </row>
    <row r="9">
      <c r="A9" s="4" t="inlineStr">
        <is>
          <t>6</t>
        </is>
      </c>
      <c r="B9" s="4" t="inlineStr">
        <is>
          <t>CNBC 10Y Treasury</t>
        </is>
      </c>
      <c r="C9" s="4" t="inlineStr">
        <is>
          <t>https://www.cnbc.com/quotes/US10Y/</t>
        </is>
      </c>
      <c r="D9" s="4" t="inlineStr">
        <is>
          <t>10-Year US Treasury yield: 4.376%</t>
        </is>
      </c>
    </row>
    <row r="10">
      <c r="A10" s="4" t="inlineStr">
        <is>
          <t>7</t>
        </is>
      </c>
      <c r="B10" s="4" t="inlineStr">
        <is>
          <t>StockAnalysis</t>
        </is>
      </c>
      <c r="C10" s="4" t="inlineStr">
        <is>
          <t>https://stockanalysis.com/quotes/CENTA/</t>
        </is>
      </c>
      <c r="D10" s="4" t="inlineStr">
        <is>
          <t>404 error — not available for this ticker</t>
        </is>
      </c>
    </row>
    <row r="11">
      <c r="A11" s="4" t="inlineStr">
        <is>
          <t>8</t>
        </is>
      </c>
      <c r="B11" s="4" t="inlineStr">
        <is>
          <t>Company Website</t>
        </is>
      </c>
      <c r="C11" s="4" t="inlineStr">
        <is>
          <t>https://www.central.com</t>
        </is>
      </c>
      <c r="D11" s="4" t="inlineStr">
        <is>
          <t>Company description, brand portfolio, segment breakdown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2026-06-27T02:40:56Z</dcterms:created>
  <dcterms:modified xsi:type="dcterms:W3CDTF">2026-06-27T02:40:56Z</dcterms:modified>
</cp:coreProperties>
</file>